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tudk-my.sharepoint.com/personal/fbfe_dtu_dk/Documents/Scientific paper #1/Results/DTU DATA/"/>
    </mc:Choice>
  </mc:AlternateContent>
  <xr:revisionPtr revIDLastSave="0" documentId="8_{A0AF64C2-90F2-42E5-9DBB-3BA36B9DBC31}" xr6:coauthVersionLast="47" xr6:coauthVersionMax="47" xr10:uidLastSave="{00000000-0000-0000-0000-000000000000}"/>
  <bookViews>
    <workbookView xWindow="3195" yWindow="1005" windowWidth="21600" windowHeight="12585" xr2:uid="{05E8B525-7E30-4561-9044-D6021BA774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5" i="1" l="1"/>
  <c r="I66" i="1"/>
  <c r="I67" i="1"/>
  <c r="I68" i="1"/>
  <c r="I69" i="1"/>
  <c r="I70" i="1"/>
  <c r="I71" i="1"/>
  <c r="I72" i="1"/>
  <c r="I73" i="1"/>
  <c r="I74" i="1"/>
  <c r="I75" i="1"/>
  <c r="I64" i="1"/>
  <c r="C62" i="1"/>
  <c r="C64" i="1"/>
  <c r="C65" i="1"/>
  <c r="D62" i="1"/>
  <c r="D65" i="1" s="1"/>
  <c r="E62" i="1"/>
  <c r="E66" i="1" s="1"/>
  <c r="F62" i="1"/>
  <c r="F67" i="1" s="1"/>
  <c r="G62" i="1"/>
  <c r="H62" i="1"/>
  <c r="H69" i="1" s="1"/>
  <c r="I62" i="1"/>
  <c r="B62" i="1"/>
  <c r="B69" i="1" s="1"/>
  <c r="D64" i="1"/>
  <c r="E64" i="1"/>
  <c r="G64" i="1"/>
  <c r="E65" i="1"/>
  <c r="G65" i="1"/>
  <c r="C66" i="1"/>
  <c r="G66" i="1"/>
  <c r="C67" i="1"/>
  <c r="D67" i="1"/>
  <c r="G67" i="1"/>
  <c r="C68" i="1"/>
  <c r="D68" i="1"/>
  <c r="E68" i="1"/>
  <c r="G68" i="1"/>
  <c r="C69" i="1"/>
  <c r="E69" i="1"/>
  <c r="F69" i="1"/>
  <c r="G69" i="1"/>
  <c r="C70" i="1"/>
  <c r="D70" i="1"/>
  <c r="E70" i="1"/>
  <c r="F70" i="1"/>
  <c r="G70" i="1"/>
  <c r="C71" i="1"/>
  <c r="D71" i="1"/>
  <c r="E71" i="1"/>
  <c r="G71" i="1"/>
  <c r="H71" i="1"/>
  <c r="C72" i="1"/>
  <c r="D72" i="1"/>
  <c r="E72" i="1"/>
  <c r="F72" i="1"/>
  <c r="G72" i="1"/>
  <c r="H72" i="1"/>
  <c r="C73" i="1"/>
  <c r="D73" i="1"/>
  <c r="E73" i="1"/>
  <c r="G73" i="1"/>
  <c r="C74" i="1"/>
  <c r="D74" i="1"/>
  <c r="E74" i="1"/>
  <c r="G74" i="1"/>
  <c r="C75" i="1"/>
  <c r="D75" i="1"/>
  <c r="E75" i="1"/>
  <c r="G75" i="1"/>
  <c r="B65" i="1"/>
  <c r="B66" i="1"/>
  <c r="B67" i="1"/>
  <c r="B68" i="1"/>
  <c r="B72" i="1"/>
  <c r="B73" i="1"/>
  <c r="B74" i="1"/>
  <c r="B75" i="1"/>
  <c r="B64" i="1"/>
  <c r="M39" i="1"/>
  <c r="L39" i="1"/>
  <c r="K39" i="1"/>
  <c r="J39" i="1"/>
  <c r="I39" i="1"/>
  <c r="H39" i="1"/>
  <c r="G39" i="1"/>
  <c r="F39" i="1"/>
  <c r="E39" i="1"/>
  <c r="D39" i="1"/>
  <c r="C39" i="1"/>
  <c r="B39" i="1"/>
  <c r="A39" i="1"/>
  <c r="M38" i="1"/>
  <c r="L38" i="1"/>
  <c r="K38" i="1"/>
  <c r="J38" i="1"/>
  <c r="I38" i="1"/>
  <c r="H38" i="1"/>
  <c r="G38" i="1"/>
  <c r="F38" i="1"/>
  <c r="E38" i="1"/>
  <c r="D38" i="1"/>
  <c r="C38" i="1"/>
  <c r="B38" i="1"/>
  <c r="A38" i="1"/>
  <c r="M37" i="1"/>
  <c r="L37" i="1"/>
  <c r="K37" i="1"/>
  <c r="J37" i="1"/>
  <c r="I37" i="1"/>
  <c r="H37" i="1"/>
  <c r="G37" i="1"/>
  <c r="F37" i="1"/>
  <c r="E37" i="1"/>
  <c r="D37" i="1"/>
  <c r="C37" i="1"/>
  <c r="B37" i="1"/>
  <c r="A37" i="1"/>
  <c r="M36" i="1"/>
  <c r="L36" i="1"/>
  <c r="K36" i="1"/>
  <c r="J36" i="1"/>
  <c r="I36" i="1"/>
  <c r="H36" i="1"/>
  <c r="G36" i="1"/>
  <c r="F36" i="1"/>
  <c r="E36" i="1"/>
  <c r="D36" i="1"/>
  <c r="C36" i="1"/>
  <c r="B36" i="1"/>
  <c r="A36" i="1"/>
  <c r="M35" i="1"/>
  <c r="L35" i="1"/>
  <c r="K35" i="1"/>
  <c r="J35" i="1"/>
  <c r="I35" i="1"/>
  <c r="H35" i="1"/>
  <c r="G35" i="1"/>
  <c r="F35" i="1"/>
  <c r="E35" i="1"/>
  <c r="D35" i="1"/>
  <c r="C35" i="1"/>
  <c r="B35" i="1"/>
  <c r="A35" i="1"/>
  <c r="M34" i="1"/>
  <c r="L34" i="1"/>
  <c r="K34" i="1"/>
  <c r="J34" i="1"/>
  <c r="I34" i="1"/>
  <c r="H34" i="1"/>
  <c r="G34" i="1"/>
  <c r="F34" i="1"/>
  <c r="E34" i="1"/>
  <c r="D34" i="1"/>
  <c r="C34" i="1"/>
  <c r="B34" i="1"/>
  <c r="A34" i="1"/>
  <c r="M33" i="1"/>
  <c r="L33" i="1"/>
  <c r="K33" i="1"/>
  <c r="J33" i="1"/>
  <c r="I33" i="1"/>
  <c r="H33" i="1"/>
  <c r="G33" i="1"/>
  <c r="F33" i="1"/>
  <c r="E33" i="1"/>
  <c r="D33" i="1"/>
  <c r="C33" i="1"/>
  <c r="B33" i="1"/>
  <c r="A33" i="1"/>
  <c r="M32" i="1"/>
  <c r="L32" i="1"/>
  <c r="K32" i="1"/>
  <c r="J32" i="1"/>
  <c r="I32" i="1"/>
  <c r="H32" i="1"/>
  <c r="G32" i="1"/>
  <c r="F32" i="1"/>
  <c r="E32" i="1"/>
  <c r="D32" i="1"/>
  <c r="C32" i="1"/>
  <c r="B32" i="1"/>
  <c r="A32" i="1"/>
  <c r="M31" i="1"/>
  <c r="L31" i="1"/>
  <c r="K31" i="1"/>
  <c r="J31" i="1"/>
  <c r="I31" i="1"/>
  <c r="H31" i="1"/>
  <c r="G31" i="1"/>
  <c r="F31" i="1"/>
  <c r="E31" i="1"/>
  <c r="D31" i="1"/>
  <c r="C31" i="1"/>
  <c r="B31" i="1"/>
  <c r="A31" i="1"/>
  <c r="M30" i="1"/>
  <c r="L30" i="1"/>
  <c r="K30" i="1"/>
  <c r="J30" i="1"/>
  <c r="I30" i="1"/>
  <c r="H30" i="1"/>
  <c r="G30" i="1"/>
  <c r="F30" i="1"/>
  <c r="E30" i="1"/>
  <c r="D30" i="1"/>
  <c r="C30" i="1"/>
  <c r="B30" i="1"/>
  <c r="A30" i="1"/>
  <c r="M29" i="1"/>
  <c r="L29" i="1"/>
  <c r="K29" i="1"/>
  <c r="J29" i="1"/>
  <c r="I29" i="1"/>
  <c r="H29" i="1"/>
  <c r="G29" i="1"/>
  <c r="F29" i="1"/>
  <c r="E29" i="1"/>
  <c r="D29" i="1"/>
  <c r="C29" i="1"/>
  <c r="B29" i="1"/>
  <c r="A29" i="1"/>
  <c r="L27" i="1"/>
  <c r="H26" i="1"/>
  <c r="G27" i="1"/>
  <c r="M27" i="1" s="1"/>
  <c r="F27" i="1"/>
  <c r="E27" i="1"/>
  <c r="K27" i="1" s="1"/>
  <c r="D27" i="1"/>
  <c r="J27" i="1" s="1"/>
  <c r="C27" i="1"/>
  <c r="I27" i="1" s="1"/>
  <c r="B26" i="1"/>
  <c r="F64" i="1" l="1"/>
  <c r="H70" i="1"/>
  <c r="F68" i="1"/>
  <c r="E67" i="1"/>
  <c r="D66" i="1"/>
  <c r="H64" i="1"/>
  <c r="H73" i="1"/>
  <c r="F71" i="1"/>
  <c r="D69" i="1"/>
  <c r="H65" i="1"/>
  <c r="H75" i="1"/>
  <c r="F73" i="1"/>
  <c r="H67" i="1"/>
  <c r="F65" i="1"/>
  <c r="H66" i="1"/>
  <c r="F74" i="1"/>
  <c r="H68" i="1"/>
  <c r="F66" i="1"/>
  <c r="H74" i="1"/>
  <c r="F75" i="1"/>
  <c r="B71" i="1"/>
  <c r="B70" i="1"/>
</calcChain>
</file>

<file path=xl/sharedStrings.xml><?xml version="1.0" encoding="utf-8"?>
<sst xmlns="http://schemas.openxmlformats.org/spreadsheetml/2006/main" count="97" uniqueCount="55">
  <si>
    <t>Compound</t>
  </si>
  <si>
    <t>#0250</t>
  </si>
  <si>
    <t>#0252</t>
  </si>
  <si>
    <t>#0262</t>
  </si>
  <si>
    <t>Pilot-8</t>
  </si>
  <si>
    <t>#0263</t>
  </si>
  <si>
    <t>Pilot-10</t>
  </si>
  <si>
    <t>#0179</t>
  </si>
  <si>
    <t>Na2O</t>
  </si>
  <si>
    <t>MgO</t>
  </si>
  <si>
    <t>Al2O3</t>
  </si>
  <si>
    <t>SiO2</t>
  </si>
  <si>
    <t>P2O5</t>
  </si>
  <si>
    <t>SO3</t>
  </si>
  <si>
    <t>K2O</t>
  </si>
  <si>
    <t>CaO</t>
  </si>
  <si>
    <t>TiO2</t>
  </si>
  <si>
    <t>MnO</t>
  </si>
  <si>
    <t>Fe2O3</t>
  </si>
  <si>
    <t>CuO</t>
  </si>
  <si>
    <t>ZnO</t>
  </si>
  <si>
    <t>SrO</t>
  </si>
  <si>
    <t>BaO</t>
  </si>
  <si>
    <t>LoI</t>
  </si>
  <si>
    <t>Total</t>
  </si>
  <si>
    <t>Y</t>
  </si>
  <si>
    <t>Y-P1-Raw</t>
  </si>
  <si>
    <t>Y-P1-ED</t>
  </si>
  <si>
    <t>Y-P2-Raw</t>
  </si>
  <si>
    <t>Y-P2-ED</t>
  </si>
  <si>
    <t>Y-P2-A2P</t>
  </si>
  <si>
    <t>R</t>
  </si>
  <si>
    <t>R-P1-Raw</t>
  </si>
  <si>
    <t>R-P1-ED</t>
  </si>
  <si>
    <t>R-P2-Raw</t>
  </si>
  <si>
    <t>R-P2-ED</t>
  </si>
  <si>
    <t>R-P2-A2P</t>
  </si>
  <si>
    <t>Column1</t>
  </si>
  <si>
    <t>P205</t>
  </si>
  <si>
    <t>Conversion factor</t>
  </si>
  <si>
    <t>Mw total/ (Mw element*No mol of element in oxide)</t>
  </si>
  <si>
    <t>Mw oxide</t>
  </si>
  <si>
    <t>Mw element</t>
  </si>
  <si>
    <t>No mol of element in oxide</t>
  </si>
  <si>
    <t>No mol of o in oxide</t>
  </si>
  <si>
    <t>Na [%]</t>
  </si>
  <si>
    <t>Mg [%]</t>
  </si>
  <si>
    <t>K [%]</t>
  </si>
  <si>
    <t>Ca [%]</t>
  </si>
  <si>
    <t>Ti [%]</t>
  </si>
  <si>
    <t>Mn [%]</t>
  </si>
  <si>
    <t>Fe [%]</t>
  </si>
  <si>
    <t>P [%]</t>
  </si>
  <si>
    <t>30% SSA</t>
  </si>
  <si>
    <t>Calculated in clay brick discs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</si>
</sst>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2" fontId="0" fillId="0" borderId="0" xfId="0" applyNumberFormat="1"/>
    <xf numFmtId="0" fontId="1" fillId="0" borderId="0" xfId="0" applyFont="1" applyAlignment="1">
      <alignment horizontal="left"/>
    </xf>
    <xf numFmtId="0" fontId="2" fillId="0" borderId="0" xfId="0" applyFont="1"/>
    <xf numFmtId="0" fontId="1" fillId="0" borderId="1" xfId="0" applyFont="1" applyBorder="1"/>
    <xf numFmtId="2" fontId="0" fillId="0" borderId="0" xfId="0" applyNumberFormat="1" applyFill="1"/>
  </cellXfs>
  <cellStyles count="1">
    <cellStyle name="Normal" xfId="0" builtinId="0"/>
  </cellStyles>
  <dxfs count="8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0B62B0-9191-447E-9254-69F7A34D131F}" name="Table2" displayName="Table2" ref="A42:I54" totalsRowShown="0">
  <autoFilter ref="A42:I54" xr:uid="{C10B62B0-9191-447E-9254-69F7A34D131F}"/>
  <sortState xmlns:xlrd2="http://schemas.microsoft.com/office/spreadsheetml/2017/richdata2" ref="A43:H54">
    <sortCondition ref="F69:F81"/>
  </sortState>
  <tableColumns count="9">
    <tableColumn id="1" xr3:uid="{5A8F8904-F336-4F3C-BB71-519F93FF2C5D}" name="Column1"/>
    <tableColumn id="2" xr3:uid="{7927498E-298F-45FB-940F-E8B559E48427}" name="Na2O" dataDxfId="7"/>
    <tableColumn id="3" xr3:uid="{74F41358-8726-4583-A94B-36AE6DCBA713}" name="MgO" dataDxfId="6"/>
    <tableColumn id="4" xr3:uid="{F49F72A1-6D7C-40D6-9F8F-FFC5283878E7}" name="K2O" dataDxfId="5"/>
    <tableColumn id="5" xr3:uid="{69825A4E-2547-461F-B5DD-9E23EDDEEDF9}" name="CaO" dataDxfId="4"/>
    <tableColumn id="6" xr3:uid="{E72171D5-1CCE-4965-BCA2-90A12CF510E6}" name="TiO2" dataDxfId="3"/>
    <tableColumn id="7" xr3:uid="{037C599B-1C8F-4588-ADD8-C347CA7484E7}" name="MnO" dataDxfId="2"/>
    <tableColumn id="8" xr3:uid="{0F9219FE-3E89-41A1-B9D1-0C34C0245C35}" name="Fe2O3" dataDxfId="1"/>
    <tableColumn id="9" xr3:uid="{8709EE22-3D7D-405A-8901-3B2A96D9B570}" name="P20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31036-F123-4E17-AE5F-FFCF6671640F}">
  <dimension ref="A1:M75"/>
  <sheetViews>
    <sheetView tabSelected="1" zoomScale="85" zoomScaleNormal="85" workbookViewId="0">
      <selection activeCell="B26" sqref="B26"/>
    </sheetView>
  </sheetViews>
  <sheetFormatPr defaultRowHeight="15" x14ac:dyDescent="0.25"/>
  <cols>
    <col min="1" max="1" width="13.140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0.55900000000000005</v>
      </c>
      <c r="C2">
        <v>0.71299999999999997</v>
      </c>
      <c r="D2">
        <v>0.73899999999999999</v>
      </c>
      <c r="E2">
        <v>0.371</v>
      </c>
      <c r="F2">
        <v>0.95899999999999996</v>
      </c>
      <c r="G2">
        <v>0.78500000000000003</v>
      </c>
      <c r="H2">
        <v>0.79500000000000004</v>
      </c>
    </row>
    <row r="3" spans="1:8" x14ac:dyDescent="0.25">
      <c r="A3" t="s">
        <v>9</v>
      </c>
      <c r="B3">
        <v>2.5619999999999998</v>
      </c>
      <c r="C3">
        <v>2.1419999999999999</v>
      </c>
      <c r="D3">
        <v>3.6520000000000001</v>
      </c>
      <c r="E3">
        <v>2.427</v>
      </c>
      <c r="F3">
        <v>5.6719999999999997</v>
      </c>
      <c r="G3">
        <v>3.04</v>
      </c>
      <c r="H3">
        <v>1.5940000000000001</v>
      </c>
    </row>
    <row r="4" spans="1:8" x14ac:dyDescent="0.25">
      <c r="A4" t="s">
        <v>10</v>
      </c>
      <c r="B4">
        <v>11.361000000000001</v>
      </c>
      <c r="C4">
        <v>13.73</v>
      </c>
      <c r="D4">
        <v>9.7810000000000006</v>
      </c>
      <c r="E4">
        <v>7.157</v>
      </c>
      <c r="F4">
        <v>5.9119999999999999</v>
      </c>
      <c r="G4">
        <v>6.3920000000000003</v>
      </c>
      <c r="H4">
        <v>7.9329999999999998</v>
      </c>
    </row>
    <row r="5" spans="1:8" x14ac:dyDescent="0.25">
      <c r="A5" t="s">
        <v>11</v>
      </c>
      <c r="B5">
        <v>51.305999999999997</v>
      </c>
      <c r="C5">
        <v>63.305</v>
      </c>
      <c r="D5">
        <v>28.210999999999999</v>
      </c>
      <c r="E5">
        <v>31.337</v>
      </c>
      <c r="F5">
        <v>23.724</v>
      </c>
      <c r="G5">
        <v>36.220999999999997</v>
      </c>
      <c r="H5">
        <v>52.341999999999999</v>
      </c>
    </row>
    <row r="6" spans="1:8" x14ac:dyDescent="0.25">
      <c r="A6" t="s">
        <v>12</v>
      </c>
      <c r="B6">
        <v>0.14399999999999999</v>
      </c>
      <c r="C6">
        <v>0</v>
      </c>
      <c r="D6">
        <v>20.978999999999999</v>
      </c>
      <c r="E6">
        <v>16.908000000000001</v>
      </c>
      <c r="F6">
        <v>23.954000000000001</v>
      </c>
      <c r="G6">
        <v>14.933</v>
      </c>
      <c r="H6">
        <v>3.2010000000000001</v>
      </c>
    </row>
    <row r="7" spans="1:8" x14ac:dyDescent="0.25">
      <c r="A7" t="s">
        <v>13</v>
      </c>
      <c r="B7">
        <v>0.34100000000000003</v>
      </c>
      <c r="C7">
        <v>0</v>
      </c>
      <c r="D7">
        <v>1.0109999999999999</v>
      </c>
      <c r="E7">
        <v>0.95699999999999996</v>
      </c>
      <c r="F7">
        <v>1.008</v>
      </c>
      <c r="G7">
        <v>0.16700000000000001</v>
      </c>
      <c r="H7">
        <v>0.13300000000000001</v>
      </c>
    </row>
    <row r="8" spans="1:8" x14ac:dyDescent="0.25">
      <c r="A8" t="s">
        <v>14</v>
      </c>
      <c r="B8">
        <v>2.4780000000000002</v>
      </c>
      <c r="C8">
        <v>2.8050000000000002</v>
      </c>
      <c r="D8">
        <v>2.1419999999999999</v>
      </c>
      <c r="E8">
        <v>1.4430000000000001</v>
      </c>
      <c r="F8">
        <v>1.9770000000000001</v>
      </c>
      <c r="G8">
        <v>2.0979999999999999</v>
      </c>
      <c r="H8">
        <v>2.4900000000000002</v>
      </c>
    </row>
    <row r="9" spans="1:8" x14ac:dyDescent="0.25">
      <c r="A9" t="s">
        <v>15</v>
      </c>
      <c r="B9">
        <v>11.318</v>
      </c>
      <c r="C9">
        <v>2.633</v>
      </c>
      <c r="D9">
        <v>16.408000000000001</v>
      </c>
      <c r="E9">
        <v>11.608000000000001</v>
      </c>
      <c r="F9">
        <v>16.312000000000001</v>
      </c>
      <c r="G9">
        <v>6.2880000000000003</v>
      </c>
      <c r="H9">
        <v>1.2170000000000001</v>
      </c>
    </row>
    <row r="10" spans="1:8" x14ac:dyDescent="0.25">
      <c r="A10" t="s">
        <v>16</v>
      </c>
      <c r="B10">
        <v>0.64500000000000002</v>
      </c>
      <c r="C10">
        <v>0.84</v>
      </c>
      <c r="D10">
        <v>0.81499999999999995</v>
      </c>
      <c r="E10">
        <v>1.0880000000000001</v>
      </c>
      <c r="F10">
        <v>0.92600000000000005</v>
      </c>
      <c r="G10">
        <v>1.2869999999999999</v>
      </c>
      <c r="H10">
        <v>1.605</v>
      </c>
    </row>
    <row r="11" spans="1:8" x14ac:dyDescent="0.25">
      <c r="A11" t="s">
        <v>17</v>
      </c>
      <c r="B11">
        <v>0.70899999999999996</v>
      </c>
      <c r="C11">
        <v>0.107</v>
      </c>
      <c r="D11">
        <v>0.104</v>
      </c>
      <c r="E11">
        <v>8.5000000000000006E-2</v>
      </c>
      <c r="F11">
        <v>9.6000000000000002E-2</v>
      </c>
      <c r="G11">
        <v>6.4000000000000001E-2</v>
      </c>
      <c r="H11">
        <v>3.5999999999999997E-2</v>
      </c>
    </row>
    <row r="12" spans="1:8" x14ac:dyDescent="0.25">
      <c r="A12" t="s">
        <v>18</v>
      </c>
      <c r="B12">
        <v>4.6340000000000003</v>
      </c>
      <c r="C12">
        <v>5.524</v>
      </c>
      <c r="D12">
        <v>13.5</v>
      </c>
      <c r="E12">
        <v>20.324999999999999</v>
      </c>
      <c r="F12">
        <v>16.614000000000001</v>
      </c>
      <c r="G12">
        <v>24.199000000000002</v>
      </c>
      <c r="H12">
        <v>24.890999999999998</v>
      </c>
    </row>
    <row r="13" spans="1:8" x14ac:dyDescent="0.25">
      <c r="A13" t="s">
        <v>19</v>
      </c>
      <c r="D13">
        <v>0.106</v>
      </c>
      <c r="E13">
        <v>9.7000000000000003E-2</v>
      </c>
      <c r="F13">
        <v>0.11899999999999999</v>
      </c>
      <c r="G13">
        <v>8.1000000000000003E-2</v>
      </c>
      <c r="H13">
        <v>6.2E-2</v>
      </c>
    </row>
    <row r="14" spans="1:8" x14ac:dyDescent="0.25">
      <c r="A14" t="s">
        <v>20</v>
      </c>
      <c r="D14">
        <v>0.36</v>
      </c>
      <c r="E14">
        <v>0.29799999999999999</v>
      </c>
      <c r="F14">
        <v>0.45700000000000002</v>
      </c>
      <c r="G14">
        <v>0.20399999999999999</v>
      </c>
      <c r="H14">
        <v>0.187</v>
      </c>
    </row>
    <row r="15" spans="1:8" x14ac:dyDescent="0.25">
      <c r="A15" t="s">
        <v>21</v>
      </c>
      <c r="D15">
        <v>0.309</v>
      </c>
      <c r="E15">
        <v>0.19700000000000001</v>
      </c>
      <c r="F15">
        <v>0.27200000000000002</v>
      </c>
      <c r="G15">
        <v>0.127</v>
      </c>
      <c r="H15">
        <v>7.2999999999999995E-2</v>
      </c>
    </row>
    <row r="16" spans="1:8" x14ac:dyDescent="0.25">
      <c r="A16" t="s">
        <v>22</v>
      </c>
      <c r="D16">
        <v>7.6999999999999999E-2</v>
      </c>
      <c r="E16">
        <v>0</v>
      </c>
      <c r="F16">
        <v>0</v>
      </c>
      <c r="G16">
        <v>0.104</v>
      </c>
      <c r="H16">
        <v>0.151</v>
      </c>
    </row>
    <row r="18" spans="1:13" x14ac:dyDescent="0.25">
      <c r="A18" t="s">
        <v>23</v>
      </c>
      <c r="B18">
        <v>13.9</v>
      </c>
      <c r="C18">
        <v>8.1999999999999993</v>
      </c>
      <c r="D18">
        <v>1.8060000000000258</v>
      </c>
      <c r="E18">
        <v>5.7</v>
      </c>
      <c r="F18">
        <v>2</v>
      </c>
      <c r="G18">
        <v>4</v>
      </c>
      <c r="H18">
        <v>3.3</v>
      </c>
    </row>
    <row r="20" spans="1:13" x14ac:dyDescent="0.25">
      <c r="A20" t="s">
        <v>24</v>
      </c>
      <c r="B20">
        <v>99.956999999999994</v>
      </c>
      <c r="C20">
        <v>99.999000000000009</v>
      </c>
      <c r="D20">
        <v>100</v>
      </c>
      <c r="E20">
        <v>99.99799999999999</v>
      </c>
      <c r="F20">
        <v>100.00200000000001</v>
      </c>
      <c r="G20">
        <v>99.989999999999981</v>
      </c>
      <c r="H20">
        <v>100.00999999999998</v>
      </c>
    </row>
    <row r="25" spans="1:13" x14ac:dyDescent="0.25">
      <c r="B25" t="s">
        <v>54</v>
      </c>
    </row>
    <row r="26" spans="1:13" x14ac:dyDescent="0.25">
      <c r="B26" s="1" t="str">
        <f>B1</f>
        <v>#0250</v>
      </c>
      <c r="C26" s="1" t="s">
        <v>1</v>
      </c>
      <c r="D26" s="1" t="s">
        <v>1</v>
      </c>
      <c r="E26" s="1" t="s">
        <v>1</v>
      </c>
      <c r="F26" s="1" t="s">
        <v>1</v>
      </c>
      <c r="G26" s="1" t="s">
        <v>1</v>
      </c>
      <c r="H26" s="2" t="str">
        <f>C1</f>
        <v>#0252</v>
      </c>
      <c r="I26" s="2" t="s">
        <v>2</v>
      </c>
      <c r="J26" s="2" t="s">
        <v>2</v>
      </c>
      <c r="K26" s="2" t="s">
        <v>2</v>
      </c>
      <c r="L26" s="2" t="s">
        <v>2</v>
      </c>
      <c r="M26" s="2" t="s">
        <v>2</v>
      </c>
    </row>
    <row r="27" spans="1:13" x14ac:dyDescent="0.25">
      <c r="A27" t="s">
        <v>53</v>
      </c>
      <c r="C27" s="1" t="str">
        <f>D1</f>
        <v>#0262</v>
      </c>
      <c r="D27" s="1" t="str">
        <f>E1</f>
        <v>Pilot-8</v>
      </c>
      <c r="E27" s="1" t="str">
        <f>F1</f>
        <v>#0263</v>
      </c>
      <c r="F27" s="1" t="str">
        <f>G1</f>
        <v>Pilot-10</v>
      </c>
      <c r="G27" s="1" t="str">
        <f>H1</f>
        <v>#0179</v>
      </c>
      <c r="I27" s="2" t="str">
        <f>C27</f>
        <v>#0262</v>
      </c>
      <c r="J27" s="2" t="str">
        <f>D27</f>
        <v>Pilot-8</v>
      </c>
      <c r="K27" s="2" t="str">
        <f>E27</f>
        <v>#0263</v>
      </c>
      <c r="L27" s="2" t="str">
        <f>F27</f>
        <v>Pilot-10</v>
      </c>
      <c r="M27" s="2" t="str">
        <f>G27</f>
        <v>#0179</v>
      </c>
    </row>
    <row r="28" spans="1:13" x14ac:dyDescent="0.25">
      <c r="B28" t="s">
        <v>25</v>
      </c>
      <c r="C28" t="s">
        <v>26</v>
      </c>
      <c r="D28" t="s">
        <v>27</v>
      </c>
      <c r="E28" t="s">
        <v>28</v>
      </c>
      <c r="F28" t="s">
        <v>29</v>
      </c>
      <c r="G28" t="s">
        <v>30</v>
      </c>
      <c r="H28" t="s">
        <v>31</v>
      </c>
      <c r="I28" t="s">
        <v>32</v>
      </c>
      <c r="J28" t="s">
        <v>33</v>
      </c>
      <c r="K28" t="s">
        <v>34</v>
      </c>
      <c r="L28" t="s">
        <v>35</v>
      </c>
      <c r="M28" t="s">
        <v>36</v>
      </c>
    </row>
    <row r="29" spans="1:13" x14ac:dyDescent="0.25">
      <c r="A29" t="str">
        <f t="shared" ref="A29:B33" si="0">A2</f>
        <v>Na2O</v>
      </c>
      <c r="B29" s="7">
        <f>B2</f>
        <v>0.55900000000000005</v>
      </c>
      <c r="C29" s="7">
        <f t="shared" ref="C29:G33" si="1">0.7*$B2+0.3*D2</f>
        <v>0.61299999999999999</v>
      </c>
      <c r="D29" s="7">
        <f t="shared" si="1"/>
        <v>0.50260000000000005</v>
      </c>
      <c r="E29" s="7">
        <f t="shared" si="1"/>
        <v>0.67900000000000005</v>
      </c>
      <c r="F29" s="7">
        <f t="shared" si="1"/>
        <v>0.62680000000000002</v>
      </c>
      <c r="G29" s="7">
        <f t="shared" si="1"/>
        <v>0.62980000000000003</v>
      </c>
      <c r="H29" s="7">
        <f>C2</f>
        <v>0.71299999999999997</v>
      </c>
      <c r="I29" s="7">
        <f t="shared" ref="I29:M33" si="2">0.7*$C2+0.3*D2</f>
        <v>0.72079999999999989</v>
      </c>
      <c r="J29" s="7">
        <f t="shared" si="2"/>
        <v>0.61039999999999994</v>
      </c>
      <c r="K29" s="7">
        <f t="shared" si="2"/>
        <v>0.78679999999999994</v>
      </c>
      <c r="L29" s="7">
        <f t="shared" si="2"/>
        <v>0.73459999999999992</v>
      </c>
      <c r="M29" s="7">
        <f t="shared" si="2"/>
        <v>0.73759999999999992</v>
      </c>
    </row>
    <row r="30" spans="1:13" x14ac:dyDescent="0.25">
      <c r="A30" t="str">
        <f t="shared" si="0"/>
        <v>MgO</v>
      </c>
      <c r="B30" s="7">
        <f t="shared" si="0"/>
        <v>2.5619999999999998</v>
      </c>
      <c r="C30" s="7">
        <f t="shared" si="1"/>
        <v>2.8889999999999993</v>
      </c>
      <c r="D30" s="7">
        <f t="shared" si="1"/>
        <v>2.5214999999999996</v>
      </c>
      <c r="E30" s="7">
        <f t="shared" si="1"/>
        <v>3.4949999999999992</v>
      </c>
      <c r="F30" s="7">
        <f t="shared" si="1"/>
        <v>2.7053999999999996</v>
      </c>
      <c r="G30" s="7">
        <f t="shared" si="1"/>
        <v>2.2715999999999998</v>
      </c>
      <c r="H30" s="7">
        <f>C3</f>
        <v>2.1419999999999999</v>
      </c>
      <c r="I30" s="7">
        <f t="shared" si="2"/>
        <v>2.5949999999999998</v>
      </c>
      <c r="J30" s="7">
        <f t="shared" si="2"/>
        <v>2.2275</v>
      </c>
      <c r="K30" s="7">
        <f t="shared" si="2"/>
        <v>3.2009999999999996</v>
      </c>
      <c r="L30" s="7">
        <f t="shared" si="2"/>
        <v>2.4113999999999995</v>
      </c>
      <c r="M30" s="7">
        <f t="shared" si="2"/>
        <v>1.9775999999999998</v>
      </c>
    </row>
    <row r="31" spans="1:13" x14ac:dyDescent="0.25">
      <c r="A31" t="str">
        <f t="shared" si="0"/>
        <v>Al2O3</v>
      </c>
      <c r="B31" s="7">
        <f t="shared" si="0"/>
        <v>11.361000000000001</v>
      </c>
      <c r="C31" s="7">
        <f t="shared" si="1"/>
        <v>10.887</v>
      </c>
      <c r="D31" s="7">
        <f t="shared" si="1"/>
        <v>10.0998</v>
      </c>
      <c r="E31" s="7">
        <f t="shared" si="1"/>
        <v>9.7263000000000002</v>
      </c>
      <c r="F31" s="7">
        <f t="shared" si="1"/>
        <v>9.8703000000000003</v>
      </c>
      <c r="G31" s="7">
        <f t="shared" si="1"/>
        <v>10.332599999999999</v>
      </c>
      <c r="H31" s="7">
        <f>C4</f>
        <v>13.73</v>
      </c>
      <c r="I31" s="7">
        <f t="shared" si="2"/>
        <v>12.545299999999999</v>
      </c>
      <c r="J31" s="7">
        <f t="shared" si="2"/>
        <v>11.758099999999999</v>
      </c>
      <c r="K31" s="7">
        <f t="shared" si="2"/>
        <v>11.384599999999999</v>
      </c>
      <c r="L31" s="7">
        <f t="shared" si="2"/>
        <v>11.528599999999999</v>
      </c>
      <c r="M31" s="7">
        <f t="shared" si="2"/>
        <v>11.990899999999998</v>
      </c>
    </row>
    <row r="32" spans="1:13" x14ac:dyDescent="0.25">
      <c r="A32" t="str">
        <f t="shared" si="0"/>
        <v>SiO2</v>
      </c>
      <c r="B32" s="7">
        <f t="shared" si="0"/>
        <v>51.305999999999997</v>
      </c>
      <c r="C32" s="7">
        <f t="shared" si="1"/>
        <v>44.377499999999991</v>
      </c>
      <c r="D32" s="7">
        <f t="shared" si="1"/>
        <v>45.315299999999993</v>
      </c>
      <c r="E32" s="7">
        <f t="shared" si="1"/>
        <v>43.031399999999991</v>
      </c>
      <c r="F32" s="7">
        <f t="shared" si="1"/>
        <v>46.780499999999989</v>
      </c>
      <c r="G32" s="7">
        <f t="shared" si="1"/>
        <v>51.616799999999991</v>
      </c>
      <c r="H32" s="7">
        <f>C5</f>
        <v>63.305</v>
      </c>
      <c r="I32" s="7">
        <f t="shared" si="2"/>
        <v>52.776799999999994</v>
      </c>
      <c r="J32" s="7">
        <f t="shared" si="2"/>
        <v>53.714599999999997</v>
      </c>
      <c r="K32" s="7">
        <f t="shared" si="2"/>
        <v>51.430699999999995</v>
      </c>
      <c r="L32" s="7">
        <f t="shared" si="2"/>
        <v>55.1798</v>
      </c>
      <c r="M32" s="7">
        <f t="shared" si="2"/>
        <v>60.016099999999994</v>
      </c>
    </row>
    <row r="33" spans="1:13" x14ac:dyDescent="0.25">
      <c r="A33" t="str">
        <f t="shared" si="0"/>
        <v>P2O5</v>
      </c>
      <c r="B33" s="7">
        <f t="shared" si="0"/>
        <v>0.14399999999999999</v>
      </c>
      <c r="C33" s="7">
        <f t="shared" si="1"/>
        <v>6.394499999999999</v>
      </c>
      <c r="D33" s="7">
        <f>0.7*$B6+0.3*E6</f>
        <v>5.1731999999999996</v>
      </c>
      <c r="E33" s="7">
        <f t="shared" si="1"/>
        <v>7.2869999999999999</v>
      </c>
      <c r="F33" s="7">
        <f t="shared" si="1"/>
        <v>4.5806999999999993</v>
      </c>
      <c r="G33" s="7">
        <f t="shared" si="1"/>
        <v>1.0610999999999999</v>
      </c>
      <c r="H33" s="7">
        <f>C6</f>
        <v>0</v>
      </c>
      <c r="I33" s="7">
        <f t="shared" si="2"/>
        <v>6.2936999999999994</v>
      </c>
      <c r="J33" s="7">
        <f t="shared" si="2"/>
        <v>5.0724</v>
      </c>
      <c r="K33" s="7">
        <f t="shared" si="2"/>
        <v>7.1862000000000004</v>
      </c>
      <c r="L33" s="7">
        <f t="shared" si="2"/>
        <v>4.4798999999999998</v>
      </c>
      <c r="M33" s="7">
        <f t="shared" si="2"/>
        <v>0.96029999999999993</v>
      </c>
    </row>
    <row r="34" spans="1:13" x14ac:dyDescent="0.25">
      <c r="A34" t="str">
        <f t="shared" ref="A34:B38" si="3">A8</f>
        <v>K2O</v>
      </c>
      <c r="B34" s="7">
        <f>B8</f>
        <v>2.4780000000000002</v>
      </c>
      <c r="C34" s="7">
        <f t="shared" ref="C34:G38" si="4">0.7*$B8+0.3*D8</f>
        <v>2.3772000000000002</v>
      </c>
      <c r="D34" s="7">
        <f t="shared" si="4"/>
        <v>2.1675</v>
      </c>
      <c r="E34" s="7">
        <f>0.7*$B8+0.3*F8</f>
        <v>2.3277000000000001</v>
      </c>
      <c r="F34" s="7">
        <f t="shared" si="4"/>
        <v>2.3639999999999999</v>
      </c>
      <c r="G34" s="7">
        <f t="shared" si="4"/>
        <v>2.4816000000000003</v>
      </c>
      <c r="H34" s="7">
        <f>C8</f>
        <v>2.8050000000000002</v>
      </c>
      <c r="I34" s="7">
        <f t="shared" ref="I34:M38" si="5">0.7*$C8+0.3*D8</f>
        <v>2.6061000000000001</v>
      </c>
      <c r="J34" s="7">
        <f t="shared" si="5"/>
        <v>2.3963999999999999</v>
      </c>
      <c r="K34" s="7">
        <f t="shared" si="5"/>
        <v>2.5566</v>
      </c>
      <c r="L34" s="7">
        <f t="shared" si="5"/>
        <v>2.5929000000000002</v>
      </c>
      <c r="M34" s="7">
        <f t="shared" si="5"/>
        <v>2.7105000000000001</v>
      </c>
    </row>
    <row r="35" spans="1:13" x14ac:dyDescent="0.25">
      <c r="A35" t="str">
        <f t="shared" si="3"/>
        <v>CaO</v>
      </c>
      <c r="B35" s="7">
        <f t="shared" si="3"/>
        <v>11.318</v>
      </c>
      <c r="C35" s="7">
        <f t="shared" si="4"/>
        <v>12.844999999999999</v>
      </c>
      <c r="D35" s="7">
        <f t="shared" si="4"/>
        <v>11.404999999999999</v>
      </c>
      <c r="E35" s="7">
        <f t="shared" si="4"/>
        <v>12.816199999999998</v>
      </c>
      <c r="F35" s="7">
        <f t="shared" si="4"/>
        <v>9.8089999999999993</v>
      </c>
      <c r="G35" s="7">
        <f t="shared" si="4"/>
        <v>8.2876999999999992</v>
      </c>
      <c r="H35" s="7">
        <f>C9</f>
        <v>2.633</v>
      </c>
      <c r="I35" s="7">
        <f t="shared" si="5"/>
        <v>6.7655000000000003</v>
      </c>
      <c r="J35" s="7">
        <f t="shared" si="5"/>
        <v>5.3254999999999999</v>
      </c>
      <c r="K35" s="7">
        <f t="shared" si="5"/>
        <v>6.7366999999999999</v>
      </c>
      <c r="L35" s="7">
        <f t="shared" si="5"/>
        <v>3.7294999999999998</v>
      </c>
      <c r="M35" s="7">
        <f t="shared" si="5"/>
        <v>2.2082000000000002</v>
      </c>
    </row>
    <row r="36" spans="1:13" x14ac:dyDescent="0.25">
      <c r="A36" t="str">
        <f t="shared" si="3"/>
        <v>TiO2</v>
      </c>
      <c r="B36" s="7">
        <f t="shared" si="3"/>
        <v>0.64500000000000002</v>
      </c>
      <c r="C36" s="7">
        <f t="shared" si="4"/>
        <v>0.69599999999999995</v>
      </c>
      <c r="D36" s="7">
        <f t="shared" si="4"/>
        <v>0.77790000000000004</v>
      </c>
      <c r="E36" s="7">
        <f t="shared" si="4"/>
        <v>0.72929999999999995</v>
      </c>
      <c r="F36" s="7">
        <f t="shared" si="4"/>
        <v>0.8375999999999999</v>
      </c>
      <c r="G36" s="7">
        <f t="shared" si="4"/>
        <v>0.93299999999999994</v>
      </c>
      <c r="H36" s="7">
        <f>C10</f>
        <v>0.84</v>
      </c>
      <c r="I36" s="7">
        <f t="shared" si="5"/>
        <v>0.83249999999999991</v>
      </c>
      <c r="J36" s="7">
        <f t="shared" si="5"/>
        <v>0.91439999999999999</v>
      </c>
      <c r="K36" s="7">
        <f t="shared" si="5"/>
        <v>0.8657999999999999</v>
      </c>
      <c r="L36" s="7">
        <f t="shared" si="5"/>
        <v>0.97409999999999997</v>
      </c>
      <c r="M36" s="7">
        <f t="shared" si="5"/>
        <v>1.0694999999999999</v>
      </c>
    </row>
    <row r="37" spans="1:13" x14ac:dyDescent="0.25">
      <c r="A37" t="str">
        <f t="shared" si="3"/>
        <v>MnO</v>
      </c>
      <c r="B37" s="7">
        <f>B11</f>
        <v>0.70899999999999996</v>
      </c>
      <c r="C37" s="7">
        <f t="shared" si="4"/>
        <v>0.52749999999999997</v>
      </c>
      <c r="D37" s="7">
        <f t="shared" si="4"/>
        <v>0.52179999999999993</v>
      </c>
      <c r="E37" s="7">
        <f t="shared" si="4"/>
        <v>0.52510000000000001</v>
      </c>
      <c r="F37" s="7">
        <f t="shared" si="4"/>
        <v>0.51549999999999996</v>
      </c>
      <c r="G37" s="7">
        <f t="shared" si="4"/>
        <v>0.5071</v>
      </c>
      <c r="H37" s="7">
        <f>C11</f>
        <v>0.107</v>
      </c>
      <c r="I37" s="7">
        <f t="shared" si="5"/>
        <v>0.1061</v>
      </c>
      <c r="J37" s="7">
        <f t="shared" si="5"/>
        <v>0.10039999999999999</v>
      </c>
      <c r="K37" s="7">
        <f t="shared" si="5"/>
        <v>0.10369999999999999</v>
      </c>
      <c r="L37" s="7">
        <f t="shared" si="5"/>
        <v>9.4099999999999989E-2</v>
      </c>
      <c r="M37" s="7">
        <f t="shared" si="5"/>
        <v>8.5699999999999998E-2</v>
      </c>
    </row>
    <row r="38" spans="1:13" x14ac:dyDescent="0.25">
      <c r="A38" t="str">
        <f t="shared" si="3"/>
        <v>Fe2O3</v>
      </c>
      <c r="B38" s="7">
        <f>B12</f>
        <v>4.6340000000000003</v>
      </c>
      <c r="C38" s="7">
        <f t="shared" si="4"/>
        <v>7.2938000000000001</v>
      </c>
      <c r="D38" s="7">
        <f t="shared" si="4"/>
        <v>9.3413000000000004</v>
      </c>
      <c r="E38" s="7">
        <f t="shared" si="4"/>
        <v>8.2280000000000015</v>
      </c>
      <c r="F38" s="7">
        <f t="shared" si="4"/>
        <v>10.503500000000001</v>
      </c>
      <c r="G38" s="7">
        <f t="shared" si="4"/>
        <v>10.711099999999998</v>
      </c>
      <c r="H38" s="7">
        <f>C12</f>
        <v>5.524</v>
      </c>
      <c r="I38" s="7">
        <f t="shared" si="5"/>
        <v>7.9167999999999994</v>
      </c>
      <c r="J38" s="7">
        <f t="shared" si="5"/>
        <v>9.9642999999999979</v>
      </c>
      <c r="K38" s="7">
        <f t="shared" si="5"/>
        <v>8.8509999999999991</v>
      </c>
      <c r="L38" s="7">
        <f t="shared" si="5"/>
        <v>11.1265</v>
      </c>
      <c r="M38" s="7">
        <f t="shared" si="5"/>
        <v>11.334099999999999</v>
      </c>
    </row>
    <row r="39" spans="1:13" x14ac:dyDescent="0.25">
      <c r="A39" t="str">
        <f>A20</f>
        <v>Total</v>
      </c>
      <c r="B39" s="7">
        <f>B20</f>
        <v>99.956999999999994</v>
      </c>
      <c r="C39" s="7">
        <f>0.7*$B20+0.3*D20</f>
        <v>99.969899999999996</v>
      </c>
      <c r="D39" s="7">
        <f>0.7*$B20+0.3*E20</f>
        <v>99.96929999999999</v>
      </c>
      <c r="E39" s="7">
        <f>0.7*$B20+0.3*F20</f>
        <v>99.970500000000001</v>
      </c>
      <c r="F39" s="7">
        <f>0.7*$B20+0.3*G20</f>
        <v>99.966899999999981</v>
      </c>
      <c r="G39" s="7">
        <f>0.7*$B20+0.3*H20</f>
        <v>99.972899999999981</v>
      </c>
      <c r="H39" s="7">
        <f>C20</f>
        <v>99.999000000000009</v>
      </c>
      <c r="I39" s="7">
        <f>0.7*$C20+0.3*D20</f>
        <v>99.999300000000005</v>
      </c>
      <c r="J39" s="7">
        <f>0.7*$C20+0.3*E20</f>
        <v>99.998699999999999</v>
      </c>
      <c r="K39" s="7">
        <f>0.7*$C20+0.3*F20</f>
        <v>99.999900000000011</v>
      </c>
      <c r="L39" s="7">
        <f>0.7*$C20+0.3*G20</f>
        <v>99.996299999999991</v>
      </c>
      <c r="M39" s="7">
        <f>0.7*$C20+0.3*H20</f>
        <v>100.00229999999999</v>
      </c>
    </row>
    <row r="42" spans="1:13" x14ac:dyDescent="0.25">
      <c r="A42" t="s">
        <v>37</v>
      </c>
      <c r="B42" t="s">
        <v>8</v>
      </c>
      <c r="C42" t="s">
        <v>9</v>
      </c>
      <c r="D42" t="s">
        <v>14</v>
      </c>
      <c r="E42" t="s">
        <v>15</v>
      </c>
      <c r="F42" t="s">
        <v>16</v>
      </c>
      <c r="G42" t="s">
        <v>17</v>
      </c>
      <c r="H42" t="s">
        <v>18</v>
      </c>
      <c r="I42" t="s">
        <v>38</v>
      </c>
    </row>
    <row r="43" spans="1:13" x14ac:dyDescent="0.25">
      <c r="A43" t="s">
        <v>25</v>
      </c>
      <c r="B43" s="3">
        <v>0.55900000000000005</v>
      </c>
      <c r="C43" s="3">
        <v>2.5619999999999998</v>
      </c>
      <c r="D43" s="3">
        <v>2.4780000000000002</v>
      </c>
      <c r="E43" s="3">
        <v>11.318</v>
      </c>
      <c r="F43" s="3">
        <v>0.64500000000000002</v>
      </c>
      <c r="G43" s="3">
        <v>0.70899999999999996</v>
      </c>
      <c r="H43" s="3">
        <v>4.6340000000000003</v>
      </c>
      <c r="I43" s="3">
        <v>0.14399999999999999</v>
      </c>
      <c r="J43" s="3"/>
    </row>
    <row r="44" spans="1:13" x14ac:dyDescent="0.25">
      <c r="A44" t="s">
        <v>26</v>
      </c>
      <c r="B44" s="3">
        <v>0.61299999999999999</v>
      </c>
      <c r="C44" s="3">
        <v>2.8889999999999993</v>
      </c>
      <c r="D44" s="3">
        <v>2.3772000000000002</v>
      </c>
      <c r="E44" s="3">
        <v>12.844999999999999</v>
      </c>
      <c r="F44" s="3">
        <v>0.69599999999999995</v>
      </c>
      <c r="G44" s="3">
        <v>0.52749999999999997</v>
      </c>
      <c r="H44" s="3">
        <v>7.2938000000000001</v>
      </c>
      <c r="I44" s="3">
        <v>6.394499999999999</v>
      </c>
      <c r="J44" s="3"/>
    </row>
    <row r="45" spans="1:13" x14ac:dyDescent="0.25">
      <c r="A45" t="s">
        <v>27</v>
      </c>
      <c r="B45" s="3">
        <v>0.50260000000000005</v>
      </c>
      <c r="C45" s="3">
        <v>2.5214999999999996</v>
      </c>
      <c r="D45" s="3">
        <v>2.1675</v>
      </c>
      <c r="E45" s="3">
        <v>11.404999999999999</v>
      </c>
      <c r="F45" s="3">
        <v>0.77790000000000004</v>
      </c>
      <c r="G45" s="3">
        <v>0.52179999999999993</v>
      </c>
      <c r="H45" s="3">
        <v>9.3413000000000004</v>
      </c>
      <c r="I45" s="3">
        <v>5.1731999999999996</v>
      </c>
      <c r="J45" s="3"/>
    </row>
    <row r="46" spans="1:13" x14ac:dyDescent="0.25">
      <c r="A46" t="s">
        <v>28</v>
      </c>
      <c r="B46" s="3">
        <v>0.67900000000000005</v>
      </c>
      <c r="C46" s="3">
        <v>3.4949999999999992</v>
      </c>
      <c r="D46" s="3">
        <v>2.3277000000000001</v>
      </c>
      <c r="E46" s="3">
        <v>12.816199999999998</v>
      </c>
      <c r="F46" s="3">
        <v>0.72929999999999995</v>
      </c>
      <c r="G46" s="3">
        <v>0.52510000000000001</v>
      </c>
      <c r="H46" s="3">
        <v>8.2280000000000015</v>
      </c>
      <c r="I46" s="3">
        <v>7.2869999999999999</v>
      </c>
      <c r="J46" s="3"/>
    </row>
    <row r="47" spans="1:13" x14ac:dyDescent="0.25">
      <c r="A47" t="s">
        <v>29</v>
      </c>
      <c r="B47" s="3">
        <v>0.62680000000000002</v>
      </c>
      <c r="C47" s="3">
        <v>2.7053999999999996</v>
      </c>
      <c r="D47" s="3">
        <v>2.3639999999999999</v>
      </c>
      <c r="E47" s="3">
        <v>9.8089999999999993</v>
      </c>
      <c r="F47" s="3">
        <v>0.8375999999999999</v>
      </c>
      <c r="G47" s="3">
        <v>0.51549999999999996</v>
      </c>
      <c r="H47" s="3">
        <v>10.503500000000001</v>
      </c>
      <c r="I47" s="3">
        <v>4.5806999999999993</v>
      </c>
      <c r="J47" s="3"/>
    </row>
    <row r="48" spans="1:13" x14ac:dyDescent="0.25">
      <c r="A48" t="s">
        <v>30</v>
      </c>
      <c r="B48" s="3">
        <v>0.62980000000000003</v>
      </c>
      <c r="C48" s="3">
        <v>2.2715999999999998</v>
      </c>
      <c r="D48" s="3">
        <v>2.4816000000000003</v>
      </c>
      <c r="E48" s="3">
        <v>8.2876999999999992</v>
      </c>
      <c r="F48" s="3">
        <v>0.93299999999999994</v>
      </c>
      <c r="G48" s="3">
        <v>0.5071</v>
      </c>
      <c r="H48" s="3">
        <v>10.711099999999998</v>
      </c>
      <c r="I48" s="3">
        <v>1.0610999999999999</v>
      </c>
      <c r="J48" s="3"/>
    </row>
    <row r="49" spans="1:10" x14ac:dyDescent="0.25">
      <c r="A49" t="s">
        <v>31</v>
      </c>
      <c r="B49" s="3">
        <v>0.71299999999999997</v>
      </c>
      <c r="C49" s="3">
        <v>2.1419999999999999</v>
      </c>
      <c r="D49" s="3">
        <v>2.8050000000000002</v>
      </c>
      <c r="E49" s="3">
        <v>2.633</v>
      </c>
      <c r="F49" s="3">
        <v>0.84</v>
      </c>
      <c r="G49" s="3">
        <v>0.107</v>
      </c>
      <c r="H49" s="3">
        <v>5.524</v>
      </c>
      <c r="I49" s="3">
        <v>0</v>
      </c>
      <c r="J49" s="3"/>
    </row>
    <row r="50" spans="1:10" x14ac:dyDescent="0.25">
      <c r="A50" t="s">
        <v>32</v>
      </c>
      <c r="B50" s="3">
        <v>0.72079999999999989</v>
      </c>
      <c r="C50" s="3">
        <v>2.5949999999999998</v>
      </c>
      <c r="D50" s="3">
        <v>2.6061000000000001</v>
      </c>
      <c r="E50" s="3">
        <v>6.7655000000000003</v>
      </c>
      <c r="F50" s="3">
        <v>0.83249999999999991</v>
      </c>
      <c r="G50" s="3">
        <v>0.1061</v>
      </c>
      <c r="H50" s="3">
        <v>7.9167999999999994</v>
      </c>
      <c r="I50" s="3">
        <v>6.2936999999999994</v>
      </c>
      <c r="J50" s="3"/>
    </row>
    <row r="51" spans="1:10" x14ac:dyDescent="0.25">
      <c r="A51" t="s">
        <v>33</v>
      </c>
      <c r="B51" s="3">
        <v>0.61039999999999994</v>
      </c>
      <c r="C51" s="3">
        <v>2.2275</v>
      </c>
      <c r="D51" s="3">
        <v>2.3963999999999999</v>
      </c>
      <c r="E51" s="3">
        <v>5.3254999999999999</v>
      </c>
      <c r="F51" s="3">
        <v>0.91439999999999999</v>
      </c>
      <c r="G51" s="3">
        <v>0.10039999999999999</v>
      </c>
      <c r="H51" s="3">
        <v>9.9642999999999979</v>
      </c>
      <c r="I51" s="3">
        <v>5.0724</v>
      </c>
      <c r="J51" s="3"/>
    </row>
    <row r="52" spans="1:10" x14ac:dyDescent="0.25">
      <c r="A52" t="s">
        <v>34</v>
      </c>
      <c r="B52" s="3">
        <v>0.78679999999999994</v>
      </c>
      <c r="C52" s="3">
        <v>3.2009999999999996</v>
      </c>
      <c r="D52" s="3">
        <v>2.5566</v>
      </c>
      <c r="E52" s="3">
        <v>6.7366999999999999</v>
      </c>
      <c r="F52" s="3">
        <v>0.8657999999999999</v>
      </c>
      <c r="G52" s="3">
        <v>0.10369999999999999</v>
      </c>
      <c r="H52" s="3">
        <v>8.8509999999999991</v>
      </c>
      <c r="I52" s="3">
        <v>7.1862000000000004</v>
      </c>
      <c r="J52" s="3"/>
    </row>
    <row r="53" spans="1:10" x14ac:dyDescent="0.25">
      <c r="A53" t="s">
        <v>35</v>
      </c>
      <c r="B53" s="3">
        <v>0.73459999999999992</v>
      </c>
      <c r="C53" s="3">
        <v>2.4113999999999995</v>
      </c>
      <c r="D53" s="3">
        <v>2.5929000000000002</v>
      </c>
      <c r="E53" s="3">
        <v>3.7294999999999998</v>
      </c>
      <c r="F53" s="3">
        <v>0.97409999999999997</v>
      </c>
      <c r="G53" s="3">
        <v>9.4099999999999989E-2</v>
      </c>
      <c r="H53" s="3">
        <v>11.1265</v>
      </c>
      <c r="I53" s="3">
        <v>4.4798999999999998</v>
      </c>
      <c r="J53" s="3"/>
    </row>
    <row r="54" spans="1:10" x14ac:dyDescent="0.25">
      <c r="A54" t="s">
        <v>36</v>
      </c>
      <c r="B54" s="3">
        <v>0.73759999999999992</v>
      </c>
      <c r="C54" s="3">
        <v>1.9775999999999998</v>
      </c>
      <c r="D54" s="3">
        <v>2.7105000000000001</v>
      </c>
      <c r="E54" s="3">
        <v>2.2082000000000002</v>
      </c>
      <c r="F54" s="3">
        <v>1.0694999999999999</v>
      </c>
      <c r="G54" s="3">
        <v>8.5699999999999998E-2</v>
      </c>
      <c r="H54" s="3">
        <v>11.334099999999999</v>
      </c>
      <c r="I54" s="3">
        <v>0.96029999999999993</v>
      </c>
      <c r="J54" s="3"/>
    </row>
    <row r="56" spans="1:10" x14ac:dyDescent="0.25">
      <c r="A56" t="s">
        <v>39</v>
      </c>
      <c r="B56" t="s">
        <v>40</v>
      </c>
    </row>
    <row r="57" spans="1:10" x14ac:dyDescent="0.25">
      <c r="A57" s="4" t="s">
        <v>41</v>
      </c>
      <c r="B57">
        <v>15.999000000000001</v>
      </c>
    </row>
    <row r="58" spans="1:10" x14ac:dyDescent="0.25">
      <c r="A58" t="s">
        <v>42</v>
      </c>
      <c r="B58">
        <v>22.99</v>
      </c>
      <c r="C58">
        <v>24.31</v>
      </c>
      <c r="D58">
        <v>39.1</v>
      </c>
      <c r="E58">
        <v>40.08</v>
      </c>
      <c r="F58">
        <v>47.87</v>
      </c>
      <c r="G58">
        <v>54.94</v>
      </c>
      <c r="H58">
        <v>55.85</v>
      </c>
      <c r="I58">
        <v>30.97</v>
      </c>
    </row>
    <row r="59" spans="1:10" x14ac:dyDescent="0.25">
      <c r="A59" s="4" t="s">
        <v>43</v>
      </c>
      <c r="B59">
        <v>2</v>
      </c>
      <c r="C59">
        <v>1</v>
      </c>
      <c r="D59">
        <v>2</v>
      </c>
      <c r="E59">
        <v>1</v>
      </c>
      <c r="F59">
        <v>1</v>
      </c>
      <c r="G59">
        <v>1</v>
      </c>
      <c r="H59">
        <v>2</v>
      </c>
      <c r="I59">
        <v>2</v>
      </c>
    </row>
    <row r="60" spans="1:10" x14ac:dyDescent="0.25">
      <c r="A60" s="4" t="s">
        <v>44</v>
      </c>
      <c r="B60">
        <v>1</v>
      </c>
      <c r="C60">
        <v>1</v>
      </c>
      <c r="D60">
        <v>1</v>
      </c>
      <c r="E60">
        <v>1</v>
      </c>
      <c r="F60">
        <v>2</v>
      </c>
      <c r="G60">
        <v>1</v>
      </c>
      <c r="H60">
        <v>3</v>
      </c>
      <c r="I60">
        <v>5</v>
      </c>
    </row>
    <row r="61" spans="1:10" x14ac:dyDescent="0.25">
      <c r="B61" s="5"/>
    </row>
    <row r="62" spans="1:10" ht="15.75" thickBot="1" x14ac:dyDescent="0.3">
      <c r="A62" s="4" t="s">
        <v>39</v>
      </c>
      <c r="B62" s="3">
        <f>(B59*B58+B60*$B$57)/(B58*B59)</f>
        <v>1.3479556328838627</v>
      </c>
      <c r="C62" s="3">
        <f>(C59*C58+C60*$B$57)/(C58*C59)</f>
        <v>1.658124228712464</v>
      </c>
      <c r="D62" s="3">
        <f t="shared" ref="C62:I62" si="6">(D59*D58+D60*$B$57)/(D58*D59)</f>
        <v>1.2045907928388746</v>
      </c>
      <c r="E62" s="3">
        <f t="shared" si="6"/>
        <v>1.3991766467065869</v>
      </c>
      <c r="F62" s="3">
        <f t="shared" si="6"/>
        <v>1.6684353457280134</v>
      </c>
      <c r="G62" s="3">
        <f t="shared" si="6"/>
        <v>1.2912085911903894</v>
      </c>
      <c r="H62" s="3">
        <f t="shared" si="6"/>
        <v>1.4296956132497762</v>
      </c>
      <c r="I62" s="3">
        <f t="shared" si="6"/>
        <v>2.2914917662253793</v>
      </c>
    </row>
    <row r="63" spans="1:10" x14ac:dyDescent="0.25">
      <c r="B63" s="6" t="s">
        <v>45</v>
      </c>
      <c r="C63" s="6" t="s">
        <v>46</v>
      </c>
      <c r="D63" t="s">
        <v>47</v>
      </c>
      <c r="E63" t="s">
        <v>48</v>
      </c>
      <c r="F63" t="s">
        <v>49</v>
      </c>
      <c r="G63" t="s">
        <v>50</v>
      </c>
      <c r="H63" t="s">
        <v>51</v>
      </c>
      <c r="I63" t="s">
        <v>52</v>
      </c>
    </row>
    <row r="64" spans="1:10" x14ac:dyDescent="0.25">
      <c r="A64" t="s">
        <v>25</v>
      </c>
      <c r="B64" s="3">
        <f>B43/B$62</f>
        <v>0.41470207650978558</v>
      </c>
      <c r="C64" s="3">
        <f>C43/C$62</f>
        <v>1.5451194522315115</v>
      </c>
      <c r="D64" s="3">
        <f t="shared" ref="C64:I64" si="7">D43/D$62</f>
        <v>2.0571301181541206</v>
      </c>
      <c r="E64" s="3">
        <f t="shared" si="7"/>
        <v>8.0890429572567264</v>
      </c>
      <c r="F64" s="3">
        <f t="shared" si="7"/>
        <v>0.38658974808433916</v>
      </c>
      <c r="G64" s="3">
        <f t="shared" si="7"/>
        <v>0.54909795740001976</v>
      </c>
      <c r="H64" s="3">
        <f t="shared" si="7"/>
        <v>3.2412493659868375</v>
      </c>
      <c r="I64" s="3">
        <f>I43/I$62</f>
        <v>6.2841159685771655E-2</v>
      </c>
    </row>
    <row r="65" spans="1:9" x14ac:dyDescent="0.25">
      <c r="A65" t="s">
        <v>26</v>
      </c>
      <c r="B65" s="3">
        <f t="shared" ref="B65:I75" si="8">B44/B$62</f>
        <v>0.4547627422191387</v>
      </c>
      <c r="C65" s="3">
        <f t="shared" si="8"/>
        <v>1.7423302488278047</v>
      </c>
      <c r="D65" s="3">
        <f t="shared" si="8"/>
        <v>1.9734502489410719</v>
      </c>
      <c r="E65" s="3">
        <f t="shared" si="8"/>
        <v>9.1803990798694688</v>
      </c>
      <c r="F65" s="3">
        <f t="shared" si="8"/>
        <v>0.41715730956077524</v>
      </c>
      <c r="G65" s="3">
        <f t="shared" si="8"/>
        <v>0.40853197817843501</v>
      </c>
      <c r="H65" s="3">
        <f t="shared" si="8"/>
        <v>5.1016453659116952</v>
      </c>
      <c r="I65" s="3">
        <f t="shared" si="8"/>
        <v>2.7905402472962972</v>
      </c>
    </row>
    <row r="66" spans="1:9" x14ac:dyDescent="0.25">
      <c r="A66" t="s">
        <v>27</v>
      </c>
      <c r="B66" s="3">
        <f t="shared" si="8"/>
        <v>0.37286093676890558</v>
      </c>
      <c r="C66" s="3">
        <f t="shared" si="8"/>
        <v>1.5206942618273833</v>
      </c>
      <c r="D66" s="3">
        <f t="shared" si="8"/>
        <v>1.7993662353103537</v>
      </c>
      <c r="E66" s="3">
        <f t="shared" si="8"/>
        <v>8.1512223827101042</v>
      </c>
      <c r="F66" s="3">
        <f t="shared" si="8"/>
        <v>0.46624521710822858</v>
      </c>
      <c r="G66" s="3">
        <f t="shared" si="8"/>
        <v>0.40411750940949265</v>
      </c>
      <c r="H66" s="3">
        <f t="shared" si="8"/>
        <v>6.53376838638171</v>
      </c>
      <c r="I66" s="3">
        <f t="shared" si="8"/>
        <v>2.2575686617113466</v>
      </c>
    </row>
    <row r="67" spans="1:9" x14ac:dyDescent="0.25">
      <c r="A67" t="s">
        <v>28</v>
      </c>
      <c r="B67" s="3">
        <f t="shared" si="8"/>
        <v>0.50372577808612595</v>
      </c>
      <c r="C67" s="3">
        <f t="shared" si="8"/>
        <v>2.1078034682080919</v>
      </c>
      <c r="D67" s="3">
        <f t="shared" si="8"/>
        <v>1.9323574560239496</v>
      </c>
      <c r="E67" s="3">
        <f t="shared" si="8"/>
        <v>9.1598155459262802</v>
      </c>
      <c r="F67" s="3">
        <f t="shared" si="8"/>
        <v>0.43711612911303643</v>
      </c>
      <c r="G67" s="3">
        <f t="shared" si="8"/>
        <v>0.4066732544862488</v>
      </c>
      <c r="H67" s="3">
        <f t="shared" si="8"/>
        <v>5.7550711660206524</v>
      </c>
      <c r="I67" s="3">
        <f t="shared" si="8"/>
        <v>3.1800245182654034</v>
      </c>
    </row>
    <row r="68" spans="1:9" x14ac:dyDescent="0.25">
      <c r="A68" t="s">
        <v>29</v>
      </c>
      <c r="B68" s="3">
        <f t="shared" si="8"/>
        <v>0.46500046790041788</v>
      </c>
      <c r="C68" s="3">
        <f t="shared" si="8"/>
        <v>1.6316027189957576</v>
      </c>
      <c r="D68" s="3">
        <f t="shared" si="8"/>
        <v>1.9624921708298391</v>
      </c>
      <c r="E68" s="3">
        <f t="shared" si="8"/>
        <v>7.0105515433584751</v>
      </c>
      <c r="F68" s="3">
        <f t="shared" si="8"/>
        <v>0.50202724495417428</v>
      </c>
      <c r="G68" s="3">
        <f t="shared" si="8"/>
        <v>0.39923835971750377</v>
      </c>
      <c r="H68" s="3">
        <f t="shared" si="8"/>
        <v>7.3466686913342141</v>
      </c>
      <c r="I68" s="3">
        <f t="shared" si="8"/>
        <v>1.9990034734209319</v>
      </c>
    </row>
    <row r="69" spans="1:9" x14ac:dyDescent="0.25">
      <c r="A69" t="s">
        <v>30</v>
      </c>
      <c r="B69" s="3">
        <f t="shared" si="8"/>
        <v>0.4672260604398264</v>
      </c>
      <c r="C69" s="3">
        <f t="shared" si="8"/>
        <v>1.3699817906670966</v>
      </c>
      <c r="D69" s="3">
        <f t="shared" si="8"/>
        <v>2.0601186849117297</v>
      </c>
      <c r="E69" s="3">
        <f t="shared" si="8"/>
        <v>5.9232692451719888</v>
      </c>
      <c r="F69" s="3">
        <f t="shared" si="8"/>
        <v>0.55920656583362538</v>
      </c>
      <c r="G69" s="3">
        <f t="shared" si="8"/>
        <v>0.39273282679485194</v>
      </c>
      <c r="H69" s="3">
        <f t="shared" si="8"/>
        <v>7.4918744246917583</v>
      </c>
      <c r="I69" s="3">
        <f t="shared" si="8"/>
        <v>0.46306079543452988</v>
      </c>
    </row>
    <row r="70" spans="1:9" x14ac:dyDescent="0.25">
      <c r="A70" t="s">
        <v>31</v>
      </c>
      <c r="B70" s="3">
        <f t="shared" si="8"/>
        <v>0.52894916019942229</v>
      </c>
      <c r="C70" s="3">
        <f t="shared" si="8"/>
        <v>1.2918211813738867</v>
      </c>
      <c r="D70" s="3">
        <f t="shared" si="8"/>
        <v>2.3285915986369283</v>
      </c>
      <c r="E70" s="3">
        <f t="shared" si="8"/>
        <v>1.8818210025143101</v>
      </c>
      <c r="F70" s="3">
        <f t="shared" si="8"/>
        <v>0.50346571843541843</v>
      </c>
      <c r="G70" s="3">
        <f t="shared" si="8"/>
        <v>8.2868097943303409E-2</v>
      </c>
      <c r="H70" s="3">
        <f t="shared" si="8"/>
        <v>3.8637594945427902</v>
      </c>
      <c r="I70" s="3">
        <f t="shared" si="8"/>
        <v>0</v>
      </c>
    </row>
    <row r="71" spans="1:9" x14ac:dyDescent="0.25">
      <c r="A71" t="s">
        <v>32</v>
      </c>
      <c r="B71" s="3">
        <f t="shared" si="8"/>
        <v>0.53473570080188437</v>
      </c>
      <c r="C71" s="3">
        <f t="shared" si="8"/>
        <v>1.5650214592274676</v>
      </c>
      <c r="D71" s="3">
        <f t="shared" si="8"/>
        <v>2.163473285279037</v>
      </c>
      <c r="E71" s="3">
        <f t="shared" si="8"/>
        <v>4.8353437115497782</v>
      </c>
      <c r="F71" s="3">
        <f t="shared" si="8"/>
        <v>0.49897048880653072</v>
      </c>
      <c r="G71" s="3">
        <f t="shared" si="8"/>
        <v>8.2171076558733569E-2</v>
      </c>
      <c r="H71" s="3">
        <f t="shared" si="8"/>
        <v>5.5374024559008612</v>
      </c>
      <c r="I71" s="3">
        <f t="shared" si="8"/>
        <v>2.7465514355162575</v>
      </c>
    </row>
    <row r="72" spans="1:9" x14ac:dyDescent="0.25">
      <c r="A72" t="s">
        <v>33</v>
      </c>
      <c r="B72" s="3">
        <f t="shared" si="8"/>
        <v>0.45283389535165131</v>
      </c>
      <c r="C72" s="3">
        <f t="shared" si="8"/>
        <v>1.3433854722270462</v>
      </c>
      <c r="D72" s="3">
        <f t="shared" si="8"/>
        <v>1.989389271648319</v>
      </c>
      <c r="E72" s="3">
        <f t="shared" si="8"/>
        <v>3.8061670143904132</v>
      </c>
      <c r="F72" s="3">
        <f t="shared" si="8"/>
        <v>0.54805839635398401</v>
      </c>
      <c r="G72" s="3">
        <f t="shared" si="8"/>
        <v>7.7756607789791224E-2</v>
      </c>
      <c r="H72" s="3">
        <f t="shared" si="8"/>
        <v>6.969525476370876</v>
      </c>
      <c r="I72" s="3">
        <f t="shared" si="8"/>
        <v>2.2135798499313069</v>
      </c>
    </row>
    <row r="73" spans="1:9" x14ac:dyDescent="0.25">
      <c r="A73" t="s">
        <v>34</v>
      </c>
      <c r="B73" s="3">
        <f t="shared" si="8"/>
        <v>0.58369873666887162</v>
      </c>
      <c r="C73" s="3">
        <f t="shared" si="8"/>
        <v>1.9304946786077548</v>
      </c>
      <c r="D73" s="3">
        <f t="shared" si="8"/>
        <v>2.1223804923619149</v>
      </c>
      <c r="E73" s="3">
        <f t="shared" si="8"/>
        <v>4.8147601776065905</v>
      </c>
      <c r="F73" s="3">
        <f t="shared" si="8"/>
        <v>0.51892930835879192</v>
      </c>
      <c r="G73" s="3">
        <f t="shared" si="8"/>
        <v>8.031235286654731E-2</v>
      </c>
      <c r="H73" s="3">
        <f t="shared" si="8"/>
        <v>6.1908282560098176</v>
      </c>
      <c r="I73" s="3">
        <f t="shared" si="8"/>
        <v>3.1360357064853632</v>
      </c>
    </row>
    <row r="74" spans="1:9" x14ac:dyDescent="0.25">
      <c r="A74" t="s">
        <v>35</v>
      </c>
      <c r="B74" s="3">
        <f t="shared" si="8"/>
        <v>0.54497342648316349</v>
      </c>
      <c r="C74" s="3">
        <f t="shared" si="8"/>
        <v>1.45429392939542</v>
      </c>
      <c r="D74" s="3">
        <f t="shared" si="8"/>
        <v>2.1525152071678044</v>
      </c>
      <c r="E74" s="3">
        <f t="shared" si="8"/>
        <v>2.6654961750387844</v>
      </c>
      <c r="F74" s="3">
        <f t="shared" si="8"/>
        <v>0.58384042419992987</v>
      </c>
      <c r="G74" s="3">
        <f t="shared" si="8"/>
        <v>7.2877458097802328E-2</v>
      </c>
      <c r="H74" s="3">
        <f t="shared" si="8"/>
        <v>7.782425781323381</v>
      </c>
      <c r="I74" s="3">
        <f t="shared" si="8"/>
        <v>1.9550146616408919</v>
      </c>
    </row>
    <row r="75" spans="1:9" x14ac:dyDescent="0.25">
      <c r="A75" t="s">
        <v>36</v>
      </c>
      <c r="B75" s="3">
        <f t="shared" si="8"/>
        <v>0.54719901902257206</v>
      </c>
      <c r="C75" s="3">
        <f t="shared" si="8"/>
        <v>1.1926730010667592</v>
      </c>
      <c r="D75" s="3">
        <f t="shared" si="8"/>
        <v>2.2501417212496952</v>
      </c>
      <c r="E75" s="3">
        <f t="shared" si="8"/>
        <v>1.5782138768522977</v>
      </c>
      <c r="F75" s="3">
        <f t="shared" si="8"/>
        <v>0.64101974507938086</v>
      </c>
      <c r="G75" s="3">
        <f t="shared" si="8"/>
        <v>6.637192517515049E-2</v>
      </c>
      <c r="H75" s="3">
        <f t="shared" si="8"/>
        <v>7.9276315146809262</v>
      </c>
      <c r="I75" s="3">
        <f t="shared" si="8"/>
        <v>0.41907198365448972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TECHNICAL UNIVERSITY OF DENMARK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Frederikke Brandt Feldthus</dc:creator>
  <cp:lastModifiedBy>Frederikke Brandt Feldthus</cp:lastModifiedBy>
  <dcterms:created xsi:type="dcterms:W3CDTF">2025-09-18T08:37:37Z</dcterms:created>
  <dcterms:modified xsi:type="dcterms:W3CDTF">2025-09-18T09:10:14Z</dcterms:modified>
</cp:coreProperties>
</file>