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fbfe_dtu_dk/Documents/Scientific paper #1/Results/DTU DATA/"/>
    </mc:Choice>
  </mc:AlternateContent>
  <xr:revisionPtr revIDLastSave="456" documentId="11_09A78293D70C55BA8C5B7F43FBF37E14A522F0B2" xr6:coauthVersionLast="47" xr6:coauthVersionMax="47" xr10:uidLastSave="{D30E881B-5DAC-4E90-A0CC-F49F77CF5405}"/>
  <bookViews>
    <workbookView xWindow="1875" yWindow="1500" windowWidth="21600" windowHeight="12585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B68" i="2"/>
  <c r="B69" i="2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R7" i="2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M7" i="2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K7" i="2" l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G7" i="2"/>
  <c r="G8" i="2" s="1"/>
  <c r="G9" i="2" s="1"/>
  <c r="G10" i="2" s="1"/>
  <c r="G11" i="2" s="1"/>
  <c r="G12" i="2" s="1"/>
  <c r="G13" i="2" s="1"/>
  <c r="G14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l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C70" i="2"/>
  <c r="C78" i="2"/>
  <c r="C75" i="2" s="1"/>
  <c r="C72" i="2" l="1"/>
  <c r="C71" i="2"/>
</calcChain>
</file>

<file path=xl/sharedStrings.xml><?xml version="1.0" encoding="utf-8"?>
<sst xmlns="http://schemas.openxmlformats.org/spreadsheetml/2006/main" count="24" uniqueCount="19">
  <si>
    <t>AshCycle</t>
  </si>
  <si>
    <t>#0262 milled 10 sec</t>
  </si>
  <si>
    <t>#0263 milled 10 sec</t>
  </si>
  <si>
    <t>Cummulative</t>
  </si>
  <si>
    <t>Pilot-8</t>
  </si>
  <si>
    <t>Pilot-8 milled 10 sec</t>
  </si>
  <si>
    <t>#0263</t>
  </si>
  <si>
    <t>#0262</t>
  </si>
  <si>
    <t>Pilot-10</t>
  </si>
  <si>
    <t>#0179</t>
  </si>
  <si>
    <t>Silica Sand uncrushed</t>
  </si>
  <si>
    <t>P2-ED</t>
  </si>
  <si>
    <t>P2-Raw</t>
  </si>
  <si>
    <t>P1-ED</t>
  </si>
  <si>
    <t>P1-Raw</t>
  </si>
  <si>
    <t>P1-A2P (unmilled)</t>
  </si>
  <si>
    <t>Silt</t>
  </si>
  <si>
    <r>
      <t xml:space="preserve">Clay </t>
    </r>
    <r>
      <rPr>
        <sz val="11"/>
        <color theme="1"/>
        <rFont val="Aptos Narrow"/>
        <family val="2"/>
      </rPr>
      <t>≤ 2 µm</t>
    </r>
  </si>
  <si>
    <t>63 µm ≤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</si>
</sst>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164" fontId="0" fillId="0" borderId="4" xfId="0" applyNumberFormat="1" applyBorder="1"/>
    <xf numFmtId="164" fontId="0" fillId="0" borderId="6" xfId="0" applyNumberFormat="1" applyBorder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164" fontId="0" fillId="2" borderId="4" xfId="0" applyNumberFormat="1" applyFill="1" applyBorder="1"/>
    <xf numFmtId="0" fontId="0" fillId="2" borderId="5" xfId="0" applyFill="1" applyBorder="1"/>
    <xf numFmtId="164" fontId="0" fillId="2" borderId="6" xfId="0" applyNumberFormat="1" applyFill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2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5A11"/>
      <color rgb="FFFFE699"/>
      <color rgb="FFEDEDED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Sheet2!$F$5</c:f>
              <c:strCache>
                <c:ptCount val="1"/>
                <c:pt idx="0">
                  <c:v>P1-Raw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Sheet2!$E$7:$E$106</c:f>
              <c:numCache>
                <c:formatCode>General</c:formatCode>
                <c:ptCount val="100"/>
                <c:pt idx="0">
                  <c:v>1.1481999999999999E-2</c:v>
                </c:pt>
                <c:pt idx="1">
                  <c:v>1.3183E-2</c:v>
                </c:pt>
                <c:pt idx="2">
                  <c:v>1.5136E-2</c:v>
                </c:pt>
                <c:pt idx="3">
                  <c:v>1.7378000000000001E-2</c:v>
                </c:pt>
                <c:pt idx="4">
                  <c:v>1.9952999999999999E-2</c:v>
                </c:pt>
                <c:pt idx="5">
                  <c:v>2.2908999999999999E-2</c:v>
                </c:pt>
                <c:pt idx="6">
                  <c:v>2.6303E-2</c:v>
                </c:pt>
                <c:pt idx="7">
                  <c:v>3.0200000000000001E-2</c:v>
                </c:pt>
                <c:pt idx="8">
                  <c:v>3.4674000000000003E-2</c:v>
                </c:pt>
                <c:pt idx="9">
                  <c:v>3.9810999999999999E-2</c:v>
                </c:pt>
                <c:pt idx="10">
                  <c:v>4.5709E-2</c:v>
                </c:pt>
                <c:pt idx="11">
                  <c:v>5.2481E-2</c:v>
                </c:pt>
                <c:pt idx="12">
                  <c:v>6.0255999999999997E-2</c:v>
                </c:pt>
                <c:pt idx="13">
                  <c:v>6.9182999999999995E-2</c:v>
                </c:pt>
                <c:pt idx="14">
                  <c:v>7.9433000000000004E-2</c:v>
                </c:pt>
                <c:pt idx="15">
                  <c:v>9.1201000000000004E-2</c:v>
                </c:pt>
                <c:pt idx="16">
                  <c:v>0.104713</c:v>
                </c:pt>
                <c:pt idx="17">
                  <c:v>0.120226</c:v>
                </c:pt>
                <c:pt idx="18">
                  <c:v>0.13803799999999999</c:v>
                </c:pt>
                <c:pt idx="19">
                  <c:v>0.15848899999999999</c:v>
                </c:pt>
                <c:pt idx="20">
                  <c:v>0.18196999999999999</c:v>
                </c:pt>
                <c:pt idx="21">
                  <c:v>0.20893</c:v>
                </c:pt>
                <c:pt idx="22">
                  <c:v>0.23988300000000001</c:v>
                </c:pt>
                <c:pt idx="23">
                  <c:v>0.27542299999999997</c:v>
                </c:pt>
                <c:pt idx="24">
                  <c:v>0.31622800000000001</c:v>
                </c:pt>
                <c:pt idx="25">
                  <c:v>0.36307800000000001</c:v>
                </c:pt>
                <c:pt idx="26">
                  <c:v>0.41686899999999999</c:v>
                </c:pt>
                <c:pt idx="27">
                  <c:v>0.47863</c:v>
                </c:pt>
                <c:pt idx="28">
                  <c:v>0.54954099999999995</c:v>
                </c:pt>
                <c:pt idx="29">
                  <c:v>0.63095699999999999</c:v>
                </c:pt>
                <c:pt idx="30">
                  <c:v>0.72443599999999997</c:v>
                </c:pt>
                <c:pt idx="31">
                  <c:v>0.83176399999999995</c:v>
                </c:pt>
                <c:pt idx="32">
                  <c:v>0.95499299999999998</c:v>
                </c:pt>
                <c:pt idx="33">
                  <c:v>1.0964780000000001</c:v>
                </c:pt>
                <c:pt idx="34">
                  <c:v>1.2589250000000001</c:v>
                </c:pt>
                <c:pt idx="35">
                  <c:v>1.4454400000000001</c:v>
                </c:pt>
                <c:pt idx="36">
                  <c:v>1.6595869999999999</c:v>
                </c:pt>
                <c:pt idx="37">
                  <c:v>1.9054610000000001</c:v>
                </c:pt>
                <c:pt idx="38">
                  <c:v>2.1877620000000002</c:v>
                </c:pt>
                <c:pt idx="39">
                  <c:v>2.5118860000000001</c:v>
                </c:pt>
                <c:pt idx="40">
                  <c:v>2.8840309999999998</c:v>
                </c:pt>
                <c:pt idx="41">
                  <c:v>3.3113109999999999</c:v>
                </c:pt>
                <c:pt idx="42">
                  <c:v>3.8018939999999999</c:v>
                </c:pt>
                <c:pt idx="43">
                  <c:v>4.3651580000000001</c:v>
                </c:pt>
                <c:pt idx="44">
                  <c:v>5.0118720000000003</c:v>
                </c:pt>
                <c:pt idx="45">
                  <c:v>5.7543990000000003</c:v>
                </c:pt>
                <c:pt idx="46">
                  <c:v>6.6069339999999999</c:v>
                </c:pt>
                <c:pt idx="47">
                  <c:v>7.5857760000000001</c:v>
                </c:pt>
                <c:pt idx="48">
                  <c:v>8.7096359999999997</c:v>
                </c:pt>
                <c:pt idx="49">
                  <c:v>10</c:v>
                </c:pt>
                <c:pt idx="50">
                  <c:v>11.481536</c:v>
                </c:pt>
                <c:pt idx="51">
                  <c:v>13.182567000000001</c:v>
                </c:pt>
                <c:pt idx="52">
                  <c:v>15.135612</c:v>
                </c:pt>
                <c:pt idx="53">
                  <c:v>17.378008000000001</c:v>
                </c:pt>
                <c:pt idx="54">
                  <c:v>19.952622999999999</c:v>
                </c:pt>
                <c:pt idx="55">
                  <c:v>22.908677000000001</c:v>
                </c:pt>
                <c:pt idx="56">
                  <c:v>26.302679999999999</c:v>
                </c:pt>
                <c:pt idx="57">
                  <c:v>30.199517</c:v>
                </c:pt>
                <c:pt idx="58">
                  <c:v>34.673684999999999</c:v>
                </c:pt>
                <c:pt idx="59">
                  <c:v>39.810716999999997</c:v>
                </c:pt>
                <c:pt idx="60">
                  <c:v>45.708818999999998</c:v>
                </c:pt>
                <c:pt idx="61">
                  <c:v>52.480746000000003</c:v>
                </c:pt>
                <c:pt idx="62">
                  <c:v>60.255958999999997</c:v>
                </c:pt>
                <c:pt idx="63">
                  <c:v>69.183097000000004</c:v>
                </c:pt>
                <c:pt idx="64">
                  <c:v>79.432822999999999</c:v>
                </c:pt>
                <c:pt idx="65">
                  <c:v>91.201083999999994</c:v>
                </c:pt>
                <c:pt idx="66">
                  <c:v>104.712855</c:v>
                </c:pt>
                <c:pt idx="67">
                  <c:v>120.226443</c:v>
                </c:pt>
                <c:pt idx="68">
                  <c:v>138.03842599999999</c:v>
                </c:pt>
                <c:pt idx="69">
                  <c:v>158.48931899999999</c:v>
                </c:pt>
                <c:pt idx="70">
                  <c:v>181.97008600000001</c:v>
                </c:pt>
                <c:pt idx="71">
                  <c:v>208.92961299999999</c:v>
                </c:pt>
                <c:pt idx="72">
                  <c:v>239.88329200000001</c:v>
                </c:pt>
                <c:pt idx="73">
                  <c:v>275.42286999999999</c:v>
                </c:pt>
                <c:pt idx="74">
                  <c:v>316.22776599999997</c:v>
                </c:pt>
                <c:pt idx="75">
                  <c:v>363.07805500000001</c:v>
                </c:pt>
                <c:pt idx="76">
                  <c:v>416.86938300000003</c:v>
                </c:pt>
                <c:pt idx="77">
                  <c:v>478.63009199999999</c:v>
                </c:pt>
                <c:pt idx="78">
                  <c:v>549.54087400000003</c:v>
                </c:pt>
                <c:pt idx="79">
                  <c:v>630.95734400000003</c:v>
                </c:pt>
                <c:pt idx="80">
                  <c:v>724.43596000000002</c:v>
                </c:pt>
                <c:pt idx="81">
                  <c:v>831.76377100000002</c:v>
                </c:pt>
                <c:pt idx="82">
                  <c:v>954.99258599999996</c:v>
                </c:pt>
                <c:pt idx="83">
                  <c:v>1096.478196</c:v>
                </c:pt>
                <c:pt idx="84">
                  <c:v>1258.9254120000001</c:v>
                </c:pt>
                <c:pt idx="85">
                  <c:v>1445.4397710000001</c:v>
                </c:pt>
                <c:pt idx="86">
                  <c:v>1659.5869070000001</c:v>
                </c:pt>
                <c:pt idx="87">
                  <c:v>1905.460718</c:v>
                </c:pt>
                <c:pt idx="88">
                  <c:v>2187.7616240000002</c:v>
                </c:pt>
                <c:pt idx="89">
                  <c:v>2511.8864319999998</c:v>
                </c:pt>
                <c:pt idx="90">
                  <c:v>2884.0315030000002</c:v>
                </c:pt>
                <c:pt idx="91">
                  <c:v>3311.3112150000002</c:v>
                </c:pt>
                <c:pt idx="92">
                  <c:v>3801.893963</c:v>
                </c:pt>
                <c:pt idx="93">
                  <c:v>4365.1583220000002</c:v>
                </c:pt>
                <c:pt idx="94">
                  <c:v>5011.8723360000004</c:v>
                </c:pt>
                <c:pt idx="95">
                  <c:v>5754.3993730000002</c:v>
                </c:pt>
                <c:pt idx="96">
                  <c:v>6606.9344799999999</c:v>
                </c:pt>
                <c:pt idx="97">
                  <c:v>7585.7757499999998</c:v>
                </c:pt>
                <c:pt idx="98">
                  <c:v>8709.6358999999993</c:v>
                </c:pt>
                <c:pt idx="99">
                  <c:v>10000</c:v>
                </c:pt>
              </c:numCache>
            </c:numRef>
          </c:xVal>
          <c:yVal>
            <c:numRef>
              <c:f>Sheet2!$G$7:$G$106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5.9179999999999996E-3</c:v>
                </c:pt>
                <c:pt idx="38">
                  <c:v>0.42178099999999996</c:v>
                </c:pt>
                <c:pt idx="39">
                  <c:v>1.234551</c:v>
                </c:pt>
                <c:pt idx="40">
                  <c:v>2.449538</c:v>
                </c:pt>
                <c:pt idx="41">
                  <c:v>4.0665719999999999</c:v>
                </c:pt>
                <c:pt idx="42">
                  <c:v>6.050789</c:v>
                </c:pt>
                <c:pt idx="43">
                  <c:v>8.3656649999999999</c:v>
                </c:pt>
                <c:pt idx="44">
                  <c:v>10.980710999999999</c:v>
                </c:pt>
                <c:pt idx="45">
                  <c:v>13.878428999999999</c:v>
                </c:pt>
                <c:pt idx="46">
                  <c:v>17.064155</c:v>
                </c:pt>
                <c:pt idx="47">
                  <c:v>20.550901</c:v>
                </c:pt>
                <c:pt idx="48">
                  <c:v>24.365884000000001</c:v>
                </c:pt>
                <c:pt idx="49">
                  <c:v>28.528634</c:v>
                </c:pt>
                <c:pt idx="50">
                  <c:v>33.061975000000004</c:v>
                </c:pt>
                <c:pt idx="51">
                  <c:v>37.963220000000007</c:v>
                </c:pt>
                <c:pt idx="52">
                  <c:v>43.222558000000006</c:v>
                </c:pt>
                <c:pt idx="53">
                  <c:v>48.795417000000008</c:v>
                </c:pt>
                <c:pt idx="54">
                  <c:v>54.616095000000008</c:v>
                </c:pt>
                <c:pt idx="55">
                  <c:v>60.583401000000009</c:v>
                </c:pt>
                <c:pt idx="56">
                  <c:v>66.569173000000006</c:v>
                </c:pt>
                <c:pt idx="57">
                  <c:v>72.421231000000006</c:v>
                </c:pt>
                <c:pt idx="58">
                  <c:v>77.973146</c:v>
                </c:pt>
                <c:pt idx="59">
                  <c:v>83.062854000000002</c:v>
                </c:pt>
                <c:pt idx="60">
                  <c:v>87.547066000000001</c:v>
                </c:pt>
                <c:pt idx="61">
                  <c:v>91.321262000000004</c:v>
                </c:pt>
                <c:pt idx="62">
                  <c:v>94.33550000000001</c:v>
                </c:pt>
                <c:pt idx="63">
                  <c:v>96.595020000000005</c:v>
                </c:pt>
                <c:pt idx="64">
                  <c:v>98.169640000000001</c:v>
                </c:pt>
                <c:pt idx="65">
                  <c:v>99.159219000000007</c:v>
                </c:pt>
                <c:pt idx="66">
                  <c:v>99.721334000000013</c:v>
                </c:pt>
                <c:pt idx="67">
                  <c:v>99.937831000000017</c:v>
                </c:pt>
                <c:pt idx="68">
                  <c:v>99.999999000000017</c:v>
                </c:pt>
                <c:pt idx="69">
                  <c:v>99.999999000000017</c:v>
                </c:pt>
                <c:pt idx="70">
                  <c:v>99.999999000000017</c:v>
                </c:pt>
                <c:pt idx="71">
                  <c:v>99.999999000000017</c:v>
                </c:pt>
                <c:pt idx="72">
                  <c:v>99.999999000000017</c:v>
                </c:pt>
                <c:pt idx="73">
                  <c:v>99.999999000000017</c:v>
                </c:pt>
                <c:pt idx="74">
                  <c:v>99.999999000000017</c:v>
                </c:pt>
                <c:pt idx="75">
                  <c:v>99.999999000000017</c:v>
                </c:pt>
                <c:pt idx="76">
                  <c:v>99.999999000000017</c:v>
                </c:pt>
                <c:pt idx="77">
                  <c:v>99.999999000000017</c:v>
                </c:pt>
                <c:pt idx="78">
                  <c:v>99.999999000000017</c:v>
                </c:pt>
                <c:pt idx="79">
                  <c:v>99.999999000000017</c:v>
                </c:pt>
                <c:pt idx="80">
                  <c:v>99.999999000000017</c:v>
                </c:pt>
                <c:pt idx="81">
                  <c:v>99.999999000000017</c:v>
                </c:pt>
                <c:pt idx="82">
                  <c:v>99.999999000000017</c:v>
                </c:pt>
                <c:pt idx="83">
                  <c:v>99.999999000000017</c:v>
                </c:pt>
                <c:pt idx="84">
                  <c:v>99.999999000000017</c:v>
                </c:pt>
                <c:pt idx="85">
                  <c:v>99.999999000000017</c:v>
                </c:pt>
                <c:pt idx="86">
                  <c:v>99.999999000000017</c:v>
                </c:pt>
                <c:pt idx="87">
                  <c:v>99.999999000000017</c:v>
                </c:pt>
                <c:pt idx="88">
                  <c:v>99.999999000000017</c:v>
                </c:pt>
                <c:pt idx="89">
                  <c:v>99.999999000000017</c:v>
                </c:pt>
                <c:pt idx="90">
                  <c:v>99.999999000000017</c:v>
                </c:pt>
                <c:pt idx="91">
                  <c:v>99.999999000000017</c:v>
                </c:pt>
                <c:pt idx="92">
                  <c:v>99.999999000000017</c:v>
                </c:pt>
                <c:pt idx="93">
                  <c:v>99.999999000000017</c:v>
                </c:pt>
                <c:pt idx="94">
                  <c:v>99.999999000000017</c:v>
                </c:pt>
                <c:pt idx="95">
                  <c:v>99.999999000000017</c:v>
                </c:pt>
                <c:pt idx="96">
                  <c:v>99.999999000000017</c:v>
                </c:pt>
                <c:pt idx="97">
                  <c:v>99.999999000000017</c:v>
                </c:pt>
                <c:pt idx="98">
                  <c:v>99.999999000000017</c:v>
                </c:pt>
                <c:pt idx="99">
                  <c:v>99.999999000000017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0B-44B7-8A1B-0DA1C6CBFE42}"/>
            </c:ext>
          </c:extLst>
        </c:ser>
        <c:ser>
          <c:idx val="2"/>
          <c:order val="1"/>
          <c:tx>
            <c:strRef>
              <c:f>Sheet2!$H$5</c:f>
              <c:strCache>
                <c:ptCount val="1"/>
                <c:pt idx="0">
                  <c:v>P1-ED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Sheet2!$E$7:$E$106</c:f>
              <c:numCache>
                <c:formatCode>General</c:formatCode>
                <c:ptCount val="100"/>
                <c:pt idx="0">
                  <c:v>1.1481999999999999E-2</c:v>
                </c:pt>
                <c:pt idx="1">
                  <c:v>1.3183E-2</c:v>
                </c:pt>
                <c:pt idx="2">
                  <c:v>1.5136E-2</c:v>
                </c:pt>
                <c:pt idx="3">
                  <c:v>1.7378000000000001E-2</c:v>
                </c:pt>
                <c:pt idx="4">
                  <c:v>1.9952999999999999E-2</c:v>
                </c:pt>
                <c:pt idx="5">
                  <c:v>2.2908999999999999E-2</c:v>
                </c:pt>
                <c:pt idx="6">
                  <c:v>2.6303E-2</c:v>
                </c:pt>
                <c:pt idx="7">
                  <c:v>3.0200000000000001E-2</c:v>
                </c:pt>
                <c:pt idx="8">
                  <c:v>3.4674000000000003E-2</c:v>
                </c:pt>
                <c:pt idx="9">
                  <c:v>3.9810999999999999E-2</c:v>
                </c:pt>
                <c:pt idx="10">
                  <c:v>4.5709E-2</c:v>
                </c:pt>
                <c:pt idx="11">
                  <c:v>5.2481E-2</c:v>
                </c:pt>
                <c:pt idx="12">
                  <c:v>6.0255999999999997E-2</c:v>
                </c:pt>
                <c:pt idx="13">
                  <c:v>6.9182999999999995E-2</c:v>
                </c:pt>
                <c:pt idx="14">
                  <c:v>7.9433000000000004E-2</c:v>
                </c:pt>
                <c:pt idx="15">
                  <c:v>9.1201000000000004E-2</c:v>
                </c:pt>
                <c:pt idx="16">
                  <c:v>0.104713</c:v>
                </c:pt>
                <c:pt idx="17">
                  <c:v>0.120226</c:v>
                </c:pt>
                <c:pt idx="18">
                  <c:v>0.13803799999999999</c:v>
                </c:pt>
                <c:pt idx="19">
                  <c:v>0.15848899999999999</c:v>
                </c:pt>
                <c:pt idx="20">
                  <c:v>0.18196999999999999</c:v>
                </c:pt>
                <c:pt idx="21">
                  <c:v>0.20893</c:v>
                </c:pt>
                <c:pt idx="22">
                  <c:v>0.23988300000000001</c:v>
                </c:pt>
                <c:pt idx="23">
                  <c:v>0.27542299999999997</c:v>
                </c:pt>
                <c:pt idx="24">
                  <c:v>0.31622800000000001</c:v>
                </c:pt>
                <c:pt idx="25">
                  <c:v>0.36307800000000001</c:v>
                </c:pt>
                <c:pt idx="26">
                  <c:v>0.41686899999999999</c:v>
                </c:pt>
                <c:pt idx="27">
                  <c:v>0.47863</c:v>
                </c:pt>
                <c:pt idx="28">
                  <c:v>0.54954099999999995</c:v>
                </c:pt>
                <c:pt idx="29">
                  <c:v>0.63095699999999999</c:v>
                </c:pt>
                <c:pt idx="30">
                  <c:v>0.72443599999999997</c:v>
                </c:pt>
                <c:pt idx="31">
                  <c:v>0.83176399999999995</c:v>
                </c:pt>
                <c:pt idx="32">
                  <c:v>0.95499299999999998</c:v>
                </c:pt>
                <c:pt idx="33">
                  <c:v>1.0964780000000001</c:v>
                </c:pt>
                <c:pt idx="34">
                  <c:v>1.2589250000000001</c:v>
                </c:pt>
                <c:pt idx="35">
                  <c:v>1.4454400000000001</c:v>
                </c:pt>
                <c:pt idx="36">
                  <c:v>1.6595869999999999</c:v>
                </c:pt>
                <c:pt idx="37">
                  <c:v>1.9054610000000001</c:v>
                </c:pt>
                <c:pt idx="38">
                  <c:v>2.1877620000000002</c:v>
                </c:pt>
                <c:pt idx="39">
                  <c:v>2.5118860000000001</c:v>
                </c:pt>
                <c:pt idx="40">
                  <c:v>2.8840309999999998</c:v>
                </c:pt>
                <c:pt idx="41">
                  <c:v>3.3113109999999999</c:v>
                </c:pt>
                <c:pt idx="42">
                  <c:v>3.8018939999999999</c:v>
                </c:pt>
                <c:pt idx="43">
                  <c:v>4.3651580000000001</c:v>
                </c:pt>
                <c:pt idx="44">
                  <c:v>5.0118720000000003</c:v>
                </c:pt>
                <c:pt idx="45">
                  <c:v>5.7543990000000003</c:v>
                </c:pt>
                <c:pt idx="46">
                  <c:v>6.6069339999999999</c:v>
                </c:pt>
                <c:pt idx="47">
                  <c:v>7.5857760000000001</c:v>
                </c:pt>
                <c:pt idx="48">
                  <c:v>8.7096359999999997</c:v>
                </c:pt>
                <c:pt idx="49">
                  <c:v>10</c:v>
                </c:pt>
                <c:pt idx="50">
                  <c:v>11.481536</c:v>
                </c:pt>
                <c:pt idx="51">
                  <c:v>13.182567000000001</c:v>
                </c:pt>
                <c:pt idx="52">
                  <c:v>15.135612</c:v>
                </c:pt>
                <c:pt idx="53">
                  <c:v>17.378008000000001</c:v>
                </c:pt>
                <c:pt idx="54">
                  <c:v>19.952622999999999</c:v>
                </c:pt>
                <c:pt idx="55">
                  <c:v>22.908677000000001</c:v>
                </c:pt>
                <c:pt idx="56">
                  <c:v>26.302679999999999</c:v>
                </c:pt>
                <c:pt idx="57">
                  <c:v>30.199517</c:v>
                </c:pt>
                <c:pt idx="58">
                  <c:v>34.673684999999999</c:v>
                </c:pt>
                <c:pt idx="59">
                  <c:v>39.810716999999997</c:v>
                </c:pt>
                <c:pt idx="60">
                  <c:v>45.708818999999998</c:v>
                </c:pt>
                <c:pt idx="61">
                  <c:v>52.480746000000003</c:v>
                </c:pt>
                <c:pt idx="62">
                  <c:v>60.255958999999997</c:v>
                </c:pt>
                <c:pt idx="63">
                  <c:v>69.183097000000004</c:v>
                </c:pt>
                <c:pt idx="64">
                  <c:v>79.432822999999999</c:v>
                </c:pt>
                <c:pt idx="65">
                  <c:v>91.201083999999994</c:v>
                </c:pt>
                <c:pt idx="66">
                  <c:v>104.712855</c:v>
                </c:pt>
                <c:pt idx="67">
                  <c:v>120.226443</c:v>
                </c:pt>
                <c:pt idx="68">
                  <c:v>138.03842599999999</c:v>
                </c:pt>
                <c:pt idx="69">
                  <c:v>158.48931899999999</c:v>
                </c:pt>
                <c:pt idx="70">
                  <c:v>181.97008600000001</c:v>
                </c:pt>
                <c:pt idx="71">
                  <c:v>208.92961299999999</c:v>
                </c:pt>
                <c:pt idx="72">
                  <c:v>239.88329200000001</c:v>
                </c:pt>
                <c:pt idx="73">
                  <c:v>275.42286999999999</c:v>
                </c:pt>
                <c:pt idx="74">
                  <c:v>316.22776599999997</c:v>
                </c:pt>
                <c:pt idx="75">
                  <c:v>363.07805500000001</c:v>
                </c:pt>
                <c:pt idx="76">
                  <c:v>416.86938300000003</c:v>
                </c:pt>
                <c:pt idx="77">
                  <c:v>478.63009199999999</c:v>
                </c:pt>
                <c:pt idx="78">
                  <c:v>549.54087400000003</c:v>
                </c:pt>
                <c:pt idx="79">
                  <c:v>630.95734400000003</c:v>
                </c:pt>
                <c:pt idx="80">
                  <c:v>724.43596000000002</c:v>
                </c:pt>
                <c:pt idx="81">
                  <c:v>831.76377100000002</c:v>
                </c:pt>
                <c:pt idx="82">
                  <c:v>954.99258599999996</c:v>
                </c:pt>
                <c:pt idx="83">
                  <c:v>1096.478196</c:v>
                </c:pt>
                <c:pt idx="84">
                  <c:v>1258.9254120000001</c:v>
                </c:pt>
                <c:pt idx="85">
                  <c:v>1445.4397710000001</c:v>
                </c:pt>
                <c:pt idx="86">
                  <c:v>1659.5869070000001</c:v>
                </c:pt>
                <c:pt idx="87">
                  <c:v>1905.460718</c:v>
                </c:pt>
                <c:pt idx="88">
                  <c:v>2187.7616240000002</c:v>
                </c:pt>
                <c:pt idx="89">
                  <c:v>2511.8864319999998</c:v>
                </c:pt>
                <c:pt idx="90">
                  <c:v>2884.0315030000002</c:v>
                </c:pt>
                <c:pt idx="91">
                  <c:v>3311.3112150000002</c:v>
                </c:pt>
                <c:pt idx="92">
                  <c:v>3801.893963</c:v>
                </c:pt>
                <c:pt idx="93">
                  <c:v>4365.1583220000002</c:v>
                </c:pt>
                <c:pt idx="94">
                  <c:v>5011.8723360000004</c:v>
                </c:pt>
                <c:pt idx="95">
                  <c:v>5754.3993730000002</c:v>
                </c:pt>
                <c:pt idx="96">
                  <c:v>6606.9344799999999</c:v>
                </c:pt>
                <c:pt idx="97">
                  <c:v>7585.7757499999998</c:v>
                </c:pt>
                <c:pt idx="98">
                  <c:v>8709.6358999999993</c:v>
                </c:pt>
                <c:pt idx="99">
                  <c:v>10000</c:v>
                </c:pt>
              </c:numCache>
            </c:numRef>
          </c:xVal>
          <c:yVal>
            <c:numRef>
              <c:f>Sheet2!$I$7:$I$106</c:f>
              <c:numCache>
                <c:formatCode>0.0000</c:formatCode>
                <c:ptCount val="10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5.9279999999999999E-2</c:v>
                </c:pt>
                <c:pt idx="38">
                  <c:v>0.28468099999999996</c:v>
                </c:pt>
                <c:pt idx="39">
                  <c:v>0.65866000000000002</c:v>
                </c:pt>
                <c:pt idx="40">
                  <c:v>1.176628</c:v>
                </c:pt>
                <c:pt idx="41">
                  <c:v>1.83179</c:v>
                </c:pt>
                <c:pt idx="42">
                  <c:v>2.605289</c:v>
                </c:pt>
                <c:pt idx="43">
                  <c:v>3.4781119999999999</c:v>
                </c:pt>
                <c:pt idx="44">
                  <c:v>4.4344529999999995</c:v>
                </c:pt>
                <c:pt idx="45">
                  <c:v>5.4655829999999996</c:v>
                </c:pt>
                <c:pt idx="46">
                  <c:v>6.5730079999999997</c:v>
                </c:pt>
                <c:pt idx="47">
                  <c:v>7.7637999999999998</c:v>
                </c:pt>
                <c:pt idx="48">
                  <c:v>9.0511479999999995</c:v>
                </c:pt>
                <c:pt idx="49">
                  <c:v>10.447251999999999</c:v>
                </c:pt>
                <c:pt idx="50">
                  <c:v>11.966674999999999</c:v>
                </c:pt>
                <c:pt idx="51">
                  <c:v>13.618129999999999</c:v>
                </c:pt>
                <c:pt idx="52">
                  <c:v>15.412792999999999</c:v>
                </c:pt>
                <c:pt idx="53">
                  <c:v>17.357379999999999</c:v>
                </c:pt>
                <c:pt idx="54">
                  <c:v>19.462972000000001</c:v>
                </c:pt>
                <c:pt idx="55">
                  <c:v>21.740546000000002</c:v>
                </c:pt>
                <c:pt idx="56">
                  <c:v>24.209432000000003</c:v>
                </c:pt>
                <c:pt idx="57">
                  <c:v>26.893238000000004</c:v>
                </c:pt>
                <c:pt idx="58">
                  <c:v>29.825708000000002</c:v>
                </c:pt>
                <c:pt idx="59">
                  <c:v>33.045925000000004</c:v>
                </c:pt>
                <c:pt idx="60">
                  <c:v>36.598211000000006</c:v>
                </c:pt>
                <c:pt idx="61">
                  <c:v>40.525033000000008</c:v>
                </c:pt>
                <c:pt idx="62">
                  <c:v>44.858274000000009</c:v>
                </c:pt>
                <c:pt idx="63">
                  <c:v>49.612688000000006</c:v>
                </c:pt>
                <c:pt idx="64">
                  <c:v>54.770412000000007</c:v>
                </c:pt>
                <c:pt idx="65">
                  <c:v>60.280250000000009</c:v>
                </c:pt>
                <c:pt idx="66">
                  <c:v>66.042836000000008</c:v>
                </c:pt>
                <c:pt idx="67">
                  <c:v>71.918852000000015</c:v>
                </c:pt>
                <c:pt idx="68">
                  <c:v>77.728462000000022</c:v>
                </c:pt>
                <c:pt idx="69">
                  <c:v>83.261051000000023</c:v>
                </c:pt>
                <c:pt idx="70">
                  <c:v>88.300719000000029</c:v>
                </c:pt>
                <c:pt idx="71">
                  <c:v>92.619594000000035</c:v>
                </c:pt>
                <c:pt idx="72">
                  <c:v>96.037415000000038</c:v>
                </c:pt>
                <c:pt idx="73">
                  <c:v>98.401156000000043</c:v>
                </c:pt>
                <c:pt idx="74">
                  <c:v>99.660378000000037</c:v>
                </c:pt>
                <c:pt idx="75">
                  <c:v>99.993333000000035</c:v>
                </c:pt>
                <c:pt idx="76">
                  <c:v>99.999999000000031</c:v>
                </c:pt>
                <c:pt idx="77">
                  <c:v>99.999999000000031</c:v>
                </c:pt>
                <c:pt idx="78">
                  <c:v>99.999999000000031</c:v>
                </c:pt>
                <c:pt idx="79">
                  <c:v>99.999999000000031</c:v>
                </c:pt>
                <c:pt idx="80">
                  <c:v>99.999999000000031</c:v>
                </c:pt>
                <c:pt idx="81">
                  <c:v>99.999999000000031</c:v>
                </c:pt>
                <c:pt idx="82">
                  <c:v>99.999999000000031</c:v>
                </c:pt>
                <c:pt idx="83">
                  <c:v>99.999999000000031</c:v>
                </c:pt>
                <c:pt idx="84">
                  <c:v>99.999999000000031</c:v>
                </c:pt>
                <c:pt idx="85">
                  <c:v>99.999999000000031</c:v>
                </c:pt>
                <c:pt idx="86">
                  <c:v>99.999999000000031</c:v>
                </c:pt>
                <c:pt idx="87">
                  <c:v>99.999999000000031</c:v>
                </c:pt>
                <c:pt idx="88">
                  <c:v>99.999999000000031</c:v>
                </c:pt>
                <c:pt idx="89">
                  <c:v>99.999999000000031</c:v>
                </c:pt>
                <c:pt idx="90">
                  <c:v>99.999999000000031</c:v>
                </c:pt>
                <c:pt idx="91">
                  <c:v>99.999999000000031</c:v>
                </c:pt>
                <c:pt idx="92">
                  <c:v>99.999999000000031</c:v>
                </c:pt>
                <c:pt idx="93">
                  <c:v>99.999999000000031</c:v>
                </c:pt>
                <c:pt idx="94">
                  <c:v>99.999999000000031</c:v>
                </c:pt>
                <c:pt idx="95">
                  <c:v>99.999999000000031</c:v>
                </c:pt>
                <c:pt idx="96">
                  <c:v>99.999999000000031</c:v>
                </c:pt>
                <c:pt idx="97">
                  <c:v>99.999999000000031</c:v>
                </c:pt>
                <c:pt idx="98">
                  <c:v>99.999999000000031</c:v>
                </c:pt>
                <c:pt idx="99">
                  <c:v>99.999999000000031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64-49D3-8AF5-6443B6CF49EA}"/>
            </c:ext>
          </c:extLst>
        </c:ser>
        <c:ser>
          <c:idx val="1"/>
          <c:order val="2"/>
          <c:tx>
            <c:strRef>
              <c:f>Sheet2!$J$5</c:f>
              <c:strCache>
                <c:ptCount val="1"/>
                <c:pt idx="0">
                  <c:v>P2-Raw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Sheet2!$E$7:$E$106</c:f>
              <c:numCache>
                <c:formatCode>General</c:formatCode>
                <c:ptCount val="100"/>
                <c:pt idx="0">
                  <c:v>1.1481999999999999E-2</c:v>
                </c:pt>
                <c:pt idx="1">
                  <c:v>1.3183E-2</c:v>
                </c:pt>
                <c:pt idx="2">
                  <c:v>1.5136E-2</c:v>
                </c:pt>
                <c:pt idx="3">
                  <c:v>1.7378000000000001E-2</c:v>
                </c:pt>
                <c:pt idx="4">
                  <c:v>1.9952999999999999E-2</c:v>
                </c:pt>
                <c:pt idx="5">
                  <c:v>2.2908999999999999E-2</c:v>
                </c:pt>
                <c:pt idx="6">
                  <c:v>2.6303E-2</c:v>
                </c:pt>
                <c:pt idx="7">
                  <c:v>3.0200000000000001E-2</c:v>
                </c:pt>
                <c:pt idx="8">
                  <c:v>3.4674000000000003E-2</c:v>
                </c:pt>
                <c:pt idx="9">
                  <c:v>3.9810999999999999E-2</c:v>
                </c:pt>
                <c:pt idx="10">
                  <c:v>4.5709E-2</c:v>
                </c:pt>
                <c:pt idx="11">
                  <c:v>5.2481E-2</c:v>
                </c:pt>
                <c:pt idx="12">
                  <c:v>6.0255999999999997E-2</c:v>
                </c:pt>
                <c:pt idx="13">
                  <c:v>6.9182999999999995E-2</c:v>
                </c:pt>
                <c:pt idx="14">
                  <c:v>7.9433000000000004E-2</c:v>
                </c:pt>
                <c:pt idx="15">
                  <c:v>9.1201000000000004E-2</c:v>
                </c:pt>
                <c:pt idx="16">
                  <c:v>0.104713</c:v>
                </c:pt>
                <c:pt idx="17">
                  <c:v>0.120226</c:v>
                </c:pt>
                <c:pt idx="18">
                  <c:v>0.13803799999999999</c:v>
                </c:pt>
                <c:pt idx="19">
                  <c:v>0.15848899999999999</c:v>
                </c:pt>
                <c:pt idx="20">
                  <c:v>0.18196999999999999</c:v>
                </c:pt>
                <c:pt idx="21">
                  <c:v>0.20893</c:v>
                </c:pt>
                <c:pt idx="22">
                  <c:v>0.23988300000000001</c:v>
                </c:pt>
                <c:pt idx="23">
                  <c:v>0.27542299999999997</c:v>
                </c:pt>
                <c:pt idx="24">
                  <c:v>0.31622800000000001</c:v>
                </c:pt>
                <c:pt idx="25">
                  <c:v>0.36307800000000001</c:v>
                </c:pt>
                <c:pt idx="26">
                  <c:v>0.41686899999999999</c:v>
                </c:pt>
                <c:pt idx="27">
                  <c:v>0.47863</c:v>
                </c:pt>
                <c:pt idx="28">
                  <c:v>0.54954099999999995</c:v>
                </c:pt>
                <c:pt idx="29">
                  <c:v>0.63095699999999999</c:v>
                </c:pt>
                <c:pt idx="30">
                  <c:v>0.72443599999999997</c:v>
                </c:pt>
                <c:pt idx="31">
                  <c:v>0.83176399999999995</c:v>
                </c:pt>
                <c:pt idx="32">
                  <c:v>0.95499299999999998</c:v>
                </c:pt>
                <c:pt idx="33">
                  <c:v>1.0964780000000001</c:v>
                </c:pt>
                <c:pt idx="34">
                  <c:v>1.2589250000000001</c:v>
                </c:pt>
                <c:pt idx="35">
                  <c:v>1.4454400000000001</c:v>
                </c:pt>
                <c:pt idx="36">
                  <c:v>1.6595869999999999</c:v>
                </c:pt>
                <c:pt idx="37">
                  <c:v>1.9054610000000001</c:v>
                </c:pt>
                <c:pt idx="38">
                  <c:v>2.1877620000000002</c:v>
                </c:pt>
                <c:pt idx="39">
                  <c:v>2.5118860000000001</c:v>
                </c:pt>
                <c:pt idx="40">
                  <c:v>2.8840309999999998</c:v>
                </c:pt>
                <c:pt idx="41">
                  <c:v>3.3113109999999999</c:v>
                </c:pt>
                <c:pt idx="42">
                  <c:v>3.8018939999999999</c:v>
                </c:pt>
                <c:pt idx="43">
                  <c:v>4.3651580000000001</c:v>
                </c:pt>
                <c:pt idx="44">
                  <c:v>5.0118720000000003</c:v>
                </c:pt>
                <c:pt idx="45">
                  <c:v>5.7543990000000003</c:v>
                </c:pt>
                <c:pt idx="46">
                  <c:v>6.6069339999999999</c:v>
                </c:pt>
                <c:pt idx="47">
                  <c:v>7.5857760000000001</c:v>
                </c:pt>
                <c:pt idx="48">
                  <c:v>8.7096359999999997</c:v>
                </c:pt>
                <c:pt idx="49">
                  <c:v>10</c:v>
                </c:pt>
                <c:pt idx="50">
                  <c:v>11.481536</c:v>
                </c:pt>
                <c:pt idx="51">
                  <c:v>13.182567000000001</c:v>
                </c:pt>
                <c:pt idx="52">
                  <c:v>15.135612</c:v>
                </c:pt>
                <c:pt idx="53">
                  <c:v>17.378008000000001</c:v>
                </c:pt>
                <c:pt idx="54">
                  <c:v>19.952622999999999</c:v>
                </c:pt>
                <c:pt idx="55">
                  <c:v>22.908677000000001</c:v>
                </c:pt>
                <c:pt idx="56">
                  <c:v>26.302679999999999</c:v>
                </c:pt>
                <c:pt idx="57">
                  <c:v>30.199517</c:v>
                </c:pt>
                <c:pt idx="58">
                  <c:v>34.673684999999999</c:v>
                </c:pt>
                <c:pt idx="59">
                  <c:v>39.810716999999997</c:v>
                </c:pt>
                <c:pt idx="60">
                  <c:v>45.708818999999998</c:v>
                </c:pt>
                <c:pt idx="61">
                  <c:v>52.480746000000003</c:v>
                </c:pt>
                <c:pt idx="62">
                  <c:v>60.255958999999997</c:v>
                </c:pt>
                <c:pt idx="63">
                  <c:v>69.183097000000004</c:v>
                </c:pt>
                <c:pt idx="64">
                  <c:v>79.432822999999999</c:v>
                </c:pt>
                <c:pt idx="65">
                  <c:v>91.201083999999994</c:v>
                </c:pt>
                <c:pt idx="66">
                  <c:v>104.712855</c:v>
                </c:pt>
                <c:pt idx="67">
                  <c:v>120.226443</c:v>
                </c:pt>
                <c:pt idx="68">
                  <c:v>138.03842599999999</c:v>
                </c:pt>
                <c:pt idx="69">
                  <c:v>158.48931899999999</c:v>
                </c:pt>
                <c:pt idx="70">
                  <c:v>181.97008600000001</c:v>
                </c:pt>
                <c:pt idx="71">
                  <c:v>208.92961299999999</c:v>
                </c:pt>
                <c:pt idx="72">
                  <c:v>239.88329200000001</c:v>
                </c:pt>
                <c:pt idx="73">
                  <c:v>275.42286999999999</c:v>
                </c:pt>
                <c:pt idx="74">
                  <c:v>316.22776599999997</c:v>
                </c:pt>
                <c:pt idx="75">
                  <c:v>363.07805500000001</c:v>
                </c:pt>
                <c:pt idx="76">
                  <c:v>416.86938300000003</c:v>
                </c:pt>
                <c:pt idx="77">
                  <c:v>478.63009199999999</c:v>
                </c:pt>
                <c:pt idx="78">
                  <c:v>549.54087400000003</c:v>
                </c:pt>
                <c:pt idx="79">
                  <c:v>630.95734400000003</c:v>
                </c:pt>
                <c:pt idx="80">
                  <c:v>724.43596000000002</c:v>
                </c:pt>
                <c:pt idx="81">
                  <c:v>831.76377100000002</c:v>
                </c:pt>
                <c:pt idx="82">
                  <c:v>954.99258599999996</c:v>
                </c:pt>
                <c:pt idx="83">
                  <c:v>1096.478196</c:v>
                </c:pt>
                <c:pt idx="84">
                  <c:v>1258.9254120000001</c:v>
                </c:pt>
                <c:pt idx="85">
                  <c:v>1445.4397710000001</c:v>
                </c:pt>
                <c:pt idx="86">
                  <c:v>1659.5869070000001</c:v>
                </c:pt>
                <c:pt idx="87">
                  <c:v>1905.460718</c:v>
                </c:pt>
                <c:pt idx="88">
                  <c:v>2187.7616240000002</c:v>
                </c:pt>
                <c:pt idx="89">
                  <c:v>2511.8864319999998</c:v>
                </c:pt>
                <c:pt idx="90">
                  <c:v>2884.0315030000002</c:v>
                </c:pt>
                <c:pt idx="91">
                  <c:v>3311.3112150000002</c:v>
                </c:pt>
                <c:pt idx="92">
                  <c:v>3801.893963</c:v>
                </c:pt>
                <c:pt idx="93">
                  <c:v>4365.1583220000002</c:v>
                </c:pt>
                <c:pt idx="94">
                  <c:v>5011.8723360000004</c:v>
                </c:pt>
                <c:pt idx="95">
                  <c:v>5754.3993730000002</c:v>
                </c:pt>
                <c:pt idx="96">
                  <c:v>6606.9344799999999</c:v>
                </c:pt>
                <c:pt idx="97">
                  <c:v>7585.7757499999998</c:v>
                </c:pt>
                <c:pt idx="98">
                  <c:v>8709.6358999999993</c:v>
                </c:pt>
                <c:pt idx="99">
                  <c:v>10000</c:v>
                </c:pt>
              </c:numCache>
            </c:numRef>
          </c:xVal>
          <c:yVal>
            <c:numRef>
              <c:f>Sheet2!$K$7:$K$106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0.131272</c:v>
                </c:pt>
                <c:pt idx="39">
                  <c:v>0.662636</c:v>
                </c:pt>
                <c:pt idx="40">
                  <c:v>1.7362219999999999</c:v>
                </c:pt>
                <c:pt idx="41">
                  <c:v>3.38713</c:v>
                </c:pt>
                <c:pt idx="42">
                  <c:v>5.6575329999999999</c:v>
                </c:pt>
                <c:pt idx="43">
                  <c:v>8.5338039999999999</c:v>
                </c:pt>
                <c:pt idx="44">
                  <c:v>12.002942000000001</c:v>
                </c:pt>
                <c:pt idx="45">
                  <c:v>16.040655000000001</c:v>
                </c:pt>
                <c:pt idx="46">
                  <c:v>20.637554000000002</c:v>
                </c:pt>
                <c:pt idx="47">
                  <c:v>25.771958000000001</c:v>
                </c:pt>
                <c:pt idx="48">
                  <c:v>31.424945000000001</c:v>
                </c:pt>
                <c:pt idx="49">
                  <c:v>37.545110000000001</c:v>
                </c:pt>
                <c:pt idx="50">
                  <c:v>44.064551999999999</c:v>
                </c:pt>
                <c:pt idx="51">
                  <c:v>50.867173000000001</c:v>
                </c:pt>
                <c:pt idx="52">
                  <c:v>57.809988000000004</c:v>
                </c:pt>
                <c:pt idx="53">
                  <c:v>64.713816000000008</c:v>
                </c:pt>
                <c:pt idx="54">
                  <c:v>71.377061000000012</c:v>
                </c:pt>
                <c:pt idx="55">
                  <c:v>77.598521000000005</c:v>
                </c:pt>
                <c:pt idx="56">
                  <c:v>83.186629000000011</c:v>
                </c:pt>
                <c:pt idx="57">
                  <c:v>87.995785000000012</c:v>
                </c:pt>
                <c:pt idx="58">
                  <c:v>91.929199000000011</c:v>
                </c:pt>
                <c:pt idx="59">
                  <c:v>94.965088000000009</c:v>
                </c:pt>
                <c:pt idx="60">
                  <c:v>97.148620000000008</c:v>
                </c:pt>
                <c:pt idx="61">
                  <c:v>98.586356000000009</c:v>
                </c:pt>
                <c:pt idx="62">
                  <c:v>99.426851000000013</c:v>
                </c:pt>
                <c:pt idx="63">
                  <c:v>99.847619000000009</c:v>
                </c:pt>
                <c:pt idx="64">
                  <c:v>99.978180000000009</c:v>
                </c:pt>
                <c:pt idx="65">
                  <c:v>99.999999000000003</c:v>
                </c:pt>
                <c:pt idx="66">
                  <c:v>99.999999000000003</c:v>
                </c:pt>
                <c:pt idx="67">
                  <c:v>99.999999000000003</c:v>
                </c:pt>
                <c:pt idx="68">
                  <c:v>99.999999000000003</c:v>
                </c:pt>
                <c:pt idx="69">
                  <c:v>99.999999000000003</c:v>
                </c:pt>
                <c:pt idx="70">
                  <c:v>99.999999000000003</c:v>
                </c:pt>
                <c:pt idx="71">
                  <c:v>99.999999000000003</c:v>
                </c:pt>
                <c:pt idx="72">
                  <c:v>99.999999000000003</c:v>
                </c:pt>
                <c:pt idx="73">
                  <c:v>99.999999000000003</c:v>
                </c:pt>
                <c:pt idx="74">
                  <c:v>99.999999000000003</c:v>
                </c:pt>
                <c:pt idx="75">
                  <c:v>99.999999000000003</c:v>
                </c:pt>
                <c:pt idx="76">
                  <c:v>99.999999000000003</c:v>
                </c:pt>
                <c:pt idx="77">
                  <c:v>99.999999000000003</c:v>
                </c:pt>
                <c:pt idx="78">
                  <c:v>99.999999000000003</c:v>
                </c:pt>
                <c:pt idx="79">
                  <c:v>99.999999000000003</c:v>
                </c:pt>
                <c:pt idx="80">
                  <c:v>99.999999000000003</c:v>
                </c:pt>
                <c:pt idx="81">
                  <c:v>99.999999000000003</c:v>
                </c:pt>
                <c:pt idx="82">
                  <c:v>99.999999000000003</c:v>
                </c:pt>
                <c:pt idx="83">
                  <c:v>99.999999000000003</c:v>
                </c:pt>
                <c:pt idx="84">
                  <c:v>99.999999000000003</c:v>
                </c:pt>
                <c:pt idx="85">
                  <c:v>99.999999000000003</c:v>
                </c:pt>
                <c:pt idx="86">
                  <c:v>99.999999000000003</c:v>
                </c:pt>
                <c:pt idx="87">
                  <c:v>99.999999000000003</c:v>
                </c:pt>
                <c:pt idx="88">
                  <c:v>99.999999000000003</c:v>
                </c:pt>
                <c:pt idx="89">
                  <c:v>99.999999000000003</c:v>
                </c:pt>
                <c:pt idx="90">
                  <c:v>99.999999000000003</c:v>
                </c:pt>
                <c:pt idx="91">
                  <c:v>99.999999000000003</c:v>
                </c:pt>
                <c:pt idx="92">
                  <c:v>99.999999000000003</c:v>
                </c:pt>
                <c:pt idx="93">
                  <c:v>99.999999000000003</c:v>
                </c:pt>
                <c:pt idx="94">
                  <c:v>99.999999000000003</c:v>
                </c:pt>
                <c:pt idx="95">
                  <c:v>99.999999000000003</c:v>
                </c:pt>
                <c:pt idx="96">
                  <c:v>99.999999000000003</c:v>
                </c:pt>
                <c:pt idx="97">
                  <c:v>99.999999000000003</c:v>
                </c:pt>
                <c:pt idx="98">
                  <c:v>99.999999000000003</c:v>
                </c:pt>
                <c:pt idx="99">
                  <c:v>99.999999000000003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64-49D3-8AF5-6443B6CF49EA}"/>
            </c:ext>
          </c:extLst>
        </c:ser>
        <c:ser>
          <c:idx val="4"/>
          <c:order val="3"/>
          <c:tx>
            <c:strRef>
              <c:f>Sheet2!$L$5</c:f>
              <c:strCache>
                <c:ptCount val="1"/>
                <c:pt idx="0">
                  <c:v>P2-ED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Sheet2!$E$7:$E$106</c:f>
              <c:numCache>
                <c:formatCode>General</c:formatCode>
                <c:ptCount val="100"/>
                <c:pt idx="0">
                  <c:v>1.1481999999999999E-2</c:v>
                </c:pt>
                <c:pt idx="1">
                  <c:v>1.3183E-2</c:v>
                </c:pt>
                <c:pt idx="2">
                  <c:v>1.5136E-2</c:v>
                </c:pt>
                <c:pt idx="3">
                  <c:v>1.7378000000000001E-2</c:v>
                </c:pt>
                <c:pt idx="4">
                  <c:v>1.9952999999999999E-2</c:v>
                </c:pt>
                <c:pt idx="5">
                  <c:v>2.2908999999999999E-2</c:v>
                </c:pt>
                <c:pt idx="6">
                  <c:v>2.6303E-2</c:v>
                </c:pt>
                <c:pt idx="7">
                  <c:v>3.0200000000000001E-2</c:v>
                </c:pt>
                <c:pt idx="8">
                  <c:v>3.4674000000000003E-2</c:v>
                </c:pt>
                <c:pt idx="9">
                  <c:v>3.9810999999999999E-2</c:v>
                </c:pt>
                <c:pt idx="10">
                  <c:v>4.5709E-2</c:v>
                </c:pt>
                <c:pt idx="11">
                  <c:v>5.2481E-2</c:v>
                </c:pt>
                <c:pt idx="12">
                  <c:v>6.0255999999999997E-2</c:v>
                </c:pt>
                <c:pt idx="13">
                  <c:v>6.9182999999999995E-2</c:v>
                </c:pt>
                <c:pt idx="14">
                  <c:v>7.9433000000000004E-2</c:v>
                </c:pt>
                <c:pt idx="15">
                  <c:v>9.1201000000000004E-2</c:v>
                </c:pt>
                <c:pt idx="16">
                  <c:v>0.104713</c:v>
                </c:pt>
                <c:pt idx="17">
                  <c:v>0.120226</c:v>
                </c:pt>
                <c:pt idx="18">
                  <c:v>0.13803799999999999</c:v>
                </c:pt>
                <c:pt idx="19">
                  <c:v>0.15848899999999999</c:v>
                </c:pt>
                <c:pt idx="20">
                  <c:v>0.18196999999999999</c:v>
                </c:pt>
                <c:pt idx="21">
                  <c:v>0.20893</c:v>
                </c:pt>
                <c:pt idx="22">
                  <c:v>0.23988300000000001</c:v>
                </c:pt>
                <c:pt idx="23">
                  <c:v>0.27542299999999997</c:v>
                </c:pt>
                <c:pt idx="24">
                  <c:v>0.31622800000000001</c:v>
                </c:pt>
                <c:pt idx="25">
                  <c:v>0.36307800000000001</c:v>
                </c:pt>
                <c:pt idx="26">
                  <c:v>0.41686899999999999</c:v>
                </c:pt>
                <c:pt idx="27">
                  <c:v>0.47863</c:v>
                </c:pt>
                <c:pt idx="28">
                  <c:v>0.54954099999999995</c:v>
                </c:pt>
                <c:pt idx="29">
                  <c:v>0.63095699999999999</c:v>
                </c:pt>
                <c:pt idx="30">
                  <c:v>0.72443599999999997</c:v>
                </c:pt>
                <c:pt idx="31">
                  <c:v>0.83176399999999995</c:v>
                </c:pt>
                <c:pt idx="32">
                  <c:v>0.95499299999999998</c:v>
                </c:pt>
                <c:pt idx="33">
                  <c:v>1.0964780000000001</c:v>
                </c:pt>
                <c:pt idx="34">
                  <c:v>1.2589250000000001</c:v>
                </c:pt>
                <c:pt idx="35">
                  <c:v>1.4454400000000001</c:v>
                </c:pt>
                <c:pt idx="36">
                  <c:v>1.6595869999999999</c:v>
                </c:pt>
                <c:pt idx="37">
                  <c:v>1.9054610000000001</c:v>
                </c:pt>
                <c:pt idx="38">
                  <c:v>2.1877620000000002</c:v>
                </c:pt>
                <c:pt idx="39">
                  <c:v>2.5118860000000001</c:v>
                </c:pt>
                <c:pt idx="40">
                  <c:v>2.8840309999999998</c:v>
                </c:pt>
                <c:pt idx="41">
                  <c:v>3.3113109999999999</c:v>
                </c:pt>
                <c:pt idx="42">
                  <c:v>3.8018939999999999</c:v>
                </c:pt>
                <c:pt idx="43">
                  <c:v>4.3651580000000001</c:v>
                </c:pt>
                <c:pt idx="44">
                  <c:v>5.0118720000000003</c:v>
                </c:pt>
                <c:pt idx="45">
                  <c:v>5.7543990000000003</c:v>
                </c:pt>
                <c:pt idx="46">
                  <c:v>6.6069339999999999</c:v>
                </c:pt>
                <c:pt idx="47">
                  <c:v>7.5857760000000001</c:v>
                </c:pt>
                <c:pt idx="48">
                  <c:v>8.7096359999999997</c:v>
                </c:pt>
                <c:pt idx="49">
                  <c:v>10</c:v>
                </c:pt>
                <c:pt idx="50">
                  <c:v>11.481536</c:v>
                </c:pt>
                <c:pt idx="51">
                  <c:v>13.182567000000001</c:v>
                </c:pt>
                <c:pt idx="52">
                  <c:v>15.135612</c:v>
                </c:pt>
                <c:pt idx="53">
                  <c:v>17.378008000000001</c:v>
                </c:pt>
                <c:pt idx="54">
                  <c:v>19.952622999999999</c:v>
                </c:pt>
                <c:pt idx="55">
                  <c:v>22.908677000000001</c:v>
                </c:pt>
                <c:pt idx="56">
                  <c:v>26.302679999999999</c:v>
                </c:pt>
                <c:pt idx="57">
                  <c:v>30.199517</c:v>
                </c:pt>
                <c:pt idx="58">
                  <c:v>34.673684999999999</c:v>
                </c:pt>
                <c:pt idx="59">
                  <c:v>39.810716999999997</c:v>
                </c:pt>
                <c:pt idx="60">
                  <c:v>45.708818999999998</c:v>
                </c:pt>
                <c:pt idx="61">
                  <c:v>52.480746000000003</c:v>
                </c:pt>
                <c:pt idx="62">
                  <c:v>60.255958999999997</c:v>
                </c:pt>
                <c:pt idx="63">
                  <c:v>69.183097000000004</c:v>
                </c:pt>
                <c:pt idx="64">
                  <c:v>79.432822999999999</c:v>
                </c:pt>
                <c:pt idx="65">
                  <c:v>91.201083999999994</c:v>
                </c:pt>
                <c:pt idx="66">
                  <c:v>104.712855</c:v>
                </c:pt>
                <c:pt idx="67">
                  <c:v>120.226443</c:v>
                </c:pt>
                <c:pt idx="68">
                  <c:v>138.03842599999999</c:v>
                </c:pt>
                <c:pt idx="69">
                  <c:v>158.48931899999999</c:v>
                </c:pt>
                <c:pt idx="70">
                  <c:v>181.97008600000001</c:v>
                </c:pt>
                <c:pt idx="71">
                  <c:v>208.92961299999999</c:v>
                </c:pt>
                <c:pt idx="72">
                  <c:v>239.88329200000001</c:v>
                </c:pt>
                <c:pt idx="73">
                  <c:v>275.42286999999999</c:v>
                </c:pt>
                <c:pt idx="74">
                  <c:v>316.22776599999997</c:v>
                </c:pt>
                <c:pt idx="75">
                  <c:v>363.07805500000001</c:v>
                </c:pt>
                <c:pt idx="76">
                  <c:v>416.86938300000003</c:v>
                </c:pt>
                <c:pt idx="77">
                  <c:v>478.63009199999999</c:v>
                </c:pt>
                <c:pt idx="78">
                  <c:v>549.54087400000003</c:v>
                </c:pt>
                <c:pt idx="79">
                  <c:v>630.95734400000003</c:v>
                </c:pt>
                <c:pt idx="80">
                  <c:v>724.43596000000002</c:v>
                </c:pt>
                <c:pt idx="81">
                  <c:v>831.76377100000002</c:v>
                </c:pt>
                <c:pt idx="82">
                  <c:v>954.99258599999996</c:v>
                </c:pt>
                <c:pt idx="83">
                  <c:v>1096.478196</c:v>
                </c:pt>
                <c:pt idx="84">
                  <c:v>1258.9254120000001</c:v>
                </c:pt>
                <c:pt idx="85">
                  <c:v>1445.4397710000001</c:v>
                </c:pt>
                <c:pt idx="86">
                  <c:v>1659.5869070000001</c:v>
                </c:pt>
                <c:pt idx="87">
                  <c:v>1905.460718</c:v>
                </c:pt>
                <c:pt idx="88">
                  <c:v>2187.7616240000002</c:v>
                </c:pt>
                <c:pt idx="89">
                  <c:v>2511.8864319999998</c:v>
                </c:pt>
                <c:pt idx="90">
                  <c:v>2884.0315030000002</c:v>
                </c:pt>
                <c:pt idx="91">
                  <c:v>3311.3112150000002</c:v>
                </c:pt>
                <c:pt idx="92">
                  <c:v>3801.893963</c:v>
                </c:pt>
                <c:pt idx="93">
                  <c:v>4365.1583220000002</c:v>
                </c:pt>
                <c:pt idx="94">
                  <c:v>5011.8723360000004</c:v>
                </c:pt>
                <c:pt idx="95">
                  <c:v>5754.3993730000002</c:v>
                </c:pt>
                <c:pt idx="96">
                  <c:v>6606.9344799999999</c:v>
                </c:pt>
                <c:pt idx="97">
                  <c:v>7585.7757499999998</c:v>
                </c:pt>
                <c:pt idx="98">
                  <c:v>8709.6358999999993</c:v>
                </c:pt>
                <c:pt idx="99">
                  <c:v>10000</c:v>
                </c:pt>
              </c:numCache>
            </c:numRef>
          </c:xVal>
          <c:yVal>
            <c:numRef>
              <c:f>Sheet2!$M$7:$M$106</c:f>
              <c:numCache>
                <c:formatCode>0.0000</c:formatCode>
                <c:ptCount val="10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0.197271</c:v>
                </c:pt>
                <c:pt idx="39">
                  <c:v>0.55756799999999995</c:v>
                </c:pt>
                <c:pt idx="40">
                  <c:v>1.073081</c:v>
                </c:pt>
                <c:pt idx="41">
                  <c:v>1.733185</c:v>
                </c:pt>
                <c:pt idx="42">
                  <c:v>2.5118739999999997</c:v>
                </c:pt>
                <c:pt idx="43">
                  <c:v>3.3828159999999996</c:v>
                </c:pt>
                <c:pt idx="44">
                  <c:v>4.3204809999999991</c:v>
                </c:pt>
                <c:pt idx="45">
                  <c:v>5.3053409999999994</c:v>
                </c:pt>
                <c:pt idx="46">
                  <c:v>6.3269929999999999</c:v>
                </c:pt>
                <c:pt idx="47">
                  <c:v>7.3821060000000003</c:v>
                </c:pt>
                <c:pt idx="48">
                  <c:v>8.4740520000000004</c:v>
                </c:pt>
                <c:pt idx="49">
                  <c:v>9.6109480000000005</c:v>
                </c:pt>
                <c:pt idx="50">
                  <c:v>10.809459</c:v>
                </c:pt>
                <c:pt idx="51">
                  <c:v>12.092899000000001</c:v>
                </c:pt>
                <c:pt idx="52">
                  <c:v>13.498427000000001</c:v>
                </c:pt>
                <c:pt idx="53">
                  <c:v>15.074651000000001</c:v>
                </c:pt>
                <c:pt idx="54">
                  <c:v>16.889053000000001</c:v>
                </c:pt>
                <c:pt idx="55">
                  <c:v>19.017711000000002</c:v>
                </c:pt>
                <c:pt idx="56">
                  <c:v>21.550473000000004</c:v>
                </c:pt>
                <c:pt idx="57">
                  <c:v>24.571166000000005</c:v>
                </c:pt>
                <c:pt idx="58">
                  <c:v>28.156389000000004</c:v>
                </c:pt>
                <c:pt idx="59">
                  <c:v>32.352717000000005</c:v>
                </c:pt>
                <c:pt idx="60">
                  <c:v>37.169691000000007</c:v>
                </c:pt>
                <c:pt idx="61">
                  <c:v>42.565992000000008</c:v>
                </c:pt>
                <c:pt idx="62">
                  <c:v>48.443600000000011</c:v>
                </c:pt>
                <c:pt idx="63">
                  <c:v>54.653948000000014</c:v>
                </c:pt>
                <c:pt idx="64">
                  <c:v>61.003726000000015</c:v>
                </c:pt>
                <c:pt idx="65">
                  <c:v>67.27556100000001</c:v>
                </c:pt>
                <c:pt idx="66">
                  <c:v>73.250062000000014</c:v>
                </c:pt>
                <c:pt idx="67">
                  <c:v>78.721734000000012</c:v>
                </c:pt>
                <c:pt idx="68">
                  <c:v>83.537966000000011</c:v>
                </c:pt>
                <c:pt idx="69">
                  <c:v>87.590923000000018</c:v>
                </c:pt>
                <c:pt idx="70">
                  <c:v>90.864592000000016</c:v>
                </c:pt>
                <c:pt idx="71">
                  <c:v>93.391344000000018</c:v>
                </c:pt>
                <c:pt idx="72">
                  <c:v>95.284084000000021</c:v>
                </c:pt>
                <c:pt idx="73">
                  <c:v>96.671728000000016</c:v>
                </c:pt>
                <c:pt idx="74">
                  <c:v>97.702670000000012</c:v>
                </c:pt>
                <c:pt idx="75">
                  <c:v>98.49494700000001</c:v>
                </c:pt>
                <c:pt idx="76">
                  <c:v>99.125026000000005</c:v>
                </c:pt>
                <c:pt idx="77">
                  <c:v>99.610817000000011</c:v>
                </c:pt>
                <c:pt idx="78">
                  <c:v>99.900497000000016</c:v>
                </c:pt>
                <c:pt idx="79">
                  <c:v>99.983733000000015</c:v>
                </c:pt>
                <c:pt idx="80">
                  <c:v>99.999999000000017</c:v>
                </c:pt>
                <c:pt idx="81">
                  <c:v>99.999999000000017</c:v>
                </c:pt>
                <c:pt idx="82">
                  <c:v>99.999999000000017</c:v>
                </c:pt>
                <c:pt idx="83">
                  <c:v>99.999999000000017</c:v>
                </c:pt>
                <c:pt idx="84">
                  <c:v>99.999999000000017</c:v>
                </c:pt>
                <c:pt idx="85">
                  <c:v>99.999999000000017</c:v>
                </c:pt>
                <c:pt idx="86">
                  <c:v>99.999999000000017</c:v>
                </c:pt>
                <c:pt idx="87">
                  <c:v>99.999999000000017</c:v>
                </c:pt>
                <c:pt idx="88">
                  <c:v>99.999999000000017</c:v>
                </c:pt>
                <c:pt idx="89">
                  <c:v>99.999999000000017</c:v>
                </c:pt>
                <c:pt idx="90">
                  <c:v>99.999999000000017</c:v>
                </c:pt>
                <c:pt idx="91">
                  <c:v>99.999999000000017</c:v>
                </c:pt>
                <c:pt idx="92">
                  <c:v>99.999999000000017</c:v>
                </c:pt>
                <c:pt idx="93">
                  <c:v>99.999999000000017</c:v>
                </c:pt>
                <c:pt idx="94">
                  <c:v>99.999999000000017</c:v>
                </c:pt>
                <c:pt idx="95">
                  <c:v>99.999999000000017</c:v>
                </c:pt>
                <c:pt idx="96">
                  <c:v>99.999999000000017</c:v>
                </c:pt>
                <c:pt idx="97">
                  <c:v>99.999999000000017</c:v>
                </c:pt>
                <c:pt idx="98">
                  <c:v>99.999999000000017</c:v>
                </c:pt>
                <c:pt idx="99">
                  <c:v>99.999999000000017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A7-4C31-9C1D-79CCE4DAE18B}"/>
            </c:ext>
          </c:extLst>
        </c:ser>
        <c:ser>
          <c:idx val="3"/>
          <c:order val="4"/>
          <c:tx>
            <c:strRef>
              <c:f>Sheet2!$Q$5</c:f>
              <c:strCache>
                <c:ptCount val="1"/>
                <c:pt idx="0">
                  <c:v>P1-A2P (unmilled)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Sheet2!$E$7:$E$106</c:f>
              <c:numCache>
                <c:formatCode>General</c:formatCode>
                <c:ptCount val="100"/>
                <c:pt idx="0">
                  <c:v>1.1481999999999999E-2</c:v>
                </c:pt>
                <c:pt idx="1">
                  <c:v>1.3183E-2</c:v>
                </c:pt>
                <c:pt idx="2">
                  <c:v>1.5136E-2</c:v>
                </c:pt>
                <c:pt idx="3">
                  <c:v>1.7378000000000001E-2</c:v>
                </c:pt>
                <c:pt idx="4">
                  <c:v>1.9952999999999999E-2</c:v>
                </c:pt>
                <c:pt idx="5">
                  <c:v>2.2908999999999999E-2</c:v>
                </c:pt>
                <c:pt idx="6">
                  <c:v>2.6303E-2</c:v>
                </c:pt>
                <c:pt idx="7">
                  <c:v>3.0200000000000001E-2</c:v>
                </c:pt>
                <c:pt idx="8">
                  <c:v>3.4674000000000003E-2</c:v>
                </c:pt>
                <c:pt idx="9">
                  <c:v>3.9810999999999999E-2</c:v>
                </c:pt>
                <c:pt idx="10">
                  <c:v>4.5709E-2</c:v>
                </c:pt>
                <c:pt idx="11">
                  <c:v>5.2481E-2</c:v>
                </c:pt>
                <c:pt idx="12">
                  <c:v>6.0255999999999997E-2</c:v>
                </c:pt>
                <c:pt idx="13">
                  <c:v>6.9182999999999995E-2</c:v>
                </c:pt>
                <c:pt idx="14">
                  <c:v>7.9433000000000004E-2</c:v>
                </c:pt>
                <c:pt idx="15">
                  <c:v>9.1201000000000004E-2</c:v>
                </c:pt>
                <c:pt idx="16">
                  <c:v>0.104713</c:v>
                </c:pt>
                <c:pt idx="17">
                  <c:v>0.120226</c:v>
                </c:pt>
                <c:pt idx="18">
                  <c:v>0.13803799999999999</c:v>
                </c:pt>
                <c:pt idx="19">
                  <c:v>0.15848899999999999</c:v>
                </c:pt>
                <c:pt idx="20">
                  <c:v>0.18196999999999999</c:v>
                </c:pt>
                <c:pt idx="21">
                  <c:v>0.20893</c:v>
                </c:pt>
                <c:pt idx="22">
                  <c:v>0.23988300000000001</c:v>
                </c:pt>
                <c:pt idx="23">
                  <c:v>0.27542299999999997</c:v>
                </c:pt>
                <c:pt idx="24">
                  <c:v>0.31622800000000001</c:v>
                </c:pt>
                <c:pt idx="25">
                  <c:v>0.36307800000000001</c:v>
                </c:pt>
                <c:pt idx="26">
                  <c:v>0.41686899999999999</c:v>
                </c:pt>
                <c:pt idx="27">
                  <c:v>0.47863</c:v>
                </c:pt>
                <c:pt idx="28">
                  <c:v>0.54954099999999995</c:v>
                </c:pt>
                <c:pt idx="29">
                  <c:v>0.63095699999999999</c:v>
                </c:pt>
                <c:pt idx="30">
                  <c:v>0.72443599999999997</c:v>
                </c:pt>
                <c:pt idx="31">
                  <c:v>0.83176399999999995</c:v>
                </c:pt>
                <c:pt idx="32">
                  <c:v>0.95499299999999998</c:v>
                </c:pt>
                <c:pt idx="33">
                  <c:v>1.0964780000000001</c:v>
                </c:pt>
                <c:pt idx="34">
                  <c:v>1.2589250000000001</c:v>
                </c:pt>
                <c:pt idx="35">
                  <c:v>1.4454400000000001</c:v>
                </c:pt>
                <c:pt idx="36">
                  <c:v>1.6595869999999999</c:v>
                </c:pt>
                <c:pt idx="37">
                  <c:v>1.9054610000000001</c:v>
                </c:pt>
                <c:pt idx="38">
                  <c:v>2.1877620000000002</c:v>
                </c:pt>
                <c:pt idx="39">
                  <c:v>2.5118860000000001</c:v>
                </c:pt>
                <c:pt idx="40">
                  <c:v>2.8840309999999998</c:v>
                </c:pt>
                <c:pt idx="41">
                  <c:v>3.3113109999999999</c:v>
                </c:pt>
                <c:pt idx="42">
                  <c:v>3.8018939999999999</c:v>
                </c:pt>
                <c:pt idx="43">
                  <c:v>4.3651580000000001</c:v>
                </c:pt>
                <c:pt idx="44">
                  <c:v>5.0118720000000003</c:v>
                </c:pt>
                <c:pt idx="45">
                  <c:v>5.7543990000000003</c:v>
                </c:pt>
                <c:pt idx="46">
                  <c:v>6.6069339999999999</c:v>
                </c:pt>
                <c:pt idx="47">
                  <c:v>7.5857760000000001</c:v>
                </c:pt>
                <c:pt idx="48">
                  <c:v>8.7096359999999997</c:v>
                </c:pt>
                <c:pt idx="49">
                  <c:v>10</c:v>
                </c:pt>
                <c:pt idx="50">
                  <c:v>11.481536</c:v>
                </c:pt>
                <c:pt idx="51">
                  <c:v>13.182567000000001</c:v>
                </c:pt>
                <c:pt idx="52">
                  <c:v>15.135612</c:v>
                </c:pt>
                <c:pt idx="53">
                  <c:v>17.378008000000001</c:v>
                </c:pt>
                <c:pt idx="54">
                  <c:v>19.952622999999999</c:v>
                </c:pt>
                <c:pt idx="55">
                  <c:v>22.908677000000001</c:v>
                </c:pt>
                <c:pt idx="56">
                  <c:v>26.302679999999999</c:v>
                </c:pt>
                <c:pt idx="57">
                  <c:v>30.199517</c:v>
                </c:pt>
                <c:pt idx="58">
                  <c:v>34.673684999999999</c:v>
                </c:pt>
                <c:pt idx="59">
                  <c:v>39.810716999999997</c:v>
                </c:pt>
                <c:pt idx="60">
                  <c:v>45.708818999999998</c:v>
                </c:pt>
                <c:pt idx="61">
                  <c:v>52.480746000000003</c:v>
                </c:pt>
                <c:pt idx="62">
                  <c:v>60.255958999999997</c:v>
                </c:pt>
                <c:pt idx="63">
                  <c:v>69.183097000000004</c:v>
                </c:pt>
                <c:pt idx="64">
                  <c:v>79.432822999999999</c:v>
                </c:pt>
                <c:pt idx="65">
                  <c:v>91.201083999999994</c:v>
                </c:pt>
                <c:pt idx="66">
                  <c:v>104.712855</c:v>
                </c:pt>
                <c:pt idx="67">
                  <c:v>120.226443</c:v>
                </c:pt>
                <c:pt idx="68">
                  <c:v>138.03842599999999</c:v>
                </c:pt>
                <c:pt idx="69">
                  <c:v>158.48931899999999</c:v>
                </c:pt>
                <c:pt idx="70">
                  <c:v>181.97008600000001</c:v>
                </c:pt>
                <c:pt idx="71">
                  <c:v>208.92961299999999</c:v>
                </c:pt>
                <c:pt idx="72">
                  <c:v>239.88329200000001</c:v>
                </c:pt>
                <c:pt idx="73">
                  <c:v>275.42286999999999</c:v>
                </c:pt>
                <c:pt idx="74">
                  <c:v>316.22776599999997</c:v>
                </c:pt>
                <c:pt idx="75">
                  <c:v>363.07805500000001</c:v>
                </c:pt>
                <c:pt idx="76">
                  <c:v>416.86938300000003</c:v>
                </c:pt>
                <c:pt idx="77">
                  <c:v>478.63009199999999</c:v>
                </c:pt>
                <c:pt idx="78">
                  <c:v>549.54087400000003</c:v>
                </c:pt>
                <c:pt idx="79">
                  <c:v>630.95734400000003</c:v>
                </c:pt>
                <c:pt idx="80">
                  <c:v>724.43596000000002</c:v>
                </c:pt>
                <c:pt idx="81">
                  <c:v>831.76377100000002</c:v>
                </c:pt>
                <c:pt idx="82">
                  <c:v>954.99258599999996</c:v>
                </c:pt>
                <c:pt idx="83">
                  <c:v>1096.478196</c:v>
                </c:pt>
                <c:pt idx="84">
                  <c:v>1258.9254120000001</c:v>
                </c:pt>
                <c:pt idx="85">
                  <c:v>1445.4397710000001</c:v>
                </c:pt>
                <c:pt idx="86">
                  <c:v>1659.5869070000001</c:v>
                </c:pt>
                <c:pt idx="87">
                  <c:v>1905.460718</c:v>
                </c:pt>
                <c:pt idx="88">
                  <c:v>2187.7616240000002</c:v>
                </c:pt>
                <c:pt idx="89">
                  <c:v>2511.8864319999998</c:v>
                </c:pt>
                <c:pt idx="90">
                  <c:v>2884.0315030000002</c:v>
                </c:pt>
                <c:pt idx="91">
                  <c:v>3311.3112150000002</c:v>
                </c:pt>
                <c:pt idx="92">
                  <c:v>3801.893963</c:v>
                </c:pt>
                <c:pt idx="93">
                  <c:v>4365.1583220000002</c:v>
                </c:pt>
                <c:pt idx="94">
                  <c:v>5011.8723360000004</c:v>
                </c:pt>
                <c:pt idx="95">
                  <c:v>5754.3993730000002</c:v>
                </c:pt>
                <c:pt idx="96">
                  <c:v>6606.9344799999999</c:v>
                </c:pt>
                <c:pt idx="97">
                  <c:v>7585.7757499999998</c:v>
                </c:pt>
                <c:pt idx="98">
                  <c:v>8709.6358999999993</c:v>
                </c:pt>
                <c:pt idx="99">
                  <c:v>10000</c:v>
                </c:pt>
              </c:numCache>
            </c:numRef>
          </c:xVal>
          <c:yVal>
            <c:numRef>
              <c:f>Sheet2!$R$7:$R$106</c:f>
              <c:numCache>
                <c:formatCode>0.0000</c:formatCode>
                <c:ptCount val="10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0.23263200000000001</c:v>
                </c:pt>
                <c:pt idx="11">
                  <c:v>1.0429569999999999</c:v>
                </c:pt>
                <c:pt idx="12">
                  <c:v>2.3191319999999997</c:v>
                </c:pt>
                <c:pt idx="13">
                  <c:v>4.1913309999999999</c:v>
                </c:pt>
                <c:pt idx="14">
                  <c:v>6.9003759999999996</c:v>
                </c:pt>
                <c:pt idx="15">
                  <c:v>10.442572999999999</c:v>
                </c:pt>
                <c:pt idx="16">
                  <c:v>14.722522</c:v>
                </c:pt>
                <c:pt idx="17">
                  <c:v>19.570428</c:v>
                </c:pt>
                <c:pt idx="18">
                  <c:v>24.767137999999999</c:v>
                </c:pt>
                <c:pt idx="19">
                  <c:v>30.067509000000001</c:v>
                </c:pt>
                <c:pt idx="20">
                  <c:v>35.240946000000001</c:v>
                </c:pt>
                <c:pt idx="21">
                  <c:v>40.105805000000004</c:v>
                </c:pt>
                <c:pt idx="22">
                  <c:v>44.552050000000001</c:v>
                </c:pt>
                <c:pt idx="23">
                  <c:v>48.528897000000001</c:v>
                </c:pt>
                <c:pt idx="24">
                  <c:v>52.026223000000002</c:v>
                </c:pt>
                <c:pt idx="25">
                  <c:v>55.030943000000001</c:v>
                </c:pt>
                <c:pt idx="26">
                  <c:v>57.534247000000001</c:v>
                </c:pt>
                <c:pt idx="27">
                  <c:v>59.521152999999998</c:v>
                </c:pt>
                <c:pt idx="28">
                  <c:v>61.010715999999995</c:v>
                </c:pt>
                <c:pt idx="29">
                  <c:v>62.041490999999994</c:v>
                </c:pt>
                <c:pt idx="30">
                  <c:v>62.698353999999995</c:v>
                </c:pt>
                <c:pt idx="31">
                  <c:v>63.052562999999992</c:v>
                </c:pt>
                <c:pt idx="32">
                  <c:v>63.241624999999992</c:v>
                </c:pt>
                <c:pt idx="33">
                  <c:v>63.38595999999999</c:v>
                </c:pt>
                <c:pt idx="34">
                  <c:v>63.526063999999991</c:v>
                </c:pt>
                <c:pt idx="35">
                  <c:v>63.719084999999993</c:v>
                </c:pt>
                <c:pt idx="36">
                  <c:v>64.060207999999989</c:v>
                </c:pt>
                <c:pt idx="37">
                  <c:v>64.577973999999983</c:v>
                </c:pt>
                <c:pt idx="38">
                  <c:v>65.272319999999979</c:v>
                </c:pt>
                <c:pt idx="39">
                  <c:v>66.136937999999972</c:v>
                </c:pt>
                <c:pt idx="40">
                  <c:v>67.160818999999975</c:v>
                </c:pt>
                <c:pt idx="41">
                  <c:v>68.322157999999973</c:v>
                </c:pt>
                <c:pt idx="42">
                  <c:v>69.589235999999971</c:v>
                </c:pt>
                <c:pt idx="43">
                  <c:v>70.923685999999975</c:v>
                </c:pt>
                <c:pt idx="44">
                  <c:v>72.290519999999972</c:v>
                </c:pt>
                <c:pt idx="45">
                  <c:v>73.665588999999969</c:v>
                </c:pt>
                <c:pt idx="46">
                  <c:v>75.040108999999973</c:v>
                </c:pt>
                <c:pt idx="47">
                  <c:v>76.41771599999997</c:v>
                </c:pt>
                <c:pt idx="48">
                  <c:v>77.807602999999972</c:v>
                </c:pt>
                <c:pt idx="49">
                  <c:v>79.217613999999969</c:v>
                </c:pt>
                <c:pt idx="50">
                  <c:v>80.650208999999975</c:v>
                </c:pt>
                <c:pt idx="51">
                  <c:v>82.099255999999968</c:v>
                </c:pt>
                <c:pt idx="52">
                  <c:v>83.553861999999967</c:v>
                </c:pt>
                <c:pt idx="53">
                  <c:v>84.99962199999996</c:v>
                </c:pt>
                <c:pt idx="54">
                  <c:v>86.420654999999954</c:v>
                </c:pt>
                <c:pt idx="55">
                  <c:v>87.80254199999996</c:v>
                </c:pt>
                <c:pt idx="56">
                  <c:v>89.132350999999957</c:v>
                </c:pt>
                <c:pt idx="57">
                  <c:v>90.399941999999953</c:v>
                </c:pt>
                <c:pt idx="58">
                  <c:v>91.596562999999946</c:v>
                </c:pt>
                <c:pt idx="59">
                  <c:v>92.715990999999946</c:v>
                </c:pt>
                <c:pt idx="60">
                  <c:v>93.753218999999945</c:v>
                </c:pt>
                <c:pt idx="61">
                  <c:v>94.704452999999944</c:v>
                </c:pt>
                <c:pt idx="62">
                  <c:v>95.566980999999942</c:v>
                </c:pt>
                <c:pt idx="63">
                  <c:v>96.338120999999944</c:v>
                </c:pt>
                <c:pt idx="64">
                  <c:v>97.019799999999947</c:v>
                </c:pt>
                <c:pt idx="65">
                  <c:v>97.600677999999945</c:v>
                </c:pt>
                <c:pt idx="66">
                  <c:v>98.091618999999952</c:v>
                </c:pt>
                <c:pt idx="67">
                  <c:v>98.501704999999959</c:v>
                </c:pt>
                <c:pt idx="68">
                  <c:v>98.838580999999962</c:v>
                </c:pt>
                <c:pt idx="69">
                  <c:v>99.114233999999968</c:v>
                </c:pt>
                <c:pt idx="70">
                  <c:v>99.334920999999966</c:v>
                </c:pt>
                <c:pt idx="71">
                  <c:v>99.512492999999964</c:v>
                </c:pt>
                <c:pt idx="72">
                  <c:v>99.659406999999959</c:v>
                </c:pt>
                <c:pt idx="73">
                  <c:v>99.779989999999955</c:v>
                </c:pt>
                <c:pt idx="74">
                  <c:v>99.871881999999957</c:v>
                </c:pt>
                <c:pt idx="75">
                  <c:v>99.927735999999953</c:v>
                </c:pt>
                <c:pt idx="76">
                  <c:v>99.965457999999956</c:v>
                </c:pt>
                <c:pt idx="77">
                  <c:v>99.98967599999996</c:v>
                </c:pt>
                <c:pt idx="78">
                  <c:v>99.999995999999953</c:v>
                </c:pt>
                <c:pt idx="79">
                  <c:v>99.999995999999953</c:v>
                </c:pt>
                <c:pt idx="80">
                  <c:v>99.999995999999953</c:v>
                </c:pt>
                <c:pt idx="81">
                  <c:v>99.999995999999953</c:v>
                </c:pt>
                <c:pt idx="82">
                  <c:v>99.999995999999953</c:v>
                </c:pt>
                <c:pt idx="83">
                  <c:v>99.999995999999953</c:v>
                </c:pt>
                <c:pt idx="84">
                  <c:v>99.999995999999953</c:v>
                </c:pt>
                <c:pt idx="85">
                  <c:v>99.999995999999953</c:v>
                </c:pt>
                <c:pt idx="86">
                  <c:v>99.999995999999953</c:v>
                </c:pt>
                <c:pt idx="87">
                  <c:v>99.999995999999953</c:v>
                </c:pt>
                <c:pt idx="88">
                  <c:v>99.999995999999953</c:v>
                </c:pt>
                <c:pt idx="89">
                  <c:v>99.999995999999953</c:v>
                </c:pt>
                <c:pt idx="90">
                  <c:v>99.999995999999953</c:v>
                </c:pt>
                <c:pt idx="91">
                  <c:v>99.999995999999953</c:v>
                </c:pt>
                <c:pt idx="92">
                  <c:v>99.999995999999953</c:v>
                </c:pt>
                <c:pt idx="93">
                  <c:v>99.999995999999953</c:v>
                </c:pt>
                <c:pt idx="94">
                  <c:v>99.999995999999953</c:v>
                </c:pt>
                <c:pt idx="95">
                  <c:v>99.999995999999953</c:v>
                </c:pt>
                <c:pt idx="96">
                  <c:v>99.999995999999953</c:v>
                </c:pt>
                <c:pt idx="97">
                  <c:v>99.999995999999953</c:v>
                </c:pt>
                <c:pt idx="98">
                  <c:v>99.999995999999953</c:v>
                </c:pt>
                <c:pt idx="99">
                  <c:v>99.999995999999953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A7-4C31-9C1D-79CCE4DAE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504304"/>
        <c:axId val="322499056"/>
      </c:scatterChart>
      <c:valAx>
        <c:axId val="32250430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Particle size</a:t>
                </a:r>
                <a:r>
                  <a:rPr lang="da-DK" baseline="0"/>
                  <a:t> [µm]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99056"/>
        <c:crosses val="autoZero"/>
        <c:crossBetween val="midCat"/>
      </c:valAx>
      <c:valAx>
        <c:axId val="32249905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Particle</a:t>
                </a:r>
                <a:r>
                  <a:rPr lang="da-DK" baseline="0"/>
                  <a:t> size distribution [%]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Sheet2!$F$5</c:f>
              <c:strCache>
                <c:ptCount val="1"/>
                <c:pt idx="0">
                  <c:v>P1-Raw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Sheet2!$E$7:$E$106</c:f>
              <c:numCache>
                <c:formatCode>General</c:formatCode>
                <c:ptCount val="100"/>
                <c:pt idx="0">
                  <c:v>1.1481999999999999E-2</c:v>
                </c:pt>
                <c:pt idx="1">
                  <c:v>1.3183E-2</c:v>
                </c:pt>
                <c:pt idx="2">
                  <c:v>1.5136E-2</c:v>
                </c:pt>
                <c:pt idx="3">
                  <c:v>1.7378000000000001E-2</c:v>
                </c:pt>
                <c:pt idx="4">
                  <c:v>1.9952999999999999E-2</c:v>
                </c:pt>
                <c:pt idx="5">
                  <c:v>2.2908999999999999E-2</c:v>
                </c:pt>
                <c:pt idx="6">
                  <c:v>2.6303E-2</c:v>
                </c:pt>
                <c:pt idx="7">
                  <c:v>3.0200000000000001E-2</c:v>
                </c:pt>
                <c:pt idx="8">
                  <c:v>3.4674000000000003E-2</c:v>
                </c:pt>
                <c:pt idx="9">
                  <c:v>3.9810999999999999E-2</c:v>
                </c:pt>
                <c:pt idx="10">
                  <c:v>4.5709E-2</c:v>
                </c:pt>
                <c:pt idx="11">
                  <c:v>5.2481E-2</c:v>
                </c:pt>
                <c:pt idx="12">
                  <c:v>6.0255999999999997E-2</c:v>
                </c:pt>
                <c:pt idx="13">
                  <c:v>6.9182999999999995E-2</c:v>
                </c:pt>
                <c:pt idx="14">
                  <c:v>7.9433000000000004E-2</c:v>
                </c:pt>
                <c:pt idx="15">
                  <c:v>9.1201000000000004E-2</c:v>
                </c:pt>
                <c:pt idx="16">
                  <c:v>0.104713</c:v>
                </c:pt>
                <c:pt idx="17">
                  <c:v>0.120226</c:v>
                </c:pt>
                <c:pt idx="18">
                  <c:v>0.13803799999999999</c:v>
                </c:pt>
                <c:pt idx="19">
                  <c:v>0.15848899999999999</c:v>
                </c:pt>
                <c:pt idx="20">
                  <c:v>0.18196999999999999</c:v>
                </c:pt>
                <c:pt idx="21">
                  <c:v>0.20893</c:v>
                </c:pt>
                <c:pt idx="22">
                  <c:v>0.23988300000000001</c:v>
                </c:pt>
                <c:pt idx="23">
                  <c:v>0.27542299999999997</c:v>
                </c:pt>
                <c:pt idx="24">
                  <c:v>0.31622800000000001</c:v>
                </c:pt>
                <c:pt idx="25">
                  <c:v>0.36307800000000001</c:v>
                </c:pt>
                <c:pt idx="26">
                  <c:v>0.41686899999999999</c:v>
                </c:pt>
                <c:pt idx="27">
                  <c:v>0.47863</c:v>
                </c:pt>
                <c:pt idx="28">
                  <c:v>0.54954099999999995</c:v>
                </c:pt>
                <c:pt idx="29">
                  <c:v>0.63095699999999999</c:v>
                </c:pt>
                <c:pt idx="30">
                  <c:v>0.72443599999999997</c:v>
                </c:pt>
                <c:pt idx="31">
                  <c:v>0.83176399999999995</c:v>
                </c:pt>
                <c:pt idx="32">
                  <c:v>0.95499299999999998</c:v>
                </c:pt>
                <c:pt idx="33">
                  <c:v>1.0964780000000001</c:v>
                </c:pt>
                <c:pt idx="34">
                  <c:v>1.2589250000000001</c:v>
                </c:pt>
                <c:pt idx="35">
                  <c:v>1.4454400000000001</c:v>
                </c:pt>
                <c:pt idx="36">
                  <c:v>1.6595869999999999</c:v>
                </c:pt>
                <c:pt idx="37">
                  <c:v>1.9054610000000001</c:v>
                </c:pt>
                <c:pt idx="38">
                  <c:v>2.1877620000000002</c:v>
                </c:pt>
                <c:pt idx="39">
                  <c:v>2.5118860000000001</c:v>
                </c:pt>
                <c:pt idx="40">
                  <c:v>2.8840309999999998</c:v>
                </c:pt>
                <c:pt idx="41">
                  <c:v>3.3113109999999999</c:v>
                </c:pt>
                <c:pt idx="42">
                  <c:v>3.8018939999999999</c:v>
                </c:pt>
                <c:pt idx="43">
                  <c:v>4.3651580000000001</c:v>
                </c:pt>
                <c:pt idx="44">
                  <c:v>5.0118720000000003</c:v>
                </c:pt>
                <c:pt idx="45">
                  <c:v>5.7543990000000003</c:v>
                </c:pt>
                <c:pt idx="46">
                  <c:v>6.6069339999999999</c:v>
                </c:pt>
                <c:pt idx="47">
                  <c:v>7.5857760000000001</c:v>
                </c:pt>
                <c:pt idx="48">
                  <c:v>8.7096359999999997</c:v>
                </c:pt>
                <c:pt idx="49">
                  <c:v>10</c:v>
                </c:pt>
                <c:pt idx="50">
                  <c:v>11.481536</c:v>
                </c:pt>
                <c:pt idx="51">
                  <c:v>13.182567000000001</c:v>
                </c:pt>
                <c:pt idx="52">
                  <c:v>15.135612</c:v>
                </c:pt>
                <c:pt idx="53">
                  <c:v>17.378008000000001</c:v>
                </c:pt>
                <c:pt idx="54">
                  <c:v>19.952622999999999</c:v>
                </c:pt>
                <c:pt idx="55">
                  <c:v>22.908677000000001</c:v>
                </c:pt>
                <c:pt idx="56">
                  <c:v>26.302679999999999</c:v>
                </c:pt>
                <c:pt idx="57">
                  <c:v>30.199517</c:v>
                </c:pt>
                <c:pt idx="58">
                  <c:v>34.673684999999999</c:v>
                </c:pt>
                <c:pt idx="59">
                  <c:v>39.810716999999997</c:v>
                </c:pt>
                <c:pt idx="60">
                  <c:v>45.708818999999998</c:v>
                </c:pt>
                <c:pt idx="61">
                  <c:v>52.480746000000003</c:v>
                </c:pt>
                <c:pt idx="62">
                  <c:v>60.255958999999997</c:v>
                </c:pt>
                <c:pt idx="63">
                  <c:v>69.183097000000004</c:v>
                </c:pt>
                <c:pt idx="64">
                  <c:v>79.432822999999999</c:v>
                </c:pt>
                <c:pt idx="65">
                  <c:v>91.201083999999994</c:v>
                </c:pt>
                <c:pt idx="66">
                  <c:v>104.712855</c:v>
                </c:pt>
                <c:pt idx="67">
                  <c:v>120.226443</c:v>
                </c:pt>
                <c:pt idx="68">
                  <c:v>138.03842599999999</c:v>
                </c:pt>
                <c:pt idx="69">
                  <c:v>158.48931899999999</c:v>
                </c:pt>
                <c:pt idx="70">
                  <c:v>181.97008600000001</c:v>
                </c:pt>
                <c:pt idx="71">
                  <c:v>208.92961299999999</c:v>
                </c:pt>
                <c:pt idx="72">
                  <c:v>239.88329200000001</c:v>
                </c:pt>
                <c:pt idx="73">
                  <c:v>275.42286999999999</c:v>
                </c:pt>
                <c:pt idx="74">
                  <c:v>316.22776599999997</c:v>
                </c:pt>
                <c:pt idx="75">
                  <c:v>363.07805500000001</c:v>
                </c:pt>
                <c:pt idx="76">
                  <c:v>416.86938300000003</c:v>
                </c:pt>
                <c:pt idx="77">
                  <c:v>478.63009199999999</c:v>
                </c:pt>
                <c:pt idx="78">
                  <c:v>549.54087400000003</c:v>
                </c:pt>
                <c:pt idx="79">
                  <c:v>630.95734400000003</c:v>
                </c:pt>
                <c:pt idx="80">
                  <c:v>724.43596000000002</c:v>
                </c:pt>
                <c:pt idx="81">
                  <c:v>831.76377100000002</c:v>
                </c:pt>
                <c:pt idx="82">
                  <c:v>954.99258599999996</c:v>
                </c:pt>
                <c:pt idx="83">
                  <c:v>1096.478196</c:v>
                </c:pt>
                <c:pt idx="84">
                  <c:v>1258.9254120000001</c:v>
                </c:pt>
                <c:pt idx="85">
                  <c:v>1445.4397710000001</c:v>
                </c:pt>
                <c:pt idx="86">
                  <c:v>1659.5869070000001</c:v>
                </c:pt>
                <c:pt idx="87">
                  <c:v>1905.460718</c:v>
                </c:pt>
                <c:pt idx="88">
                  <c:v>2187.7616240000002</c:v>
                </c:pt>
                <c:pt idx="89">
                  <c:v>2511.8864319999998</c:v>
                </c:pt>
                <c:pt idx="90">
                  <c:v>2884.0315030000002</c:v>
                </c:pt>
                <c:pt idx="91">
                  <c:v>3311.3112150000002</c:v>
                </c:pt>
                <c:pt idx="92">
                  <c:v>3801.893963</c:v>
                </c:pt>
                <c:pt idx="93">
                  <c:v>4365.1583220000002</c:v>
                </c:pt>
                <c:pt idx="94">
                  <c:v>5011.8723360000004</c:v>
                </c:pt>
                <c:pt idx="95">
                  <c:v>5754.3993730000002</c:v>
                </c:pt>
                <c:pt idx="96">
                  <c:v>6606.9344799999999</c:v>
                </c:pt>
                <c:pt idx="97">
                  <c:v>7585.7757499999998</c:v>
                </c:pt>
                <c:pt idx="98">
                  <c:v>8709.6358999999993</c:v>
                </c:pt>
                <c:pt idx="99">
                  <c:v>10000</c:v>
                </c:pt>
              </c:numCache>
            </c:numRef>
          </c:xVal>
          <c:yVal>
            <c:numRef>
              <c:f>Sheet2!$G$7:$G$106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5.9179999999999996E-3</c:v>
                </c:pt>
                <c:pt idx="38">
                  <c:v>0.42178099999999996</c:v>
                </c:pt>
                <c:pt idx="39">
                  <c:v>1.234551</c:v>
                </c:pt>
                <c:pt idx="40">
                  <c:v>2.449538</c:v>
                </c:pt>
                <c:pt idx="41">
                  <c:v>4.0665719999999999</c:v>
                </c:pt>
                <c:pt idx="42">
                  <c:v>6.050789</c:v>
                </c:pt>
                <c:pt idx="43">
                  <c:v>8.3656649999999999</c:v>
                </c:pt>
                <c:pt idx="44">
                  <c:v>10.980710999999999</c:v>
                </c:pt>
                <c:pt idx="45">
                  <c:v>13.878428999999999</c:v>
                </c:pt>
                <c:pt idx="46">
                  <c:v>17.064155</c:v>
                </c:pt>
                <c:pt idx="47">
                  <c:v>20.550901</c:v>
                </c:pt>
                <c:pt idx="48">
                  <c:v>24.365884000000001</c:v>
                </c:pt>
                <c:pt idx="49">
                  <c:v>28.528634</c:v>
                </c:pt>
                <c:pt idx="50">
                  <c:v>33.061975000000004</c:v>
                </c:pt>
                <c:pt idx="51">
                  <c:v>37.963220000000007</c:v>
                </c:pt>
                <c:pt idx="52">
                  <c:v>43.222558000000006</c:v>
                </c:pt>
                <c:pt idx="53">
                  <c:v>48.795417000000008</c:v>
                </c:pt>
                <c:pt idx="54">
                  <c:v>54.616095000000008</c:v>
                </c:pt>
                <c:pt idx="55">
                  <c:v>60.583401000000009</c:v>
                </c:pt>
                <c:pt idx="56">
                  <c:v>66.569173000000006</c:v>
                </c:pt>
                <c:pt idx="57">
                  <c:v>72.421231000000006</c:v>
                </c:pt>
                <c:pt idx="58">
                  <c:v>77.973146</c:v>
                </c:pt>
                <c:pt idx="59">
                  <c:v>83.062854000000002</c:v>
                </c:pt>
                <c:pt idx="60">
                  <c:v>87.547066000000001</c:v>
                </c:pt>
                <c:pt idx="61">
                  <c:v>91.321262000000004</c:v>
                </c:pt>
                <c:pt idx="62">
                  <c:v>94.33550000000001</c:v>
                </c:pt>
                <c:pt idx="63">
                  <c:v>96.595020000000005</c:v>
                </c:pt>
                <c:pt idx="64">
                  <c:v>98.169640000000001</c:v>
                </c:pt>
                <c:pt idx="65">
                  <c:v>99.159219000000007</c:v>
                </c:pt>
                <c:pt idx="66">
                  <c:v>99.721334000000013</c:v>
                </c:pt>
                <c:pt idx="67">
                  <c:v>99.937831000000017</c:v>
                </c:pt>
                <c:pt idx="68">
                  <c:v>99.999999000000017</c:v>
                </c:pt>
                <c:pt idx="69">
                  <c:v>99.999999000000017</c:v>
                </c:pt>
                <c:pt idx="70">
                  <c:v>99.999999000000017</c:v>
                </c:pt>
                <c:pt idx="71">
                  <c:v>99.999999000000017</c:v>
                </c:pt>
                <c:pt idx="72">
                  <c:v>99.999999000000017</c:v>
                </c:pt>
                <c:pt idx="73">
                  <c:v>99.999999000000017</c:v>
                </c:pt>
                <c:pt idx="74">
                  <c:v>99.999999000000017</c:v>
                </c:pt>
                <c:pt idx="75">
                  <c:v>99.999999000000017</c:v>
                </c:pt>
                <c:pt idx="76">
                  <c:v>99.999999000000017</c:v>
                </c:pt>
                <c:pt idx="77">
                  <c:v>99.999999000000017</c:v>
                </c:pt>
                <c:pt idx="78">
                  <c:v>99.999999000000017</c:v>
                </c:pt>
                <c:pt idx="79">
                  <c:v>99.999999000000017</c:v>
                </c:pt>
                <c:pt idx="80">
                  <c:v>99.999999000000017</c:v>
                </c:pt>
                <c:pt idx="81">
                  <c:v>99.999999000000017</c:v>
                </c:pt>
                <c:pt idx="82">
                  <c:v>99.999999000000017</c:v>
                </c:pt>
                <c:pt idx="83">
                  <c:v>99.999999000000017</c:v>
                </c:pt>
                <c:pt idx="84">
                  <c:v>99.999999000000017</c:v>
                </c:pt>
                <c:pt idx="85">
                  <c:v>99.999999000000017</c:v>
                </c:pt>
                <c:pt idx="86">
                  <c:v>99.999999000000017</c:v>
                </c:pt>
                <c:pt idx="87">
                  <c:v>99.999999000000017</c:v>
                </c:pt>
                <c:pt idx="88">
                  <c:v>99.999999000000017</c:v>
                </c:pt>
                <c:pt idx="89">
                  <c:v>99.999999000000017</c:v>
                </c:pt>
                <c:pt idx="90">
                  <c:v>99.999999000000017</c:v>
                </c:pt>
                <c:pt idx="91">
                  <c:v>99.999999000000017</c:v>
                </c:pt>
                <c:pt idx="92">
                  <c:v>99.999999000000017</c:v>
                </c:pt>
                <c:pt idx="93">
                  <c:v>99.999999000000017</c:v>
                </c:pt>
                <c:pt idx="94">
                  <c:v>99.999999000000017</c:v>
                </c:pt>
                <c:pt idx="95">
                  <c:v>99.999999000000017</c:v>
                </c:pt>
                <c:pt idx="96">
                  <c:v>99.999999000000017</c:v>
                </c:pt>
                <c:pt idx="97">
                  <c:v>99.999999000000017</c:v>
                </c:pt>
                <c:pt idx="98">
                  <c:v>99.999999000000017</c:v>
                </c:pt>
                <c:pt idx="99">
                  <c:v>99.999999000000017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32-4735-998B-415D995EC0EB}"/>
            </c:ext>
          </c:extLst>
        </c:ser>
        <c:ser>
          <c:idx val="2"/>
          <c:order val="1"/>
          <c:tx>
            <c:strRef>
              <c:f>Sheet2!$H$5</c:f>
              <c:strCache>
                <c:ptCount val="1"/>
                <c:pt idx="0">
                  <c:v>P1-ED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Sheet2!$E$7:$E$106</c:f>
              <c:numCache>
                <c:formatCode>General</c:formatCode>
                <c:ptCount val="100"/>
                <c:pt idx="0">
                  <c:v>1.1481999999999999E-2</c:v>
                </c:pt>
                <c:pt idx="1">
                  <c:v>1.3183E-2</c:v>
                </c:pt>
                <c:pt idx="2">
                  <c:v>1.5136E-2</c:v>
                </c:pt>
                <c:pt idx="3">
                  <c:v>1.7378000000000001E-2</c:v>
                </c:pt>
                <c:pt idx="4">
                  <c:v>1.9952999999999999E-2</c:v>
                </c:pt>
                <c:pt idx="5">
                  <c:v>2.2908999999999999E-2</c:v>
                </c:pt>
                <c:pt idx="6">
                  <c:v>2.6303E-2</c:v>
                </c:pt>
                <c:pt idx="7">
                  <c:v>3.0200000000000001E-2</c:v>
                </c:pt>
                <c:pt idx="8">
                  <c:v>3.4674000000000003E-2</c:v>
                </c:pt>
                <c:pt idx="9">
                  <c:v>3.9810999999999999E-2</c:v>
                </c:pt>
                <c:pt idx="10">
                  <c:v>4.5709E-2</c:v>
                </c:pt>
                <c:pt idx="11">
                  <c:v>5.2481E-2</c:v>
                </c:pt>
                <c:pt idx="12">
                  <c:v>6.0255999999999997E-2</c:v>
                </c:pt>
                <c:pt idx="13">
                  <c:v>6.9182999999999995E-2</c:v>
                </c:pt>
                <c:pt idx="14">
                  <c:v>7.9433000000000004E-2</c:v>
                </c:pt>
                <c:pt idx="15">
                  <c:v>9.1201000000000004E-2</c:v>
                </c:pt>
                <c:pt idx="16">
                  <c:v>0.104713</c:v>
                </c:pt>
                <c:pt idx="17">
                  <c:v>0.120226</c:v>
                </c:pt>
                <c:pt idx="18">
                  <c:v>0.13803799999999999</c:v>
                </c:pt>
                <c:pt idx="19">
                  <c:v>0.15848899999999999</c:v>
                </c:pt>
                <c:pt idx="20">
                  <c:v>0.18196999999999999</c:v>
                </c:pt>
                <c:pt idx="21">
                  <c:v>0.20893</c:v>
                </c:pt>
                <c:pt idx="22">
                  <c:v>0.23988300000000001</c:v>
                </c:pt>
                <c:pt idx="23">
                  <c:v>0.27542299999999997</c:v>
                </c:pt>
                <c:pt idx="24">
                  <c:v>0.31622800000000001</c:v>
                </c:pt>
                <c:pt idx="25">
                  <c:v>0.36307800000000001</c:v>
                </c:pt>
                <c:pt idx="26">
                  <c:v>0.41686899999999999</c:v>
                </c:pt>
                <c:pt idx="27">
                  <c:v>0.47863</c:v>
                </c:pt>
                <c:pt idx="28">
                  <c:v>0.54954099999999995</c:v>
                </c:pt>
                <c:pt idx="29">
                  <c:v>0.63095699999999999</c:v>
                </c:pt>
                <c:pt idx="30">
                  <c:v>0.72443599999999997</c:v>
                </c:pt>
                <c:pt idx="31">
                  <c:v>0.83176399999999995</c:v>
                </c:pt>
                <c:pt idx="32">
                  <c:v>0.95499299999999998</c:v>
                </c:pt>
                <c:pt idx="33">
                  <c:v>1.0964780000000001</c:v>
                </c:pt>
                <c:pt idx="34">
                  <c:v>1.2589250000000001</c:v>
                </c:pt>
                <c:pt idx="35">
                  <c:v>1.4454400000000001</c:v>
                </c:pt>
                <c:pt idx="36">
                  <c:v>1.6595869999999999</c:v>
                </c:pt>
                <c:pt idx="37">
                  <c:v>1.9054610000000001</c:v>
                </c:pt>
                <c:pt idx="38">
                  <c:v>2.1877620000000002</c:v>
                </c:pt>
                <c:pt idx="39">
                  <c:v>2.5118860000000001</c:v>
                </c:pt>
                <c:pt idx="40">
                  <c:v>2.8840309999999998</c:v>
                </c:pt>
                <c:pt idx="41">
                  <c:v>3.3113109999999999</c:v>
                </c:pt>
                <c:pt idx="42">
                  <c:v>3.8018939999999999</c:v>
                </c:pt>
                <c:pt idx="43">
                  <c:v>4.3651580000000001</c:v>
                </c:pt>
                <c:pt idx="44">
                  <c:v>5.0118720000000003</c:v>
                </c:pt>
                <c:pt idx="45">
                  <c:v>5.7543990000000003</c:v>
                </c:pt>
                <c:pt idx="46">
                  <c:v>6.6069339999999999</c:v>
                </c:pt>
                <c:pt idx="47">
                  <c:v>7.5857760000000001</c:v>
                </c:pt>
                <c:pt idx="48">
                  <c:v>8.7096359999999997</c:v>
                </c:pt>
                <c:pt idx="49">
                  <c:v>10</c:v>
                </c:pt>
                <c:pt idx="50">
                  <c:v>11.481536</c:v>
                </c:pt>
                <c:pt idx="51">
                  <c:v>13.182567000000001</c:v>
                </c:pt>
                <c:pt idx="52">
                  <c:v>15.135612</c:v>
                </c:pt>
                <c:pt idx="53">
                  <c:v>17.378008000000001</c:v>
                </c:pt>
                <c:pt idx="54">
                  <c:v>19.952622999999999</c:v>
                </c:pt>
                <c:pt idx="55">
                  <c:v>22.908677000000001</c:v>
                </c:pt>
                <c:pt idx="56">
                  <c:v>26.302679999999999</c:v>
                </c:pt>
                <c:pt idx="57">
                  <c:v>30.199517</c:v>
                </c:pt>
                <c:pt idx="58">
                  <c:v>34.673684999999999</c:v>
                </c:pt>
                <c:pt idx="59">
                  <c:v>39.810716999999997</c:v>
                </c:pt>
                <c:pt idx="60">
                  <c:v>45.708818999999998</c:v>
                </c:pt>
                <c:pt idx="61">
                  <c:v>52.480746000000003</c:v>
                </c:pt>
                <c:pt idx="62">
                  <c:v>60.255958999999997</c:v>
                </c:pt>
                <c:pt idx="63">
                  <c:v>69.183097000000004</c:v>
                </c:pt>
                <c:pt idx="64">
                  <c:v>79.432822999999999</c:v>
                </c:pt>
                <c:pt idx="65">
                  <c:v>91.201083999999994</c:v>
                </c:pt>
                <c:pt idx="66">
                  <c:v>104.712855</c:v>
                </c:pt>
                <c:pt idx="67">
                  <c:v>120.226443</c:v>
                </c:pt>
                <c:pt idx="68">
                  <c:v>138.03842599999999</c:v>
                </c:pt>
                <c:pt idx="69">
                  <c:v>158.48931899999999</c:v>
                </c:pt>
                <c:pt idx="70">
                  <c:v>181.97008600000001</c:v>
                </c:pt>
                <c:pt idx="71">
                  <c:v>208.92961299999999</c:v>
                </c:pt>
                <c:pt idx="72">
                  <c:v>239.88329200000001</c:v>
                </c:pt>
                <c:pt idx="73">
                  <c:v>275.42286999999999</c:v>
                </c:pt>
                <c:pt idx="74">
                  <c:v>316.22776599999997</c:v>
                </c:pt>
                <c:pt idx="75">
                  <c:v>363.07805500000001</c:v>
                </c:pt>
                <c:pt idx="76">
                  <c:v>416.86938300000003</c:v>
                </c:pt>
                <c:pt idx="77">
                  <c:v>478.63009199999999</c:v>
                </c:pt>
                <c:pt idx="78">
                  <c:v>549.54087400000003</c:v>
                </c:pt>
                <c:pt idx="79">
                  <c:v>630.95734400000003</c:v>
                </c:pt>
                <c:pt idx="80">
                  <c:v>724.43596000000002</c:v>
                </c:pt>
                <c:pt idx="81">
                  <c:v>831.76377100000002</c:v>
                </c:pt>
                <c:pt idx="82">
                  <c:v>954.99258599999996</c:v>
                </c:pt>
                <c:pt idx="83">
                  <c:v>1096.478196</c:v>
                </c:pt>
                <c:pt idx="84">
                  <c:v>1258.9254120000001</c:v>
                </c:pt>
                <c:pt idx="85">
                  <c:v>1445.4397710000001</c:v>
                </c:pt>
                <c:pt idx="86">
                  <c:v>1659.5869070000001</c:v>
                </c:pt>
                <c:pt idx="87">
                  <c:v>1905.460718</c:v>
                </c:pt>
                <c:pt idx="88">
                  <c:v>2187.7616240000002</c:v>
                </c:pt>
                <c:pt idx="89">
                  <c:v>2511.8864319999998</c:v>
                </c:pt>
                <c:pt idx="90">
                  <c:v>2884.0315030000002</c:v>
                </c:pt>
                <c:pt idx="91">
                  <c:v>3311.3112150000002</c:v>
                </c:pt>
                <c:pt idx="92">
                  <c:v>3801.893963</c:v>
                </c:pt>
                <c:pt idx="93">
                  <c:v>4365.1583220000002</c:v>
                </c:pt>
                <c:pt idx="94">
                  <c:v>5011.8723360000004</c:v>
                </c:pt>
                <c:pt idx="95">
                  <c:v>5754.3993730000002</c:v>
                </c:pt>
                <c:pt idx="96">
                  <c:v>6606.9344799999999</c:v>
                </c:pt>
                <c:pt idx="97">
                  <c:v>7585.7757499999998</c:v>
                </c:pt>
                <c:pt idx="98">
                  <c:v>8709.6358999999993</c:v>
                </c:pt>
                <c:pt idx="99">
                  <c:v>10000</c:v>
                </c:pt>
              </c:numCache>
            </c:numRef>
          </c:xVal>
          <c:yVal>
            <c:numRef>
              <c:f>Sheet2!$I$7:$I$106</c:f>
              <c:numCache>
                <c:formatCode>0.0000</c:formatCode>
                <c:ptCount val="10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5.9279999999999999E-2</c:v>
                </c:pt>
                <c:pt idx="38">
                  <c:v>0.28468099999999996</c:v>
                </c:pt>
                <c:pt idx="39">
                  <c:v>0.65866000000000002</c:v>
                </c:pt>
                <c:pt idx="40">
                  <c:v>1.176628</c:v>
                </c:pt>
                <c:pt idx="41">
                  <c:v>1.83179</c:v>
                </c:pt>
                <c:pt idx="42">
                  <c:v>2.605289</c:v>
                </c:pt>
                <c:pt idx="43">
                  <c:v>3.4781119999999999</c:v>
                </c:pt>
                <c:pt idx="44">
                  <c:v>4.4344529999999995</c:v>
                </c:pt>
                <c:pt idx="45">
                  <c:v>5.4655829999999996</c:v>
                </c:pt>
                <c:pt idx="46">
                  <c:v>6.5730079999999997</c:v>
                </c:pt>
                <c:pt idx="47">
                  <c:v>7.7637999999999998</c:v>
                </c:pt>
                <c:pt idx="48">
                  <c:v>9.0511479999999995</c:v>
                </c:pt>
                <c:pt idx="49">
                  <c:v>10.447251999999999</c:v>
                </c:pt>
                <c:pt idx="50">
                  <c:v>11.966674999999999</c:v>
                </c:pt>
                <c:pt idx="51">
                  <c:v>13.618129999999999</c:v>
                </c:pt>
                <c:pt idx="52">
                  <c:v>15.412792999999999</c:v>
                </c:pt>
                <c:pt idx="53">
                  <c:v>17.357379999999999</c:v>
                </c:pt>
                <c:pt idx="54">
                  <c:v>19.462972000000001</c:v>
                </c:pt>
                <c:pt idx="55">
                  <c:v>21.740546000000002</c:v>
                </c:pt>
                <c:pt idx="56">
                  <c:v>24.209432000000003</c:v>
                </c:pt>
                <c:pt idx="57">
                  <c:v>26.893238000000004</c:v>
                </c:pt>
                <c:pt idx="58">
                  <c:v>29.825708000000002</c:v>
                </c:pt>
                <c:pt idx="59">
                  <c:v>33.045925000000004</c:v>
                </c:pt>
                <c:pt idx="60">
                  <c:v>36.598211000000006</c:v>
                </c:pt>
                <c:pt idx="61">
                  <c:v>40.525033000000008</c:v>
                </c:pt>
                <c:pt idx="62">
                  <c:v>44.858274000000009</c:v>
                </c:pt>
                <c:pt idx="63">
                  <c:v>49.612688000000006</c:v>
                </c:pt>
                <c:pt idx="64">
                  <c:v>54.770412000000007</c:v>
                </c:pt>
                <c:pt idx="65">
                  <c:v>60.280250000000009</c:v>
                </c:pt>
                <c:pt idx="66">
                  <c:v>66.042836000000008</c:v>
                </c:pt>
                <c:pt idx="67">
                  <c:v>71.918852000000015</c:v>
                </c:pt>
                <c:pt idx="68">
                  <c:v>77.728462000000022</c:v>
                </c:pt>
                <c:pt idx="69">
                  <c:v>83.261051000000023</c:v>
                </c:pt>
                <c:pt idx="70">
                  <c:v>88.300719000000029</c:v>
                </c:pt>
                <c:pt idx="71">
                  <c:v>92.619594000000035</c:v>
                </c:pt>
                <c:pt idx="72">
                  <c:v>96.037415000000038</c:v>
                </c:pt>
                <c:pt idx="73">
                  <c:v>98.401156000000043</c:v>
                </c:pt>
                <c:pt idx="74">
                  <c:v>99.660378000000037</c:v>
                </c:pt>
                <c:pt idx="75">
                  <c:v>99.993333000000035</c:v>
                </c:pt>
                <c:pt idx="76">
                  <c:v>99.999999000000031</c:v>
                </c:pt>
                <c:pt idx="77">
                  <c:v>99.999999000000031</c:v>
                </c:pt>
                <c:pt idx="78">
                  <c:v>99.999999000000031</c:v>
                </c:pt>
                <c:pt idx="79">
                  <c:v>99.999999000000031</c:v>
                </c:pt>
                <c:pt idx="80">
                  <c:v>99.999999000000031</c:v>
                </c:pt>
                <c:pt idx="81">
                  <c:v>99.999999000000031</c:v>
                </c:pt>
                <c:pt idx="82">
                  <c:v>99.999999000000031</c:v>
                </c:pt>
                <c:pt idx="83">
                  <c:v>99.999999000000031</c:v>
                </c:pt>
                <c:pt idx="84">
                  <c:v>99.999999000000031</c:v>
                </c:pt>
                <c:pt idx="85">
                  <c:v>99.999999000000031</c:v>
                </c:pt>
                <c:pt idx="86">
                  <c:v>99.999999000000031</c:v>
                </c:pt>
                <c:pt idx="87">
                  <c:v>99.999999000000031</c:v>
                </c:pt>
                <c:pt idx="88">
                  <c:v>99.999999000000031</c:v>
                </c:pt>
                <c:pt idx="89">
                  <c:v>99.999999000000031</c:v>
                </c:pt>
                <c:pt idx="90">
                  <c:v>99.999999000000031</c:v>
                </c:pt>
                <c:pt idx="91">
                  <c:v>99.999999000000031</c:v>
                </c:pt>
                <c:pt idx="92">
                  <c:v>99.999999000000031</c:v>
                </c:pt>
                <c:pt idx="93">
                  <c:v>99.999999000000031</c:v>
                </c:pt>
                <c:pt idx="94">
                  <c:v>99.999999000000031</c:v>
                </c:pt>
                <c:pt idx="95">
                  <c:v>99.999999000000031</c:v>
                </c:pt>
                <c:pt idx="96">
                  <c:v>99.999999000000031</c:v>
                </c:pt>
                <c:pt idx="97">
                  <c:v>99.999999000000031</c:v>
                </c:pt>
                <c:pt idx="98">
                  <c:v>99.999999000000031</c:v>
                </c:pt>
                <c:pt idx="99">
                  <c:v>99.999999000000031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32-4735-998B-415D995EC0EB}"/>
            </c:ext>
          </c:extLst>
        </c:ser>
        <c:ser>
          <c:idx val="1"/>
          <c:order val="2"/>
          <c:tx>
            <c:strRef>
              <c:f>Sheet2!$J$5</c:f>
              <c:strCache>
                <c:ptCount val="1"/>
                <c:pt idx="0">
                  <c:v>P2-Raw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Sheet2!$E$7:$E$106</c:f>
              <c:numCache>
                <c:formatCode>General</c:formatCode>
                <c:ptCount val="100"/>
                <c:pt idx="0">
                  <c:v>1.1481999999999999E-2</c:v>
                </c:pt>
                <c:pt idx="1">
                  <c:v>1.3183E-2</c:v>
                </c:pt>
                <c:pt idx="2">
                  <c:v>1.5136E-2</c:v>
                </c:pt>
                <c:pt idx="3">
                  <c:v>1.7378000000000001E-2</c:v>
                </c:pt>
                <c:pt idx="4">
                  <c:v>1.9952999999999999E-2</c:v>
                </c:pt>
                <c:pt idx="5">
                  <c:v>2.2908999999999999E-2</c:v>
                </c:pt>
                <c:pt idx="6">
                  <c:v>2.6303E-2</c:v>
                </c:pt>
                <c:pt idx="7">
                  <c:v>3.0200000000000001E-2</c:v>
                </c:pt>
                <c:pt idx="8">
                  <c:v>3.4674000000000003E-2</c:v>
                </c:pt>
                <c:pt idx="9">
                  <c:v>3.9810999999999999E-2</c:v>
                </c:pt>
                <c:pt idx="10">
                  <c:v>4.5709E-2</c:v>
                </c:pt>
                <c:pt idx="11">
                  <c:v>5.2481E-2</c:v>
                </c:pt>
                <c:pt idx="12">
                  <c:v>6.0255999999999997E-2</c:v>
                </c:pt>
                <c:pt idx="13">
                  <c:v>6.9182999999999995E-2</c:v>
                </c:pt>
                <c:pt idx="14">
                  <c:v>7.9433000000000004E-2</c:v>
                </c:pt>
                <c:pt idx="15">
                  <c:v>9.1201000000000004E-2</c:v>
                </c:pt>
                <c:pt idx="16">
                  <c:v>0.104713</c:v>
                </c:pt>
                <c:pt idx="17">
                  <c:v>0.120226</c:v>
                </c:pt>
                <c:pt idx="18">
                  <c:v>0.13803799999999999</c:v>
                </c:pt>
                <c:pt idx="19">
                  <c:v>0.15848899999999999</c:v>
                </c:pt>
                <c:pt idx="20">
                  <c:v>0.18196999999999999</c:v>
                </c:pt>
                <c:pt idx="21">
                  <c:v>0.20893</c:v>
                </c:pt>
                <c:pt idx="22">
                  <c:v>0.23988300000000001</c:v>
                </c:pt>
                <c:pt idx="23">
                  <c:v>0.27542299999999997</c:v>
                </c:pt>
                <c:pt idx="24">
                  <c:v>0.31622800000000001</c:v>
                </c:pt>
                <c:pt idx="25">
                  <c:v>0.36307800000000001</c:v>
                </c:pt>
                <c:pt idx="26">
                  <c:v>0.41686899999999999</c:v>
                </c:pt>
                <c:pt idx="27">
                  <c:v>0.47863</c:v>
                </c:pt>
                <c:pt idx="28">
                  <c:v>0.54954099999999995</c:v>
                </c:pt>
                <c:pt idx="29">
                  <c:v>0.63095699999999999</c:v>
                </c:pt>
                <c:pt idx="30">
                  <c:v>0.72443599999999997</c:v>
                </c:pt>
                <c:pt idx="31">
                  <c:v>0.83176399999999995</c:v>
                </c:pt>
                <c:pt idx="32">
                  <c:v>0.95499299999999998</c:v>
                </c:pt>
                <c:pt idx="33">
                  <c:v>1.0964780000000001</c:v>
                </c:pt>
                <c:pt idx="34">
                  <c:v>1.2589250000000001</c:v>
                </c:pt>
                <c:pt idx="35">
                  <c:v>1.4454400000000001</c:v>
                </c:pt>
                <c:pt idx="36">
                  <c:v>1.6595869999999999</c:v>
                </c:pt>
                <c:pt idx="37">
                  <c:v>1.9054610000000001</c:v>
                </c:pt>
                <c:pt idx="38">
                  <c:v>2.1877620000000002</c:v>
                </c:pt>
                <c:pt idx="39">
                  <c:v>2.5118860000000001</c:v>
                </c:pt>
                <c:pt idx="40">
                  <c:v>2.8840309999999998</c:v>
                </c:pt>
                <c:pt idx="41">
                  <c:v>3.3113109999999999</c:v>
                </c:pt>
                <c:pt idx="42">
                  <c:v>3.8018939999999999</c:v>
                </c:pt>
                <c:pt idx="43">
                  <c:v>4.3651580000000001</c:v>
                </c:pt>
                <c:pt idx="44">
                  <c:v>5.0118720000000003</c:v>
                </c:pt>
                <c:pt idx="45">
                  <c:v>5.7543990000000003</c:v>
                </c:pt>
                <c:pt idx="46">
                  <c:v>6.6069339999999999</c:v>
                </c:pt>
                <c:pt idx="47">
                  <c:v>7.5857760000000001</c:v>
                </c:pt>
                <c:pt idx="48">
                  <c:v>8.7096359999999997</c:v>
                </c:pt>
                <c:pt idx="49">
                  <c:v>10</c:v>
                </c:pt>
                <c:pt idx="50">
                  <c:v>11.481536</c:v>
                </c:pt>
                <c:pt idx="51">
                  <c:v>13.182567000000001</c:v>
                </c:pt>
                <c:pt idx="52">
                  <c:v>15.135612</c:v>
                </c:pt>
                <c:pt idx="53">
                  <c:v>17.378008000000001</c:v>
                </c:pt>
                <c:pt idx="54">
                  <c:v>19.952622999999999</c:v>
                </c:pt>
                <c:pt idx="55">
                  <c:v>22.908677000000001</c:v>
                </c:pt>
                <c:pt idx="56">
                  <c:v>26.302679999999999</c:v>
                </c:pt>
                <c:pt idx="57">
                  <c:v>30.199517</c:v>
                </c:pt>
                <c:pt idx="58">
                  <c:v>34.673684999999999</c:v>
                </c:pt>
                <c:pt idx="59">
                  <c:v>39.810716999999997</c:v>
                </c:pt>
                <c:pt idx="60">
                  <c:v>45.708818999999998</c:v>
                </c:pt>
                <c:pt idx="61">
                  <c:v>52.480746000000003</c:v>
                </c:pt>
                <c:pt idx="62">
                  <c:v>60.255958999999997</c:v>
                </c:pt>
                <c:pt idx="63">
                  <c:v>69.183097000000004</c:v>
                </c:pt>
                <c:pt idx="64">
                  <c:v>79.432822999999999</c:v>
                </c:pt>
                <c:pt idx="65">
                  <c:v>91.201083999999994</c:v>
                </c:pt>
                <c:pt idx="66">
                  <c:v>104.712855</c:v>
                </c:pt>
                <c:pt idx="67">
                  <c:v>120.226443</c:v>
                </c:pt>
                <c:pt idx="68">
                  <c:v>138.03842599999999</c:v>
                </c:pt>
                <c:pt idx="69">
                  <c:v>158.48931899999999</c:v>
                </c:pt>
                <c:pt idx="70">
                  <c:v>181.97008600000001</c:v>
                </c:pt>
                <c:pt idx="71">
                  <c:v>208.92961299999999</c:v>
                </c:pt>
                <c:pt idx="72">
                  <c:v>239.88329200000001</c:v>
                </c:pt>
                <c:pt idx="73">
                  <c:v>275.42286999999999</c:v>
                </c:pt>
                <c:pt idx="74">
                  <c:v>316.22776599999997</c:v>
                </c:pt>
                <c:pt idx="75">
                  <c:v>363.07805500000001</c:v>
                </c:pt>
                <c:pt idx="76">
                  <c:v>416.86938300000003</c:v>
                </c:pt>
                <c:pt idx="77">
                  <c:v>478.63009199999999</c:v>
                </c:pt>
                <c:pt idx="78">
                  <c:v>549.54087400000003</c:v>
                </c:pt>
                <c:pt idx="79">
                  <c:v>630.95734400000003</c:v>
                </c:pt>
                <c:pt idx="80">
                  <c:v>724.43596000000002</c:v>
                </c:pt>
                <c:pt idx="81">
                  <c:v>831.76377100000002</c:v>
                </c:pt>
                <c:pt idx="82">
                  <c:v>954.99258599999996</c:v>
                </c:pt>
                <c:pt idx="83">
                  <c:v>1096.478196</c:v>
                </c:pt>
                <c:pt idx="84">
                  <c:v>1258.9254120000001</c:v>
                </c:pt>
                <c:pt idx="85">
                  <c:v>1445.4397710000001</c:v>
                </c:pt>
                <c:pt idx="86">
                  <c:v>1659.5869070000001</c:v>
                </c:pt>
                <c:pt idx="87">
                  <c:v>1905.460718</c:v>
                </c:pt>
                <c:pt idx="88">
                  <c:v>2187.7616240000002</c:v>
                </c:pt>
                <c:pt idx="89">
                  <c:v>2511.8864319999998</c:v>
                </c:pt>
                <c:pt idx="90">
                  <c:v>2884.0315030000002</c:v>
                </c:pt>
                <c:pt idx="91">
                  <c:v>3311.3112150000002</c:v>
                </c:pt>
                <c:pt idx="92">
                  <c:v>3801.893963</c:v>
                </c:pt>
                <c:pt idx="93">
                  <c:v>4365.1583220000002</c:v>
                </c:pt>
                <c:pt idx="94">
                  <c:v>5011.8723360000004</c:v>
                </c:pt>
                <c:pt idx="95">
                  <c:v>5754.3993730000002</c:v>
                </c:pt>
                <c:pt idx="96">
                  <c:v>6606.9344799999999</c:v>
                </c:pt>
                <c:pt idx="97">
                  <c:v>7585.7757499999998</c:v>
                </c:pt>
                <c:pt idx="98">
                  <c:v>8709.6358999999993</c:v>
                </c:pt>
                <c:pt idx="99">
                  <c:v>10000</c:v>
                </c:pt>
              </c:numCache>
            </c:numRef>
          </c:xVal>
          <c:yVal>
            <c:numRef>
              <c:f>Sheet2!$K$7:$K$106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0.131272</c:v>
                </c:pt>
                <c:pt idx="39">
                  <c:v>0.662636</c:v>
                </c:pt>
                <c:pt idx="40">
                  <c:v>1.7362219999999999</c:v>
                </c:pt>
                <c:pt idx="41">
                  <c:v>3.38713</c:v>
                </c:pt>
                <c:pt idx="42">
                  <c:v>5.6575329999999999</c:v>
                </c:pt>
                <c:pt idx="43">
                  <c:v>8.5338039999999999</c:v>
                </c:pt>
                <c:pt idx="44">
                  <c:v>12.002942000000001</c:v>
                </c:pt>
                <c:pt idx="45">
                  <c:v>16.040655000000001</c:v>
                </c:pt>
                <c:pt idx="46">
                  <c:v>20.637554000000002</c:v>
                </c:pt>
                <c:pt idx="47">
                  <c:v>25.771958000000001</c:v>
                </c:pt>
                <c:pt idx="48">
                  <c:v>31.424945000000001</c:v>
                </c:pt>
                <c:pt idx="49">
                  <c:v>37.545110000000001</c:v>
                </c:pt>
                <c:pt idx="50">
                  <c:v>44.064551999999999</c:v>
                </c:pt>
                <c:pt idx="51">
                  <c:v>50.867173000000001</c:v>
                </c:pt>
                <c:pt idx="52">
                  <c:v>57.809988000000004</c:v>
                </c:pt>
                <c:pt idx="53">
                  <c:v>64.713816000000008</c:v>
                </c:pt>
                <c:pt idx="54">
                  <c:v>71.377061000000012</c:v>
                </c:pt>
                <c:pt idx="55">
                  <c:v>77.598521000000005</c:v>
                </c:pt>
                <c:pt idx="56">
                  <c:v>83.186629000000011</c:v>
                </c:pt>
                <c:pt idx="57">
                  <c:v>87.995785000000012</c:v>
                </c:pt>
                <c:pt idx="58">
                  <c:v>91.929199000000011</c:v>
                </c:pt>
                <c:pt idx="59">
                  <c:v>94.965088000000009</c:v>
                </c:pt>
                <c:pt idx="60">
                  <c:v>97.148620000000008</c:v>
                </c:pt>
                <c:pt idx="61">
                  <c:v>98.586356000000009</c:v>
                </c:pt>
                <c:pt idx="62">
                  <c:v>99.426851000000013</c:v>
                </c:pt>
                <c:pt idx="63">
                  <c:v>99.847619000000009</c:v>
                </c:pt>
                <c:pt idx="64">
                  <c:v>99.978180000000009</c:v>
                </c:pt>
                <c:pt idx="65">
                  <c:v>99.999999000000003</c:v>
                </c:pt>
                <c:pt idx="66">
                  <c:v>99.999999000000003</c:v>
                </c:pt>
                <c:pt idx="67">
                  <c:v>99.999999000000003</c:v>
                </c:pt>
                <c:pt idx="68">
                  <c:v>99.999999000000003</c:v>
                </c:pt>
                <c:pt idx="69">
                  <c:v>99.999999000000003</c:v>
                </c:pt>
                <c:pt idx="70">
                  <c:v>99.999999000000003</c:v>
                </c:pt>
                <c:pt idx="71">
                  <c:v>99.999999000000003</c:v>
                </c:pt>
                <c:pt idx="72">
                  <c:v>99.999999000000003</c:v>
                </c:pt>
                <c:pt idx="73">
                  <c:v>99.999999000000003</c:v>
                </c:pt>
                <c:pt idx="74">
                  <c:v>99.999999000000003</c:v>
                </c:pt>
                <c:pt idx="75">
                  <c:v>99.999999000000003</c:v>
                </c:pt>
                <c:pt idx="76">
                  <c:v>99.999999000000003</c:v>
                </c:pt>
                <c:pt idx="77">
                  <c:v>99.999999000000003</c:v>
                </c:pt>
                <c:pt idx="78">
                  <c:v>99.999999000000003</c:v>
                </c:pt>
                <c:pt idx="79">
                  <c:v>99.999999000000003</c:v>
                </c:pt>
                <c:pt idx="80">
                  <c:v>99.999999000000003</c:v>
                </c:pt>
                <c:pt idx="81">
                  <c:v>99.999999000000003</c:v>
                </c:pt>
                <c:pt idx="82">
                  <c:v>99.999999000000003</c:v>
                </c:pt>
                <c:pt idx="83">
                  <c:v>99.999999000000003</c:v>
                </c:pt>
                <c:pt idx="84">
                  <c:v>99.999999000000003</c:v>
                </c:pt>
                <c:pt idx="85">
                  <c:v>99.999999000000003</c:v>
                </c:pt>
                <c:pt idx="86">
                  <c:v>99.999999000000003</c:v>
                </c:pt>
                <c:pt idx="87">
                  <c:v>99.999999000000003</c:v>
                </c:pt>
                <c:pt idx="88">
                  <c:v>99.999999000000003</c:v>
                </c:pt>
                <c:pt idx="89">
                  <c:v>99.999999000000003</c:v>
                </c:pt>
                <c:pt idx="90">
                  <c:v>99.999999000000003</c:v>
                </c:pt>
                <c:pt idx="91">
                  <c:v>99.999999000000003</c:v>
                </c:pt>
                <c:pt idx="92">
                  <c:v>99.999999000000003</c:v>
                </c:pt>
                <c:pt idx="93">
                  <c:v>99.999999000000003</c:v>
                </c:pt>
                <c:pt idx="94">
                  <c:v>99.999999000000003</c:v>
                </c:pt>
                <c:pt idx="95">
                  <c:v>99.999999000000003</c:v>
                </c:pt>
                <c:pt idx="96">
                  <c:v>99.999999000000003</c:v>
                </c:pt>
                <c:pt idx="97">
                  <c:v>99.999999000000003</c:v>
                </c:pt>
                <c:pt idx="98">
                  <c:v>99.999999000000003</c:v>
                </c:pt>
                <c:pt idx="99">
                  <c:v>99.999999000000003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32-4735-998B-415D995EC0EB}"/>
            </c:ext>
          </c:extLst>
        </c:ser>
        <c:ser>
          <c:idx val="4"/>
          <c:order val="3"/>
          <c:tx>
            <c:strRef>
              <c:f>Sheet2!$L$5</c:f>
              <c:strCache>
                <c:ptCount val="1"/>
                <c:pt idx="0">
                  <c:v>P2-ED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Sheet2!$E$7:$E$106</c:f>
              <c:numCache>
                <c:formatCode>General</c:formatCode>
                <c:ptCount val="100"/>
                <c:pt idx="0">
                  <c:v>1.1481999999999999E-2</c:v>
                </c:pt>
                <c:pt idx="1">
                  <c:v>1.3183E-2</c:v>
                </c:pt>
                <c:pt idx="2">
                  <c:v>1.5136E-2</c:v>
                </c:pt>
                <c:pt idx="3">
                  <c:v>1.7378000000000001E-2</c:v>
                </c:pt>
                <c:pt idx="4">
                  <c:v>1.9952999999999999E-2</c:v>
                </c:pt>
                <c:pt idx="5">
                  <c:v>2.2908999999999999E-2</c:v>
                </c:pt>
                <c:pt idx="6">
                  <c:v>2.6303E-2</c:v>
                </c:pt>
                <c:pt idx="7">
                  <c:v>3.0200000000000001E-2</c:v>
                </c:pt>
                <c:pt idx="8">
                  <c:v>3.4674000000000003E-2</c:v>
                </c:pt>
                <c:pt idx="9">
                  <c:v>3.9810999999999999E-2</c:v>
                </c:pt>
                <c:pt idx="10">
                  <c:v>4.5709E-2</c:v>
                </c:pt>
                <c:pt idx="11">
                  <c:v>5.2481E-2</c:v>
                </c:pt>
                <c:pt idx="12">
                  <c:v>6.0255999999999997E-2</c:v>
                </c:pt>
                <c:pt idx="13">
                  <c:v>6.9182999999999995E-2</c:v>
                </c:pt>
                <c:pt idx="14">
                  <c:v>7.9433000000000004E-2</c:v>
                </c:pt>
                <c:pt idx="15">
                  <c:v>9.1201000000000004E-2</c:v>
                </c:pt>
                <c:pt idx="16">
                  <c:v>0.104713</c:v>
                </c:pt>
                <c:pt idx="17">
                  <c:v>0.120226</c:v>
                </c:pt>
                <c:pt idx="18">
                  <c:v>0.13803799999999999</c:v>
                </c:pt>
                <c:pt idx="19">
                  <c:v>0.15848899999999999</c:v>
                </c:pt>
                <c:pt idx="20">
                  <c:v>0.18196999999999999</c:v>
                </c:pt>
                <c:pt idx="21">
                  <c:v>0.20893</c:v>
                </c:pt>
                <c:pt idx="22">
                  <c:v>0.23988300000000001</c:v>
                </c:pt>
                <c:pt idx="23">
                  <c:v>0.27542299999999997</c:v>
                </c:pt>
                <c:pt idx="24">
                  <c:v>0.31622800000000001</c:v>
                </c:pt>
                <c:pt idx="25">
                  <c:v>0.36307800000000001</c:v>
                </c:pt>
                <c:pt idx="26">
                  <c:v>0.41686899999999999</c:v>
                </c:pt>
                <c:pt idx="27">
                  <c:v>0.47863</c:v>
                </c:pt>
                <c:pt idx="28">
                  <c:v>0.54954099999999995</c:v>
                </c:pt>
                <c:pt idx="29">
                  <c:v>0.63095699999999999</c:v>
                </c:pt>
                <c:pt idx="30">
                  <c:v>0.72443599999999997</c:v>
                </c:pt>
                <c:pt idx="31">
                  <c:v>0.83176399999999995</c:v>
                </c:pt>
                <c:pt idx="32">
                  <c:v>0.95499299999999998</c:v>
                </c:pt>
                <c:pt idx="33">
                  <c:v>1.0964780000000001</c:v>
                </c:pt>
                <c:pt idx="34">
                  <c:v>1.2589250000000001</c:v>
                </c:pt>
                <c:pt idx="35">
                  <c:v>1.4454400000000001</c:v>
                </c:pt>
                <c:pt idx="36">
                  <c:v>1.6595869999999999</c:v>
                </c:pt>
                <c:pt idx="37">
                  <c:v>1.9054610000000001</c:v>
                </c:pt>
                <c:pt idx="38">
                  <c:v>2.1877620000000002</c:v>
                </c:pt>
                <c:pt idx="39">
                  <c:v>2.5118860000000001</c:v>
                </c:pt>
                <c:pt idx="40">
                  <c:v>2.8840309999999998</c:v>
                </c:pt>
                <c:pt idx="41">
                  <c:v>3.3113109999999999</c:v>
                </c:pt>
                <c:pt idx="42">
                  <c:v>3.8018939999999999</c:v>
                </c:pt>
                <c:pt idx="43">
                  <c:v>4.3651580000000001</c:v>
                </c:pt>
                <c:pt idx="44">
                  <c:v>5.0118720000000003</c:v>
                </c:pt>
                <c:pt idx="45">
                  <c:v>5.7543990000000003</c:v>
                </c:pt>
                <c:pt idx="46">
                  <c:v>6.6069339999999999</c:v>
                </c:pt>
                <c:pt idx="47">
                  <c:v>7.5857760000000001</c:v>
                </c:pt>
                <c:pt idx="48">
                  <c:v>8.7096359999999997</c:v>
                </c:pt>
                <c:pt idx="49">
                  <c:v>10</c:v>
                </c:pt>
                <c:pt idx="50">
                  <c:v>11.481536</c:v>
                </c:pt>
                <c:pt idx="51">
                  <c:v>13.182567000000001</c:v>
                </c:pt>
                <c:pt idx="52">
                  <c:v>15.135612</c:v>
                </c:pt>
                <c:pt idx="53">
                  <c:v>17.378008000000001</c:v>
                </c:pt>
                <c:pt idx="54">
                  <c:v>19.952622999999999</c:v>
                </c:pt>
                <c:pt idx="55">
                  <c:v>22.908677000000001</c:v>
                </c:pt>
                <c:pt idx="56">
                  <c:v>26.302679999999999</c:v>
                </c:pt>
                <c:pt idx="57">
                  <c:v>30.199517</c:v>
                </c:pt>
                <c:pt idx="58">
                  <c:v>34.673684999999999</c:v>
                </c:pt>
                <c:pt idx="59">
                  <c:v>39.810716999999997</c:v>
                </c:pt>
                <c:pt idx="60">
                  <c:v>45.708818999999998</c:v>
                </c:pt>
                <c:pt idx="61">
                  <c:v>52.480746000000003</c:v>
                </c:pt>
                <c:pt idx="62">
                  <c:v>60.255958999999997</c:v>
                </c:pt>
                <c:pt idx="63">
                  <c:v>69.183097000000004</c:v>
                </c:pt>
                <c:pt idx="64">
                  <c:v>79.432822999999999</c:v>
                </c:pt>
                <c:pt idx="65">
                  <c:v>91.201083999999994</c:v>
                </c:pt>
                <c:pt idx="66">
                  <c:v>104.712855</c:v>
                </c:pt>
                <c:pt idx="67">
                  <c:v>120.226443</c:v>
                </c:pt>
                <c:pt idx="68">
                  <c:v>138.03842599999999</c:v>
                </c:pt>
                <c:pt idx="69">
                  <c:v>158.48931899999999</c:v>
                </c:pt>
                <c:pt idx="70">
                  <c:v>181.97008600000001</c:v>
                </c:pt>
                <c:pt idx="71">
                  <c:v>208.92961299999999</c:v>
                </c:pt>
                <c:pt idx="72">
                  <c:v>239.88329200000001</c:v>
                </c:pt>
                <c:pt idx="73">
                  <c:v>275.42286999999999</c:v>
                </c:pt>
                <c:pt idx="74">
                  <c:v>316.22776599999997</c:v>
                </c:pt>
                <c:pt idx="75">
                  <c:v>363.07805500000001</c:v>
                </c:pt>
                <c:pt idx="76">
                  <c:v>416.86938300000003</c:v>
                </c:pt>
                <c:pt idx="77">
                  <c:v>478.63009199999999</c:v>
                </c:pt>
                <c:pt idx="78">
                  <c:v>549.54087400000003</c:v>
                </c:pt>
                <c:pt idx="79">
                  <c:v>630.95734400000003</c:v>
                </c:pt>
                <c:pt idx="80">
                  <c:v>724.43596000000002</c:v>
                </c:pt>
                <c:pt idx="81">
                  <c:v>831.76377100000002</c:v>
                </c:pt>
                <c:pt idx="82">
                  <c:v>954.99258599999996</c:v>
                </c:pt>
                <c:pt idx="83">
                  <c:v>1096.478196</c:v>
                </c:pt>
                <c:pt idx="84">
                  <c:v>1258.9254120000001</c:v>
                </c:pt>
                <c:pt idx="85">
                  <c:v>1445.4397710000001</c:v>
                </c:pt>
                <c:pt idx="86">
                  <c:v>1659.5869070000001</c:v>
                </c:pt>
                <c:pt idx="87">
                  <c:v>1905.460718</c:v>
                </c:pt>
                <c:pt idx="88">
                  <c:v>2187.7616240000002</c:v>
                </c:pt>
                <c:pt idx="89">
                  <c:v>2511.8864319999998</c:v>
                </c:pt>
                <c:pt idx="90">
                  <c:v>2884.0315030000002</c:v>
                </c:pt>
                <c:pt idx="91">
                  <c:v>3311.3112150000002</c:v>
                </c:pt>
                <c:pt idx="92">
                  <c:v>3801.893963</c:v>
                </c:pt>
                <c:pt idx="93">
                  <c:v>4365.1583220000002</c:v>
                </c:pt>
                <c:pt idx="94">
                  <c:v>5011.8723360000004</c:v>
                </c:pt>
                <c:pt idx="95">
                  <c:v>5754.3993730000002</c:v>
                </c:pt>
                <c:pt idx="96">
                  <c:v>6606.9344799999999</c:v>
                </c:pt>
                <c:pt idx="97">
                  <c:v>7585.7757499999998</c:v>
                </c:pt>
                <c:pt idx="98">
                  <c:v>8709.6358999999993</c:v>
                </c:pt>
                <c:pt idx="99">
                  <c:v>10000</c:v>
                </c:pt>
              </c:numCache>
            </c:numRef>
          </c:xVal>
          <c:yVal>
            <c:numRef>
              <c:f>Sheet2!$M$7:$M$106</c:f>
              <c:numCache>
                <c:formatCode>0.0000</c:formatCode>
                <c:ptCount val="10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0.197271</c:v>
                </c:pt>
                <c:pt idx="39">
                  <c:v>0.55756799999999995</c:v>
                </c:pt>
                <c:pt idx="40">
                  <c:v>1.073081</c:v>
                </c:pt>
                <c:pt idx="41">
                  <c:v>1.733185</c:v>
                </c:pt>
                <c:pt idx="42">
                  <c:v>2.5118739999999997</c:v>
                </c:pt>
                <c:pt idx="43">
                  <c:v>3.3828159999999996</c:v>
                </c:pt>
                <c:pt idx="44">
                  <c:v>4.3204809999999991</c:v>
                </c:pt>
                <c:pt idx="45">
                  <c:v>5.3053409999999994</c:v>
                </c:pt>
                <c:pt idx="46">
                  <c:v>6.3269929999999999</c:v>
                </c:pt>
                <c:pt idx="47">
                  <c:v>7.3821060000000003</c:v>
                </c:pt>
                <c:pt idx="48">
                  <c:v>8.4740520000000004</c:v>
                </c:pt>
                <c:pt idx="49">
                  <c:v>9.6109480000000005</c:v>
                </c:pt>
                <c:pt idx="50">
                  <c:v>10.809459</c:v>
                </c:pt>
                <c:pt idx="51">
                  <c:v>12.092899000000001</c:v>
                </c:pt>
                <c:pt idx="52">
                  <c:v>13.498427000000001</c:v>
                </c:pt>
                <c:pt idx="53">
                  <c:v>15.074651000000001</c:v>
                </c:pt>
                <c:pt idx="54">
                  <c:v>16.889053000000001</c:v>
                </c:pt>
                <c:pt idx="55">
                  <c:v>19.017711000000002</c:v>
                </c:pt>
                <c:pt idx="56">
                  <c:v>21.550473000000004</c:v>
                </c:pt>
                <c:pt idx="57">
                  <c:v>24.571166000000005</c:v>
                </c:pt>
                <c:pt idx="58">
                  <c:v>28.156389000000004</c:v>
                </c:pt>
                <c:pt idx="59">
                  <c:v>32.352717000000005</c:v>
                </c:pt>
                <c:pt idx="60">
                  <c:v>37.169691000000007</c:v>
                </c:pt>
                <c:pt idx="61">
                  <c:v>42.565992000000008</c:v>
                </c:pt>
                <c:pt idx="62">
                  <c:v>48.443600000000011</c:v>
                </c:pt>
                <c:pt idx="63">
                  <c:v>54.653948000000014</c:v>
                </c:pt>
                <c:pt idx="64">
                  <c:v>61.003726000000015</c:v>
                </c:pt>
                <c:pt idx="65">
                  <c:v>67.27556100000001</c:v>
                </c:pt>
                <c:pt idx="66">
                  <c:v>73.250062000000014</c:v>
                </c:pt>
                <c:pt idx="67">
                  <c:v>78.721734000000012</c:v>
                </c:pt>
                <c:pt idx="68">
                  <c:v>83.537966000000011</c:v>
                </c:pt>
                <c:pt idx="69">
                  <c:v>87.590923000000018</c:v>
                </c:pt>
                <c:pt idx="70">
                  <c:v>90.864592000000016</c:v>
                </c:pt>
                <c:pt idx="71">
                  <c:v>93.391344000000018</c:v>
                </c:pt>
                <c:pt idx="72">
                  <c:v>95.284084000000021</c:v>
                </c:pt>
                <c:pt idx="73">
                  <c:v>96.671728000000016</c:v>
                </c:pt>
                <c:pt idx="74">
                  <c:v>97.702670000000012</c:v>
                </c:pt>
                <c:pt idx="75">
                  <c:v>98.49494700000001</c:v>
                </c:pt>
                <c:pt idx="76">
                  <c:v>99.125026000000005</c:v>
                </c:pt>
                <c:pt idx="77">
                  <c:v>99.610817000000011</c:v>
                </c:pt>
                <c:pt idx="78">
                  <c:v>99.900497000000016</c:v>
                </c:pt>
                <c:pt idx="79">
                  <c:v>99.983733000000015</c:v>
                </c:pt>
                <c:pt idx="80">
                  <c:v>99.999999000000017</c:v>
                </c:pt>
                <c:pt idx="81">
                  <c:v>99.999999000000017</c:v>
                </c:pt>
                <c:pt idx="82">
                  <c:v>99.999999000000017</c:v>
                </c:pt>
                <c:pt idx="83">
                  <c:v>99.999999000000017</c:v>
                </c:pt>
                <c:pt idx="84">
                  <c:v>99.999999000000017</c:v>
                </c:pt>
                <c:pt idx="85">
                  <c:v>99.999999000000017</c:v>
                </c:pt>
                <c:pt idx="86">
                  <c:v>99.999999000000017</c:v>
                </c:pt>
                <c:pt idx="87">
                  <c:v>99.999999000000017</c:v>
                </c:pt>
                <c:pt idx="88">
                  <c:v>99.999999000000017</c:v>
                </c:pt>
                <c:pt idx="89">
                  <c:v>99.999999000000017</c:v>
                </c:pt>
                <c:pt idx="90">
                  <c:v>99.999999000000017</c:v>
                </c:pt>
                <c:pt idx="91">
                  <c:v>99.999999000000017</c:v>
                </c:pt>
                <c:pt idx="92">
                  <c:v>99.999999000000017</c:v>
                </c:pt>
                <c:pt idx="93">
                  <c:v>99.999999000000017</c:v>
                </c:pt>
                <c:pt idx="94">
                  <c:v>99.999999000000017</c:v>
                </c:pt>
                <c:pt idx="95">
                  <c:v>99.999999000000017</c:v>
                </c:pt>
                <c:pt idx="96">
                  <c:v>99.999999000000017</c:v>
                </c:pt>
                <c:pt idx="97">
                  <c:v>99.999999000000017</c:v>
                </c:pt>
                <c:pt idx="98">
                  <c:v>99.999999000000017</c:v>
                </c:pt>
                <c:pt idx="99">
                  <c:v>99.999999000000017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32-4735-998B-415D995EC0EB}"/>
            </c:ext>
          </c:extLst>
        </c:ser>
        <c:ser>
          <c:idx val="3"/>
          <c:order val="4"/>
          <c:tx>
            <c:strRef>
              <c:f>Sheet2!$Q$5</c:f>
              <c:strCache>
                <c:ptCount val="1"/>
                <c:pt idx="0">
                  <c:v>P1-A2P (unmilled)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Sheet2!$E$7:$E$106</c:f>
              <c:numCache>
                <c:formatCode>General</c:formatCode>
                <c:ptCount val="100"/>
                <c:pt idx="0">
                  <c:v>1.1481999999999999E-2</c:v>
                </c:pt>
                <c:pt idx="1">
                  <c:v>1.3183E-2</c:v>
                </c:pt>
                <c:pt idx="2">
                  <c:v>1.5136E-2</c:v>
                </c:pt>
                <c:pt idx="3">
                  <c:v>1.7378000000000001E-2</c:v>
                </c:pt>
                <c:pt idx="4">
                  <c:v>1.9952999999999999E-2</c:v>
                </c:pt>
                <c:pt idx="5">
                  <c:v>2.2908999999999999E-2</c:v>
                </c:pt>
                <c:pt idx="6">
                  <c:v>2.6303E-2</c:v>
                </c:pt>
                <c:pt idx="7">
                  <c:v>3.0200000000000001E-2</c:v>
                </c:pt>
                <c:pt idx="8">
                  <c:v>3.4674000000000003E-2</c:v>
                </c:pt>
                <c:pt idx="9">
                  <c:v>3.9810999999999999E-2</c:v>
                </c:pt>
                <c:pt idx="10">
                  <c:v>4.5709E-2</c:v>
                </c:pt>
                <c:pt idx="11">
                  <c:v>5.2481E-2</c:v>
                </c:pt>
                <c:pt idx="12">
                  <c:v>6.0255999999999997E-2</c:v>
                </c:pt>
                <c:pt idx="13">
                  <c:v>6.9182999999999995E-2</c:v>
                </c:pt>
                <c:pt idx="14">
                  <c:v>7.9433000000000004E-2</c:v>
                </c:pt>
                <c:pt idx="15">
                  <c:v>9.1201000000000004E-2</c:v>
                </c:pt>
                <c:pt idx="16">
                  <c:v>0.104713</c:v>
                </c:pt>
                <c:pt idx="17">
                  <c:v>0.120226</c:v>
                </c:pt>
                <c:pt idx="18">
                  <c:v>0.13803799999999999</c:v>
                </c:pt>
                <c:pt idx="19">
                  <c:v>0.15848899999999999</c:v>
                </c:pt>
                <c:pt idx="20">
                  <c:v>0.18196999999999999</c:v>
                </c:pt>
                <c:pt idx="21">
                  <c:v>0.20893</c:v>
                </c:pt>
                <c:pt idx="22">
                  <c:v>0.23988300000000001</c:v>
                </c:pt>
                <c:pt idx="23">
                  <c:v>0.27542299999999997</c:v>
                </c:pt>
                <c:pt idx="24">
                  <c:v>0.31622800000000001</c:v>
                </c:pt>
                <c:pt idx="25">
                  <c:v>0.36307800000000001</c:v>
                </c:pt>
                <c:pt idx="26">
                  <c:v>0.41686899999999999</c:v>
                </c:pt>
                <c:pt idx="27">
                  <c:v>0.47863</c:v>
                </c:pt>
                <c:pt idx="28">
                  <c:v>0.54954099999999995</c:v>
                </c:pt>
                <c:pt idx="29">
                  <c:v>0.63095699999999999</c:v>
                </c:pt>
                <c:pt idx="30">
                  <c:v>0.72443599999999997</c:v>
                </c:pt>
                <c:pt idx="31">
                  <c:v>0.83176399999999995</c:v>
                </c:pt>
                <c:pt idx="32">
                  <c:v>0.95499299999999998</c:v>
                </c:pt>
                <c:pt idx="33">
                  <c:v>1.0964780000000001</c:v>
                </c:pt>
                <c:pt idx="34">
                  <c:v>1.2589250000000001</c:v>
                </c:pt>
                <c:pt idx="35">
                  <c:v>1.4454400000000001</c:v>
                </c:pt>
                <c:pt idx="36">
                  <c:v>1.6595869999999999</c:v>
                </c:pt>
                <c:pt idx="37">
                  <c:v>1.9054610000000001</c:v>
                </c:pt>
                <c:pt idx="38">
                  <c:v>2.1877620000000002</c:v>
                </c:pt>
                <c:pt idx="39">
                  <c:v>2.5118860000000001</c:v>
                </c:pt>
                <c:pt idx="40">
                  <c:v>2.8840309999999998</c:v>
                </c:pt>
                <c:pt idx="41">
                  <c:v>3.3113109999999999</c:v>
                </c:pt>
                <c:pt idx="42">
                  <c:v>3.8018939999999999</c:v>
                </c:pt>
                <c:pt idx="43">
                  <c:v>4.3651580000000001</c:v>
                </c:pt>
                <c:pt idx="44">
                  <c:v>5.0118720000000003</c:v>
                </c:pt>
                <c:pt idx="45">
                  <c:v>5.7543990000000003</c:v>
                </c:pt>
                <c:pt idx="46">
                  <c:v>6.6069339999999999</c:v>
                </c:pt>
                <c:pt idx="47">
                  <c:v>7.5857760000000001</c:v>
                </c:pt>
                <c:pt idx="48">
                  <c:v>8.7096359999999997</c:v>
                </c:pt>
                <c:pt idx="49">
                  <c:v>10</c:v>
                </c:pt>
                <c:pt idx="50">
                  <c:v>11.481536</c:v>
                </c:pt>
                <c:pt idx="51">
                  <c:v>13.182567000000001</c:v>
                </c:pt>
                <c:pt idx="52">
                  <c:v>15.135612</c:v>
                </c:pt>
                <c:pt idx="53">
                  <c:v>17.378008000000001</c:v>
                </c:pt>
                <c:pt idx="54">
                  <c:v>19.952622999999999</c:v>
                </c:pt>
                <c:pt idx="55">
                  <c:v>22.908677000000001</c:v>
                </c:pt>
                <c:pt idx="56">
                  <c:v>26.302679999999999</c:v>
                </c:pt>
                <c:pt idx="57">
                  <c:v>30.199517</c:v>
                </c:pt>
                <c:pt idx="58">
                  <c:v>34.673684999999999</c:v>
                </c:pt>
                <c:pt idx="59">
                  <c:v>39.810716999999997</c:v>
                </c:pt>
                <c:pt idx="60">
                  <c:v>45.708818999999998</c:v>
                </c:pt>
                <c:pt idx="61">
                  <c:v>52.480746000000003</c:v>
                </c:pt>
                <c:pt idx="62">
                  <c:v>60.255958999999997</c:v>
                </c:pt>
                <c:pt idx="63">
                  <c:v>69.183097000000004</c:v>
                </c:pt>
                <c:pt idx="64">
                  <c:v>79.432822999999999</c:v>
                </c:pt>
                <c:pt idx="65">
                  <c:v>91.201083999999994</c:v>
                </c:pt>
                <c:pt idx="66">
                  <c:v>104.712855</c:v>
                </c:pt>
                <c:pt idx="67">
                  <c:v>120.226443</c:v>
                </c:pt>
                <c:pt idx="68">
                  <c:v>138.03842599999999</c:v>
                </c:pt>
                <c:pt idx="69">
                  <c:v>158.48931899999999</c:v>
                </c:pt>
                <c:pt idx="70">
                  <c:v>181.97008600000001</c:v>
                </c:pt>
                <c:pt idx="71">
                  <c:v>208.92961299999999</c:v>
                </c:pt>
                <c:pt idx="72">
                  <c:v>239.88329200000001</c:v>
                </c:pt>
                <c:pt idx="73">
                  <c:v>275.42286999999999</c:v>
                </c:pt>
                <c:pt idx="74">
                  <c:v>316.22776599999997</c:v>
                </c:pt>
                <c:pt idx="75">
                  <c:v>363.07805500000001</c:v>
                </c:pt>
                <c:pt idx="76">
                  <c:v>416.86938300000003</c:v>
                </c:pt>
                <c:pt idx="77">
                  <c:v>478.63009199999999</c:v>
                </c:pt>
                <c:pt idx="78">
                  <c:v>549.54087400000003</c:v>
                </c:pt>
                <c:pt idx="79">
                  <c:v>630.95734400000003</c:v>
                </c:pt>
                <c:pt idx="80">
                  <c:v>724.43596000000002</c:v>
                </c:pt>
                <c:pt idx="81">
                  <c:v>831.76377100000002</c:v>
                </c:pt>
                <c:pt idx="82">
                  <c:v>954.99258599999996</c:v>
                </c:pt>
                <c:pt idx="83">
                  <c:v>1096.478196</c:v>
                </c:pt>
                <c:pt idx="84">
                  <c:v>1258.9254120000001</c:v>
                </c:pt>
                <c:pt idx="85">
                  <c:v>1445.4397710000001</c:v>
                </c:pt>
                <c:pt idx="86">
                  <c:v>1659.5869070000001</c:v>
                </c:pt>
                <c:pt idx="87">
                  <c:v>1905.460718</c:v>
                </c:pt>
                <c:pt idx="88">
                  <c:v>2187.7616240000002</c:v>
                </c:pt>
                <c:pt idx="89">
                  <c:v>2511.8864319999998</c:v>
                </c:pt>
                <c:pt idx="90">
                  <c:v>2884.0315030000002</c:v>
                </c:pt>
                <c:pt idx="91">
                  <c:v>3311.3112150000002</c:v>
                </c:pt>
                <c:pt idx="92">
                  <c:v>3801.893963</c:v>
                </c:pt>
                <c:pt idx="93">
                  <c:v>4365.1583220000002</c:v>
                </c:pt>
                <c:pt idx="94">
                  <c:v>5011.8723360000004</c:v>
                </c:pt>
                <c:pt idx="95">
                  <c:v>5754.3993730000002</c:v>
                </c:pt>
                <c:pt idx="96">
                  <c:v>6606.9344799999999</c:v>
                </c:pt>
                <c:pt idx="97">
                  <c:v>7585.7757499999998</c:v>
                </c:pt>
                <c:pt idx="98">
                  <c:v>8709.6358999999993</c:v>
                </c:pt>
                <c:pt idx="99">
                  <c:v>10000</c:v>
                </c:pt>
              </c:numCache>
            </c:numRef>
          </c:xVal>
          <c:yVal>
            <c:numRef>
              <c:f>Sheet2!$P$7:$P$106</c:f>
              <c:numCache>
                <c:formatCode>0.0000</c:formatCode>
                <c:ptCount val="10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1.0725E-2</c:v>
                </c:pt>
                <c:pt idx="37">
                  <c:v>0.15763300000000002</c:v>
                </c:pt>
                <c:pt idx="38">
                  <c:v>0.72773399999999999</c:v>
                </c:pt>
                <c:pt idx="39">
                  <c:v>1.7060849999999999</c:v>
                </c:pt>
                <c:pt idx="40">
                  <c:v>3.0860129999999999</c:v>
                </c:pt>
                <c:pt idx="41">
                  <c:v>4.8562159999999999</c:v>
                </c:pt>
                <c:pt idx="42">
                  <c:v>6.9790589999999995</c:v>
                </c:pt>
                <c:pt idx="43">
                  <c:v>9.4125359999999993</c:v>
                </c:pt>
                <c:pt idx="44">
                  <c:v>12.118179</c:v>
                </c:pt>
                <c:pt idx="45">
                  <c:v>15.06711</c:v>
                </c:pt>
                <c:pt idx="46">
                  <c:v>18.249901999999999</c:v>
                </c:pt>
                <c:pt idx="47">
                  <c:v>21.664019</c:v>
                </c:pt>
                <c:pt idx="48">
                  <c:v>25.316227999999999</c:v>
                </c:pt>
                <c:pt idx="49">
                  <c:v>29.204528999999997</c:v>
                </c:pt>
                <c:pt idx="50">
                  <c:v>33.325885999999997</c:v>
                </c:pt>
                <c:pt idx="51">
                  <c:v>37.659682999999994</c:v>
                </c:pt>
                <c:pt idx="52">
                  <c:v>42.182660999999996</c:v>
                </c:pt>
                <c:pt idx="53">
                  <c:v>46.859334999999994</c:v>
                </c:pt>
                <c:pt idx="54">
                  <c:v>51.651953999999996</c:v>
                </c:pt>
                <c:pt idx="55">
                  <c:v>56.516101999999997</c:v>
                </c:pt>
                <c:pt idx="56">
                  <c:v>61.404509999999995</c:v>
                </c:pt>
                <c:pt idx="57">
                  <c:v>66.263815999999991</c:v>
                </c:pt>
                <c:pt idx="58">
                  <c:v>71.033219999999986</c:v>
                </c:pt>
                <c:pt idx="59">
                  <c:v>75.644257999999979</c:v>
                </c:pt>
                <c:pt idx="60">
                  <c:v>80.019712999999982</c:v>
                </c:pt>
                <c:pt idx="61">
                  <c:v>84.077028999999982</c:v>
                </c:pt>
                <c:pt idx="62">
                  <c:v>87.735245999999975</c:v>
                </c:pt>
                <c:pt idx="63">
                  <c:v>90.92169699999998</c:v>
                </c:pt>
                <c:pt idx="64">
                  <c:v>93.589613999999983</c:v>
                </c:pt>
                <c:pt idx="65">
                  <c:v>95.717736999999985</c:v>
                </c:pt>
                <c:pt idx="66">
                  <c:v>97.328382999999988</c:v>
                </c:pt>
                <c:pt idx="67">
                  <c:v>98.469742999999994</c:v>
                </c:pt>
                <c:pt idx="68">
                  <c:v>99.221379999999996</c:v>
                </c:pt>
                <c:pt idx="69">
                  <c:v>99.677005999999992</c:v>
                </c:pt>
                <c:pt idx="70">
                  <c:v>99.905836999999991</c:v>
                </c:pt>
                <c:pt idx="71">
                  <c:v>99.999997999999991</c:v>
                </c:pt>
                <c:pt idx="72">
                  <c:v>99.999997999999991</c:v>
                </c:pt>
                <c:pt idx="73">
                  <c:v>99.999997999999991</c:v>
                </c:pt>
                <c:pt idx="74">
                  <c:v>99.999997999999991</c:v>
                </c:pt>
                <c:pt idx="75">
                  <c:v>99.999997999999991</c:v>
                </c:pt>
                <c:pt idx="76">
                  <c:v>99.999997999999991</c:v>
                </c:pt>
                <c:pt idx="77">
                  <c:v>99.999997999999991</c:v>
                </c:pt>
                <c:pt idx="78">
                  <c:v>99.999997999999991</c:v>
                </c:pt>
                <c:pt idx="79">
                  <c:v>99.999997999999991</c:v>
                </c:pt>
                <c:pt idx="80">
                  <c:v>99.999997999999991</c:v>
                </c:pt>
                <c:pt idx="81">
                  <c:v>99.999997999999991</c:v>
                </c:pt>
                <c:pt idx="82">
                  <c:v>99.999997999999991</c:v>
                </c:pt>
                <c:pt idx="83">
                  <c:v>99.999997999999991</c:v>
                </c:pt>
                <c:pt idx="84">
                  <c:v>99.999997999999991</c:v>
                </c:pt>
                <c:pt idx="85">
                  <c:v>99.999997999999991</c:v>
                </c:pt>
                <c:pt idx="86">
                  <c:v>99.999997999999991</c:v>
                </c:pt>
                <c:pt idx="87">
                  <c:v>99.999997999999991</c:v>
                </c:pt>
                <c:pt idx="88">
                  <c:v>99.999997999999991</c:v>
                </c:pt>
                <c:pt idx="89">
                  <c:v>99.999997999999991</c:v>
                </c:pt>
                <c:pt idx="90">
                  <c:v>99.999997999999991</c:v>
                </c:pt>
                <c:pt idx="91">
                  <c:v>99.999997999999991</c:v>
                </c:pt>
                <c:pt idx="92">
                  <c:v>99.999997999999991</c:v>
                </c:pt>
                <c:pt idx="93">
                  <c:v>99.999997999999991</c:v>
                </c:pt>
                <c:pt idx="94">
                  <c:v>99.999997999999991</c:v>
                </c:pt>
                <c:pt idx="95">
                  <c:v>99.999997999999991</c:v>
                </c:pt>
                <c:pt idx="96">
                  <c:v>99.999997999999991</c:v>
                </c:pt>
                <c:pt idx="97">
                  <c:v>99.999997999999991</c:v>
                </c:pt>
                <c:pt idx="98">
                  <c:v>99.999997999999991</c:v>
                </c:pt>
                <c:pt idx="99">
                  <c:v>99.999997999999991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09-46CE-B1FC-22322848FFDE}"/>
            </c:ext>
          </c:extLst>
        </c:ser>
        <c:ser>
          <c:idx val="7"/>
          <c:order val="5"/>
          <c:tx>
            <c:strRef>
              <c:f>Sheet2!$T$6</c:f>
              <c:strCache>
                <c:ptCount val="1"/>
                <c:pt idx="0">
                  <c:v>Clay ≤ 2 µm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0.11257614673720932"/>
                  <c:y val="3.2309848906934918E-2"/>
                </c:manualLayout>
              </c:layout>
              <c:tx>
                <c:rich>
                  <a:bodyPr/>
                  <a:lstStyle/>
                  <a:p>
                    <a:fld id="{EE701C28-E486-4B13-9867-34650AD36CD1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1A9-4C28-A382-71D249E242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Sheet2!$T$7:$T$8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Sheet2!$U$7:$U$8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A9-4C28-A382-71D249E24267}"/>
            </c:ext>
          </c:extLst>
        </c:ser>
        <c:ser>
          <c:idx val="8"/>
          <c:order val="6"/>
          <c:tx>
            <c:strRef>
              <c:f>Sheet2!$T$11</c:f>
              <c:strCache>
                <c:ptCount val="1"/>
                <c:pt idx="0">
                  <c:v>63 µm ≤ Sand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1487361911960219E-2"/>
                  <c:y val="-3.2309848906935001E-2"/>
                </c:manualLayout>
              </c:layout>
              <c:tx>
                <c:rich>
                  <a:bodyPr/>
                  <a:lstStyle/>
                  <a:p>
                    <a:fld id="{CECB3A18-073D-40D4-A8C4-35B301807CF0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1A9-4C28-A382-71D249E2426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A9-4C28-A382-71D249E242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Sheet2!$T$12:$T$13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Sheet2!$U$12:$U$13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A9-4C28-A382-71D249E24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504304"/>
        <c:axId val="322499056"/>
      </c:scatterChart>
      <c:valAx>
        <c:axId val="322504304"/>
        <c:scaling>
          <c:logBase val="10"/>
          <c:orientation val="minMax"/>
          <c:max val="100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000"/>
                  <a:t>Particle size [µm]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99056"/>
        <c:crosses val="autoZero"/>
        <c:crossBetween val="midCat"/>
      </c:valAx>
      <c:valAx>
        <c:axId val="32249905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000"/>
                  <a:t>Particle size distribution [vol.%]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298075</xdr:colOff>
      <xdr:row>2</xdr:row>
      <xdr:rowOff>87685</xdr:rowOff>
    </xdr:from>
    <xdr:to>
      <xdr:col>29</xdr:col>
      <xdr:colOff>602875</xdr:colOff>
      <xdr:row>16</xdr:row>
      <xdr:rowOff>163885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327990</xdr:colOff>
      <xdr:row>19</xdr:row>
      <xdr:rowOff>149087</xdr:rowOff>
    </xdr:from>
    <xdr:to>
      <xdr:col>27</xdr:col>
      <xdr:colOff>339587</xdr:colOff>
      <xdr:row>34</xdr:row>
      <xdr:rowOff>43070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0B3F89-2DDD-4CC5-818D-B70734B88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0.50405</cdr:x>
      <cdr:y>0.14148</cdr:y>
    </cdr:from>
    <cdr:to>
      <cdr:x>0.72131</cdr:x>
      <cdr:y>0.22878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AC8B4D-3899-80ED-B1A0-07FA9FE8D3B3}"/>
            </a:ext>
          </a:extLst>
        </cdr:cNvPr>
        <cdr:cNvSpPr txBox="1"/>
      </cdr:nvSpPr>
      <cdr:spPr>
        <a:xfrm xmlns:a="http://schemas.openxmlformats.org/drawingml/2006/main">
          <a:off x="2786269" y="389283"/>
          <a:ext cx="1200979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 kern="1200">
              <a:latin typeface="+mn-lt"/>
            </a:rPr>
            <a:t>2 µm &lt; Silt </a:t>
          </a:r>
          <a:r>
            <a:rPr lang="en-US" sz="800">
              <a:effectLst/>
              <a:latin typeface="+mn-lt"/>
              <a:ea typeface="+mn-ea"/>
              <a:cs typeface="+mn-cs"/>
            </a:rPr>
            <a:t>&lt; 63 µm</a:t>
          </a:r>
          <a:endParaRPr lang="en-US" sz="800" kern="1200">
            <a:latin typeface="+mn-lt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06"/>
  <sheetViews>
    <sheetView tabSelected="1" zoomScale="70" zoomScaleNormal="70" workbookViewId="0">
      <selection activeCell="E22" sqref="E22"/>
    </sheetView>
  </sheetViews>
  <sheetFormatPr defaultRowHeight="15" x14ac:dyDescent="0.25"/>
  <cols>
    <col min="5" max="5" width="17.28515625" customWidth="1"/>
    <col min="6" max="6" width="10" customWidth="1"/>
    <col min="7" max="7" width="12.85546875" customWidth="1"/>
    <col min="8" max="8" width="8.28515625" customWidth="1"/>
    <col min="9" max="9" width="13" customWidth="1"/>
    <col min="10" max="10" width="10" customWidth="1"/>
    <col min="11" max="11" width="14.7109375" customWidth="1"/>
    <col min="13" max="13" width="13" customWidth="1"/>
    <col min="18" max="18" width="13" customWidth="1"/>
  </cols>
  <sheetData>
    <row r="2" spans="1:21" x14ac:dyDescent="0.25">
      <c r="A2" t="s">
        <v>1</v>
      </c>
    </row>
    <row r="3" spans="1:21" x14ac:dyDescent="0.25">
      <c r="A3" t="s">
        <v>2</v>
      </c>
    </row>
    <row r="4" spans="1:21" x14ac:dyDescent="0.25">
      <c r="A4" t="s">
        <v>5</v>
      </c>
      <c r="F4" s="11" t="s">
        <v>7</v>
      </c>
      <c r="G4" s="11"/>
      <c r="H4" s="4" t="s">
        <v>4</v>
      </c>
      <c r="I4" s="4"/>
      <c r="J4" s="11" t="s">
        <v>6</v>
      </c>
      <c r="K4" s="11"/>
      <c r="L4" s="4" t="s">
        <v>8</v>
      </c>
      <c r="M4" s="4"/>
      <c r="O4" s="4" t="s">
        <v>9</v>
      </c>
      <c r="P4" s="4"/>
      <c r="Q4" t="s">
        <v>9</v>
      </c>
    </row>
    <row r="5" spans="1:21" x14ac:dyDescent="0.25">
      <c r="E5" t="s">
        <v>0</v>
      </c>
      <c r="F5" s="11" t="s">
        <v>14</v>
      </c>
      <c r="G5" s="11" t="s">
        <v>3</v>
      </c>
      <c r="H5" s="4" t="s">
        <v>13</v>
      </c>
      <c r="I5" s="4" t="s">
        <v>3</v>
      </c>
      <c r="J5" s="11" t="s">
        <v>12</v>
      </c>
      <c r="K5" s="11" t="s">
        <v>3</v>
      </c>
      <c r="L5" s="4" t="s">
        <v>11</v>
      </c>
      <c r="M5" s="4" t="s">
        <v>3</v>
      </c>
      <c r="O5" s="4" t="s">
        <v>10</v>
      </c>
      <c r="P5" s="4"/>
      <c r="Q5" t="s">
        <v>15</v>
      </c>
      <c r="R5" t="s">
        <v>3</v>
      </c>
    </row>
    <row r="6" spans="1:21" ht="15.75" thickBot="1" x14ac:dyDescent="0.3">
      <c r="E6">
        <v>0.01</v>
      </c>
      <c r="F6" s="11"/>
      <c r="G6" s="11"/>
      <c r="H6" s="4"/>
      <c r="I6" s="4"/>
      <c r="J6" s="11"/>
      <c r="K6" s="11"/>
      <c r="L6" s="4"/>
      <c r="M6" s="4"/>
      <c r="O6" s="4"/>
      <c r="P6" s="4"/>
      <c r="T6" t="s">
        <v>17</v>
      </c>
    </row>
    <row r="7" spans="1:21" x14ac:dyDescent="0.25">
      <c r="E7">
        <v>1.1481999999999999E-2</v>
      </c>
      <c r="F7" s="12">
        <v>0</v>
      </c>
      <c r="G7" s="13">
        <f>F7</f>
        <v>0</v>
      </c>
      <c r="H7" s="5">
        <v>0</v>
      </c>
      <c r="I7" s="6">
        <f>H7</f>
        <v>0</v>
      </c>
      <c r="J7" s="12">
        <v>0</v>
      </c>
      <c r="K7" s="13">
        <f>J7</f>
        <v>0</v>
      </c>
      <c r="L7" s="4">
        <v>0</v>
      </c>
      <c r="M7" s="6">
        <f>L7</f>
        <v>0</v>
      </c>
      <c r="O7" s="4">
        <v>0</v>
      </c>
      <c r="P7" s="6">
        <f>O7</f>
        <v>0</v>
      </c>
      <c r="Q7">
        <v>0</v>
      </c>
      <c r="R7" s="1">
        <f>Q7</f>
        <v>0</v>
      </c>
      <c r="T7">
        <v>2</v>
      </c>
      <c r="U7">
        <v>0</v>
      </c>
    </row>
    <row r="8" spans="1:21" x14ac:dyDescent="0.25">
      <c r="E8">
        <v>1.3183E-2</v>
      </c>
      <c r="F8" s="14">
        <v>0</v>
      </c>
      <c r="G8" s="15">
        <f>F8+G7</f>
        <v>0</v>
      </c>
      <c r="H8" s="7">
        <v>0</v>
      </c>
      <c r="I8" s="8">
        <f t="shared" ref="I8:I39" si="0">I7+H8</f>
        <v>0</v>
      </c>
      <c r="J8" s="14">
        <v>0</v>
      </c>
      <c r="K8" s="15">
        <f>J8+K7</f>
        <v>0</v>
      </c>
      <c r="L8" s="4">
        <v>0</v>
      </c>
      <c r="M8" s="8">
        <f t="shared" ref="M8:M39" si="1">M7+L8</f>
        <v>0</v>
      </c>
      <c r="O8" s="4">
        <v>0</v>
      </c>
      <c r="P8" s="8">
        <f t="shared" ref="P8:P39" si="2">P7+O8</f>
        <v>0</v>
      </c>
      <c r="Q8">
        <v>0</v>
      </c>
      <c r="R8" s="2">
        <f t="shared" ref="R8:R39" si="3">R7+Q8</f>
        <v>0</v>
      </c>
      <c r="T8">
        <v>2</v>
      </c>
      <c r="U8">
        <v>100</v>
      </c>
    </row>
    <row r="9" spans="1:21" x14ac:dyDescent="0.25">
      <c r="E9">
        <v>1.5136E-2</v>
      </c>
      <c r="F9" s="14">
        <v>0</v>
      </c>
      <c r="G9" s="15">
        <f t="shared" ref="G9:G72" si="4">F9+G8</f>
        <v>0</v>
      </c>
      <c r="H9" s="7">
        <v>0</v>
      </c>
      <c r="I9" s="8">
        <f t="shared" si="0"/>
        <v>0</v>
      </c>
      <c r="J9" s="14">
        <v>0</v>
      </c>
      <c r="K9" s="15">
        <f t="shared" ref="K9:K72" si="5">J9+K8</f>
        <v>0</v>
      </c>
      <c r="L9" s="4">
        <v>0</v>
      </c>
      <c r="M9" s="8">
        <f t="shared" si="1"/>
        <v>0</v>
      </c>
      <c r="O9" s="4">
        <v>0</v>
      </c>
      <c r="P9" s="8">
        <f t="shared" si="2"/>
        <v>0</v>
      </c>
      <c r="Q9">
        <v>0</v>
      </c>
      <c r="R9" s="2">
        <f t="shared" si="3"/>
        <v>0</v>
      </c>
      <c r="T9" t="s">
        <v>16</v>
      </c>
    </row>
    <row r="10" spans="1:21" x14ac:dyDescent="0.25">
      <c r="E10">
        <v>1.7378000000000001E-2</v>
      </c>
      <c r="F10" s="14">
        <v>0</v>
      </c>
      <c r="G10" s="15">
        <f t="shared" si="4"/>
        <v>0</v>
      </c>
      <c r="H10" s="7">
        <v>0</v>
      </c>
      <c r="I10" s="8">
        <f t="shared" si="0"/>
        <v>0</v>
      </c>
      <c r="J10" s="14">
        <v>0</v>
      </c>
      <c r="K10" s="15">
        <f t="shared" si="5"/>
        <v>0</v>
      </c>
      <c r="L10" s="4">
        <v>0</v>
      </c>
      <c r="M10" s="8">
        <f t="shared" si="1"/>
        <v>0</v>
      </c>
      <c r="O10" s="4">
        <v>0</v>
      </c>
      <c r="P10" s="8">
        <f t="shared" si="2"/>
        <v>0</v>
      </c>
      <c r="Q10">
        <v>0</v>
      </c>
      <c r="R10" s="2">
        <f t="shared" si="3"/>
        <v>0</v>
      </c>
    </row>
    <row r="11" spans="1:21" x14ac:dyDescent="0.25">
      <c r="E11">
        <v>1.9952999999999999E-2</v>
      </c>
      <c r="F11" s="14">
        <v>0</v>
      </c>
      <c r="G11" s="15">
        <f t="shared" si="4"/>
        <v>0</v>
      </c>
      <c r="H11" s="7">
        <v>0</v>
      </c>
      <c r="I11" s="8">
        <f t="shared" si="0"/>
        <v>0</v>
      </c>
      <c r="J11" s="14">
        <v>0</v>
      </c>
      <c r="K11" s="15">
        <f t="shared" si="5"/>
        <v>0</v>
      </c>
      <c r="L11" s="4">
        <v>0</v>
      </c>
      <c r="M11" s="8">
        <f t="shared" si="1"/>
        <v>0</v>
      </c>
      <c r="O11" s="4">
        <v>0</v>
      </c>
      <c r="P11" s="8">
        <f t="shared" si="2"/>
        <v>0</v>
      </c>
      <c r="Q11">
        <v>0</v>
      </c>
      <c r="R11" s="2">
        <f t="shared" si="3"/>
        <v>0</v>
      </c>
      <c r="T11" t="s">
        <v>18</v>
      </c>
    </row>
    <row r="12" spans="1:21" x14ac:dyDescent="0.25">
      <c r="E12">
        <v>2.2908999999999999E-2</v>
      </c>
      <c r="F12" s="14">
        <v>0</v>
      </c>
      <c r="G12" s="15">
        <f t="shared" si="4"/>
        <v>0</v>
      </c>
      <c r="H12" s="7">
        <v>0</v>
      </c>
      <c r="I12" s="8">
        <f t="shared" si="0"/>
        <v>0</v>
      </c>
      <c r="J12" s="14">
        <v>0</v>
      </c>
      <c r="K12" s="15">
        <f t="shared" si="5"/>
        <v>0</v>
      </c>
      <c r="L12" s="4">
        <v>0</v>
      </c>
      <c r="M12" s="8">
        <f t="shared" si="1"/>
        <v>0</v>
      </c>
      <c r="O12" s="4">
        <v>0</v>
      </c>
      <c r="P12" s="8">
        <f t="shared" si="2"/>
        <v>0</v>
      </c>
      <c r="Q12">
        <v>0</v>
      </c>
      <c r="R12" s="2">
        <f t="shared" si="3"/>
        <v>0</v>
      </c>
      <c r="T12">
        <v>63</v>
      </c>
      <c r="U12">
        <v>0</v>
      </c>
    </row>
    <row r="13" spans="1:21" x14ac:dyDescent="0.25">
      <c r="E13">
        <v>2.6303E-2</v>
      </c>
      <c r="F13" s="14">
        <v>0</v>
      </c>
      <c r="G13" s="15">
        <f t="shared" si="4"/>
        <v>0</v>
      </c>
      <c r="H13" s="7">
        <v>0</v>
      </c>
      <c r="I13" s="8">
        <f t="shared" si="0"/>
        <v>0</v>
      </c>
      <c r="J13" s="14">
        <v>0</v>
      </c>
      <c r="K13" s="15">
        <f t="shared" si="5"/>
        <v>0</v>
      </c>
      <c r="L13" s="4">
        <v>0</v>
      </c>
      <c r="M13" s="8">
        <f t="shared" si="1"/>
        <v>0</v>
      </c>
      <c r="O13" s="4">
        <v>0</v>
      </c>
      <c r="P13" s="8">
        <f t="shared" si="2"/>
        <v>0</v>
      </c>
      <c r="Q13">
        <v>0</v>
      </c>
      <c r="R13" s="2">
        <f t="shared" si="3"/>
        <v>0</v>
      </c>
      <c r="T13">
        <v>63</v>
      </c>
      <c r="U13">
        <v>100</v>
      </c>
    </row>
    <row r="14" spans="1:21" x14ac:dyDescent="0.25">
      <c r="E14">
        <v>3.0200000000000001E-2</v>
      </c>
      <c r="F14" s="14">
        <v>0</v>
      </c>
      <c r="G14" s="15">
        <f t="shared" si="4"/>
        <v>0</v>
      </c>
      <c r="H14" s="7">
        <v>0</v>
      </c>
      <c r="I14" s="8">
        <f t="shared" si="0"/>
        <v>0</v>
      </c>
      <c r="J14" s="14">
        <v>0</v>
      </c>
      <c r="K14" s="15">
        <f t="shared" si="5"/>
        <v>0</v>
      </c>
      <c r="L14" s="4">
        <v>0</v>
      </c>
      <c r="M14" s="8">
        <f t="shared" si="1"/>
        <v>0</v>
      </c>
      <c r="O14" s="4">
        <v>0</v>
      </c>
      <c r="P14" s="8">
        <f t="shared" si="2"/>
        <v>0</v>
      </c>
      <c r="Q14">
        <v>0</v>
      </c>
      <c r="R14" s="2">
        <f t="shared" si="3"/>
        <v>0</v>
      </c>
    </row>
    <row r="15" spans="1:21" x14ac:dyDescent="0.25">
      <c r="E15">
        <v>3.4674000000000003E-2</v>
      </c>
      <c r="F15" s="14">
        <v>0</v>
      </c>
      <c r="G15" s="15">
        <f>F15+G14</f>
        <v>0</v>
      </c>
      <c r="H15" s="7">
        <v>0</v>
      </c>
      <c r="I15" s="8">
        <f t="shared" si="0"/>
        <v>0</v>
      </c>
      <c r="J15" s="14">
        <v>0</v>
      </c>
      <c r="K15" s="15">
        <f t="shared" si="5"/>
        <v>0</v>
      </c>
      <c r="L15" s="4">
        <v>0</v>
      </c>
      <c r="M15" s="8">
        <f t="shared" si="1"/>
        <v>0</v>
      </c>
      <c r="O15" s="4">
        <v>0</v>
      </c>
      <c r="P15" s="8">
        <f t="shared" si="2"/>
        <v>0</v>
      </c>
      <c r="Q15">
        <v>0</v>
      </c>
      <c r="R15" s="2">
        <f t="shared" si="3"/>
        <v>0</v>
      </c>
    </row>
    <row r="16" spans="1:21" x14ac:dyDescent="0.25">
      <c r="E16">
        <v>3.9810999999999999E-2</v>
      </c>
      <c r="F16" s="14">
        <v>0</v>
      </c>
      <c r="G16" s="15">
        <f t="shared" si="4"/>
        <v>0</v>
      </c>
      <c r="H16" s="7">
        <v>0</v>
      </c>
      <c r="I16" s="8">
        <f t="shared" si="0"/>
        <v>0</v>
      </c>
      <c r="J16" s="14">
        <v>0</v>
      </c>
      <c r="K16" s="15">
        <f t="shared" si="5"/>
        <v>0</v>
      </c>
      <c r="L16" s="4">
        <v>0</v>
      </c>
      <c r="M16" s="8">
        <f t="shared" si="1"/>
        <v>0</v>
      </c>
      <c r="O16" s="4">
        <v>0</v>
      </c>
      <c r="P16" s="8">
        <f t="shared" si="2"/>
        <v>0</v>
      </c>
      <c r="Q16">
        <v>0</v>
      </c>
      <c r="R16" s="2">
        <f t="shared" si="3"/>
        <v>0</v>
      </c>
    </row>
    <row r="17" spans="5:18" x14ac:dyDescent="0.25">
      <c r="E17">
        <v>4.5709E-2</v>
      </c>
      <c r="F17" s="14">
        <v>0</v>
      </c>
      <c r="G17" s="15">
        <f t="shared" si="4"/>
        <v>0</v>
      </c>
      <c r="H17" s="7">
        <v>0</v>
      </c>
      <c r="I17" s="8">
        <f t="shared" si="0"/>
        <v>0</v>
      </c>
      <c r="J17" s="14">
        <v>0</v>
      </c>
      <c r="K17" s="15">
        <f t="shared" si="5"/>
        <v>0</v>
      </c>
      <c r="L17" s="4">
        <v>0</v>
      </c>
      <c r="M17" s="8">
        <f t="shared" si="1"/>
        <v>0</v>
      </c>
      <c r="O17" s="4">
        <v>0</v>
      </c>
      <c r="P17" s="8">
        <f t="shared" si="2"/>
        <v>0</v>
      </c>
      <c r="Q17">
        <v>0.23263200000000001</v>
      </c>
      <c r="R17" s="2">
        <f t="shared" si="3"/>
        <v>0.23263200000000001</v>
      </c>
    </row>
    <row r="18" spans="5:18" x14ac:dyDescent="0.25">
      <c r="E18">
        <v>5.2481E-2</v>
      </c>
      <c r="F18" s="14">
        <v>0</v>
      </c>
      <c r="G18" s="15">
        <f t="shared" si="4"/>
        <v>0</v>
      </c>
      <c r="H18" s="7">
        <v>0</v>
      </c>
      <c r="I18" s="8">
        <f t="shared" si="0"/>
        <v>0</v>
      </c>
      <c r="J18" s="14">
        <v>0</v>
      </c>
      <c r="K18" s="15">
        <f t="shared" si="5"/>
        <v>0</v>
      </c>
      <c r="L18" s="4">
        <v>0</v>
      </c>
      <c r="M18" s="8">
        <f t="shared" si="1"/>
        <v>0</v>
      </c>
      <c r="O18" s="4">
        <v>0</v>
      </c>
      <c r="P18" s="8">
        <f t="shared" si="2"/>
        <v>0</v>
      </c>
      <c r="Q18">
        <v>0.81032499999999996</v>
      </c>
      <c r="R18" s="2">
        <f t="shared" si="3"/>
        <v>1.0429569999999999</v>
      </c>
    </row>
    <row r="19" spans="5:18" x14ac:dyDescent="0.25">
      <c r="E19">
        <v>6.0255999999999997E-2</v>
      </c>
      <c r="F19" s="14">
        <v>0</v>
      </c>
      <c r="G19" s="15">
        <f t="shared" si="4"/>
        <v>0</v>
      </c>
      <c r="H19" s="7">
        <v>0</v>
      </c>
      <c r="I19" s="8">
        <f t="shared" si="0"/>
        <v>0</v>
      </c>
      <c r="J19" s="14">
        <v>0</v>
      </c>
      <c r="K19" s="15">
        <f t="shared" si="5"/>
        <v>0</v>
      </c>
      <c r="L19" s="4">
        <v>0</v>
      </c>
      <c r="M19" s="8">
        <f t="shared" si="1"/>
        <v>0</v>
      </c>
      <c r="O19" s="4">
        <v>0</v>
      </c>
      <c r="P19" s="8">
        <f t="shared" si="2"/>
        <v>0</v>
      </c>
      <c r="Q19">
        <v>1.2761750000000001</v>
      </c>
      <c r="R19" s="2">
        <f t="shared" si="3"/>
        <v>2.3191319999999997</v>
      </c>
    </row>
    <row r="20" spans="5:18" x14ac:dyDescent="0.25">
      <c r="E20">
        <v>6.9182999999999995E-2</v>
      </c>
      <c r="F20" s="14">
        <v>0</v>
      </c>
      <c r="G20" s="15">
        <f t="shared" si="4"/>
        <v>0</v>
      </c>
      <c r="H20" s="7">
        <v>0</v>
      </c>
      <c r="I20" s="8">
        <f t="shared" si="0"/>
        <v>0</v>
      </c>
      <c r="J20" s="14">
        <v>0</v>
      </c>
      <c r="K20" s="15">
        <f t="shared" si="5"/>
        <v>0</v>
      </c>
      <c r="L20" s="4">
        <v>0</v>
      </c>
      <c r="M20" s="8">
        <f t="shared" si="1"/>
        <v>0</v>
      </c>
      <c r="O20" s="4">
        <v>0</v>
      </c>
      <c r="P20" s="8">
        <f t="shared" si="2"/>
        <v>0</v>
      </c>
      <c r="Q20">
        <v>1.8721989999999999</v>
      </c>
      <c r="R20" s="2">
        <f t="shared" si="3"/>
        <v>4.1913309999999999</v>
      </c>
    </row>
    <row r="21" spans="5:18" x14ac:dyDescent="0.25">
      <c r="E21">
        <v>7.9433000000000004E-2</v>
      </c>
      <c r="F21" s="14">
        <v>0</v>
      </c>
      <c r="G21" s="15">
        <f t="shared" si="4"/>
        <v>0</v>
      </c>
      <c r="H21" s="7">
        <v>0</v>
      </c>
      <c r="I21" s="8">
        <f t="shared" si="0"/>
        <v>0</v>
      </c>
      <c r="J21" s="14">
        <v>0</v>
      </c>
      <c r="K21" s="15">
        <f t="shared" si="5"/>
        <v>0</v>
      </c>
      <c r="L21" s="4">
        <v>0</v>
      </c>
      <c r="M21" s="8">
        <f t="shared" si="1"/>
        <v>0</v>
      </c>
      <c r="O21" s="4">
        <v>0</v>
      </c>
      <c r="P21" s="8">
        <f t="shared" si="2"/>
        <v>0</v>
      </c>
      <c r="Q21">
        <v>2.7090450000000001</v>
      </c>
      <c r="R21" s="2">
        <f t="shared" si="3"/>
        <v>6.9003759999999996</v>
      </c>
    </row>
    <row r="22" spans="5:18" x14ac:dyDescent="0.25">
      <c r="E22">
        <v>9.1201000000000004E-2</v>
      </c>
      <c r="F22" s="14">
        <v>0</v>
      </c>
      <c r="G22" s="15">
        <f t="shared" si="4"/>
        <v>0</v>
      </c>
      <c r="H22" s="7">
        <v>0</v>
      </c>
      <c r="I22" s="8">
        <f t="shared" si="0"/>
        <v>0</v>
      </c>
      <c r="J22" s="14">
        <v>0</v>
      </c>
      <c r="K22" s="15">
        <f t="shared" si="5"/>
        <v>0</v>
      </c>
      <c r="L22" s="4">
        <v>0</v>
      </c>
      <c r="M22" s="8">
        <f t="shared" si="1"/>
        <v>0</v>
      </c>
      <c r="O22" s="4">
        <v>0</v>
      </c>
      <c r="P22" s="8">
        <f t="shared" si="2"/>
        <v>0</v>
      </c>
      <c r="Q22">
        <v>3.5421969999999998</v>
      </c>
      <c r="R22" s="2">
        <f t="shared" si="3"/>
        <v>10.442572999999999</v>
      </c>
    </row>
    <row r="23" spans="5:18" x14ac:dyDescent="0.25">
      <c r="E23">
        <v>0.104713</v>
      </c>
      <c r="F23" s="14">
        <v>0</v>
      </c>
      <c r="G23" s="15">
        <f t="shared" si="4"/>
        <v>0</v>
      </c>
      <c r="H23" s="7">
        <v>0</v>
      </c>
      <c r="I23" s="8">
        <f t="shared" si="0"/>
        <v>0</v>
      </c>
      <c r="J23" s="14">
        <v>0</v>
      </c>
      <c r="K23" s="15">
        <f t="shared" si="5"/>
        <v>0</v>
      </c>
      <c r="L23" s="4">
        <v>0</v>
      </c>
      <c r="M23" s="8">
        <f t="shared" si="1"/>
        <v>0</v>
      </c>
      <c r="O23" s="4">
        <v>0</v>
      </c>
      <c r="P23" s="8">
        <f t="shared" si="2"/>
        <v>0</v>
      </c>
      <c r="Q23">
        <v>4.2799490000000002</v>
      </c>
      <c r="R23" s="2">
        <f t="shared" si="3"/>
        <v>14.722522</v>
      </c>
    </row>
    <row r="24" spans="5:18" x14ac:dyDescent="0.25">
      <c r="E24">
        <v>0.120226</v>
      </c>
      <c r="F24" s="14">
        <v>0</v>
      </c>
      <c r="G24" s="15">
        <f t="shared" si="4"/>
        <v>0</v>
      </c>
      <c r="H24" s="7">
        <v>0</v>
      </c>
      <c r="I24" s="8">
        <f t="shared" si="0"/>
        <v>0</v>
      </c>
      <c r="J24" s="14">
        <v>0</v>
      </c>
      <c r="K24" s="15">
        <f t="shared" si="5"/>
        <v>0</v>
      </c>
      <c r="L24" s="4">
        <v>0</v>
      </c>
      <c r="M24" s="8">
        <f t="shared" si="1"/>
        <v>0</v>
      </c>
      <c r="O24" s="4">
        <v>0</v>
      </c>
      <c r="P24" s="8">
        <f t="shared" si="2"/>
        <v>0</v>
      </c>
      <c r="Q24">
        <v>4.847906</v>
      </c>
      <c r="R24" s="2">
        <f t="shared" si="3"/>
        <v>19.570428</v>
      </c>
    </row>
    <row r="25" spans="5:18" x14ac:dyDescent="0.25">
      <c r="E25">
        <v>0.13803799999999999</v>
      </c>
      <c r="F25" s="14">
        <v>0</v>
      </c>
      <c r="G25" s="15">
        <f t="shared" si="4"/>
        <v>0</v>
      </c>
      <c r="H25" s="7">
        <v>0</v>
      </c>
      <c r="I25" s="8">
        <f t="shared" si="0"/>
        <v>0</v>
      </c>
      <c r="J25" s="14">
        <v>0</v>
      </c>
      <c r="K25" s="15">
        <f t="shared" si="5"/>
        <v>0</v>
      </c>
      <c r="L25" s="4">
        <v>0</v>
      </c>
      <c r="M25" s="8">
        <f t="shared" si="1"/>
        <v>0</v>
      </c>
      <c r="O25" s="4">
        <v>0</v>
      </c>
      <c r="P25" s="8">
        <f t="shared" si="2"/>
        <v>0</v>
      </c>
      <c r="Q25">
        <v>5.1967100000000004</v>
      </c>
      <c r="R25" s="2">
        <f t="shared" si="3"/>
        <v>24.767137999999999</v>
      </c>
    </row>
    <row r="26" spans="5:18" x14ac:dyDescent="0.25">
      <c r="E26">
        <v>0.15848899999999999</v>
      </c>
      <c r="F26" s="14">
        <v>0</v>
      </c>
      <c r="G26" s="15">
        <f t="shared" si="4"/>
        <v>0</v>
      </c>
      <c r="H26" s="7">
        <v>0</v>
      </c>
      <c r="I26" s="8">
        <f t="shared" si="0"/>
        <v>0</v>
      </c>
      <c r="J26" s="14">
        <v>0</v>
      </c>
      <c r="K26" s="15">
        <f t="shared" si="5"/>
        <v>0</v>
      </c>
      <c r="L26" s="4">
        <v>0</v>
      </c>
      <c r="M26" s="8">
        <f t="shared" si="1"/>
        <v>0</v>
      </c>
      <c r="O26" s="4">
        <v>0</v>
      </c>
      <c r="P26" s="8">
        <f t="shared" si="2"/>
        <v>0</v>
      </c>
      <c r="Q26">
        <v>5.3003710000000002</v>
      </c>
      <c r="R26" s="2">
        <f t="shared" si="3"/>
        <v>30.067509000000001</v>
      </c>
    </row>
    <row r="27" spans="5:18" x14ac:dyDescent="0.25">
      <c r="E27">
        <v>0.18196999999999999</v>
      </c>
      <c r="F27" s="14">
        <v>0</v>
      </c>
      <c r="G27" s="15">
        <f t="shared" si="4"/>
        <v>0</v>
      </c>
      <c r="H27" s="7">
        <v>0</v>
      </c>
      <c r="I27" s="8">
        <f t="shared" si="0"/>
        <v>0</v>
      </c>
      <c r="J27" s="14">
        <v>0</v>
      </c>
      <c r="K27" s="15">
        <f t="shared" si="5"/>
        <v>0</v>
      </c>
      <c r="L27" s="4">
        <v>0</v>
      </c>
      <c r="M27" s="8">
        <f t="shared" si="1"/>
        <v>0</v>
      </c>
      <c r="O27" s="4">
        <v>0</v>
      </c>
      <c r="P27" s="8">
        <f t="shared" si="2"/>
        <v>0</v>
      </c>
      <c r="Q27">
        <v>5.1734369999999998</v>
      </c>
      <c r="R27" s="2">
        <f t="shared" si="3"/>
        <v>35.240946000000001</v>
      </c>
    </row>
    <row r="28" spans="5:18" x14ac:dyDescent="0.25">
      <c r="E28">
        <v>0.20893</v>
      </c>
      <c r="F28" s="14">
        <v>0</v>
      </c>
      <c r="G28" s="15">
        <f t="shared" si="4"/>
        <v>0</v>
      </c>
      <c r="H28" s="7">
        <v>0</v>
      </c>
      <c r="I28" s="8">
        <f t="shared" si="0"/>
        <v>0</v>
      </c>
      <c r="J28" s="14">
        <v>0</v>
      </c>
      <c r="K28" s="15">
        <f t="shared" si="5"/>
        <v>0</v>
      </c>
      <c r="L28" s="4">
        <v>0</v>
      </c>
      <c r="M28" s="8">
        <f t="shared" si="1"/>
        <v>0</v>
      </c>
      <c r="O28" s="4">
        <v>0</v>
      </c>
      <c r="P28" s="8">
        <f t="shared" si="2"/>
        <v>0</v>
      </c>
      <c r="Q28">
        <v>4.864859</v>
      </c>
      <c r="R28" s="2">
        <f t="shared" si="3"/>
        <v>40.105805000000004</v>
      </c>
    </row>
    <row r="29" spans="5:18" x14ac:dyDescent="0.25">
      <c r="E29">
        <v>0.23988300000000001</v>
      </c>
      <c r="F29" s="14">
        <v>0</v>
      </c>
      <c r="G29" s="15">
        <f t="shared" si="4"/>
        <v>0</v>
      </c>
      <c r="H29" s="7">
        <v>0</v>
      </c>
      <c r="I29" s="8">
        <f t="shared" si="0"/>
        <v>0</v>
      </c>
      <c r="J29" s="14">
        <v>0</v>
      </c>
      <c r="K29" s="15">
        <f t="shared" si="5"/>
        <v>0</v>
      </c>
      <c r="L29" s="4">
        <v>0</v>
      </c>
      <c r="M29" s="8">
        <f t="shared" si="1"/>
        <v>0</v>
      </c>
      <c r="O29" s="4">
        <v>0</v>
      </c>
      <c r="P29" s="8">
        <f t="shared" si="2"/>
        <v>0</v>
      </c>
      <c r="Q29">
        <v>4.4462450000000002</v>
      </c>
      <c r="R29" s="2">
        <f t="shared" si="3"/>
        <v>44.552050000000001</v>
      </c>
    </row>
    <row r="30" spans="5:18" x14ac:dyDescent="0.25">
      <c r="E30">
        <v>0.27542299999999997</v>
      </c>
      <c r="F30" s="14">
        <v>0</v>
      </c>
      <c r="G30" s="15">
        <f t="shared" si="4"/>
        <v>0</v>
      </c>
      <c r="H30" s="7">
        <v>0</v>
      </c>
      <c r="I30" s="8">
        <f t="shared" si="0"/>
        <v>0</v>
      </c>
      <c r="J30" s="14">
        <v>0</v>
      </c>
      <c r="K30" s="15">
        <f t="shared" si="5"/>
        <v>0</v>
      </c>
      <c r="L30" s="4">
        <v>0</v>
      </c>
      <c r="M30" s="8">
        <f t="shared" si="1"/>
        <v>0</v>
      </c>
      <c r="O30" s="4">
        <v>0</v>
      </c>
      <c r="P30" s="8">
        <f t="shared" si="2"/>
        <v>0</v>
      </c>
      <c r="Q30">
        <v>3.9768469999999998</v>
      </c>
      <c r="R30" s="2">
        <f t="shared" si="3"/>
        <v>48.528897000000001</v>
      </c>
    </row>
    <row r="31" spans="5:18" x14ac:dyDescent="0.25">
      <c r="E31">
        <v>0.31622800000000001</v>
      </c>
      <c r="F31" s="14">
        <v>0</v>
      </c>
      <c r="G31" s="15">
        <f t="shared" si="4"/>
        <v>0</v>
      </c>
      <c r="H31" s="7">
        <v>0</v>
      </c>
      <c r="I31" s="8">
        <f t="shared" si="0"/>
        <v>0</v>
      </c>
      <c r="J31" s="14">
        <v>0</v>
      </c>
      <c r="K31" s="15">
        <f t="shared" si="5"/>
        <v>0</v>
      </c>
      <c r="L31" s="4">
        <v>0</v>
      </c>
      <c r="M31" s="8">
        <f t="shared" si="1"/>
        <v>0</v>
      </c>
      <c r="O31" s="4">
        <v>0</v>
      </c>
      <c r="P31" s="8">
        <f t="shared" si="2"/>
        <v>0</v>
      </c>
      <c r="Q31">
        <v>3.4973260000000002</v>
      </c>
      <c r="R31" s="2">
        <f t="shared" si="3"/>
        <v>52.026223000000002</v>
      </c>
    </row>
    <row r="32" spans="5:18" x14ac:dyDescent="0.25">
      <c r="E32">
        <v>0.36307800000000001</v>
      </c>
      <c r="F32" s="14">
        <v>0</v>
      </c>
      <c r="G32" s="15">
        <f t="shared" si="4"/>
        <v>0</v>
      </c>
      <c r="H32" s="7">
        <v>0</v>
      </c>
      <c r="I32" s="8">
        <f t="shared" si="0"/>
        <v>0</v>
      </c>
      <c r="J32" s="14">
        <v>0</v>
      </c>
      <c r="K32" s="15">
        <f t="shared" si="5"/>
        <v>0</v>
      </c>
      <c r="L32" s="4">
        <v>0</v>
      </c>
      <c r="M32" s="8">
        <f t="shared" si="1"/>
        <v>0</v>
      </c>
      <c r="O32" s="4">
        <v>0</v>
      </c>
      <c r="P32" s="8">
        <f t="shared" si="2"/>
        <v>0</v>
      </c>
      <c r="Q32">
        <v>3.0047199999999998</v>
      </c>
      <c r="R32" s="2">
        <f t="shared" si="3"/>
        <v>55.030943000000001</v>
      </c>
    </row>
    <row r="33" spans="5:18" x14ac:dyDescent="0.25">
      <c r="E33">
        <v>0.41686899999999999</v>
      </c>
      <c r="F33" s="14">
        <v>0</v>
      </c>
      <c r="G33" s="15">
        <f t="shared" si="4"/>
        <v>0</v>
      </c>
      <c r="H33" s="7">
        <v>0</v>
      </c>
      <c r="I33" s="8">
        <f t="shared" si="0"/>
        <v>0</v>
      </c>
      <c r="J33" s="14">
        <v>0</v>
      </c>
      <c r="K33" s="15">
        <f t="shared" si="5"/>
        <v>0</v>
      </c>
      <c r="L33" s="4">
        <v>0</v>
      </c>
      <c r="M33" s="8">
        <f t="shared" si="1"/>
        <v>0</v>
      </c>
      <c r="O33" s="4">
        <v>0</v>
      </c>
      <c r="P33" s="8">
        <f t="shared" si="2"/>
        <v>0</v>
      </c>
      <c r="Q33">
        <v>2.503304</v>
      </c>
      <c r="R33" s="2">
        <f t="shared" si="3"/>
        <v>57.534247000000001</v>
      </c>
    </row>
    <row r="34" spans="5:18" x14ac:dyDescent="0.25">
      <c r="E34">
        <v>0.47863</v>
      </c>
      <c r="F34" s="14">
        <v>0</v>
      </c>
      <c r="G34" s="15">
        <f t="shared" si="4"/>
        <v>0</v>
      </c>
      <c r="H34" s="7">
        <v>0</v>
      </c>
      <c r="I34" s="8">
        <f t="shared" si="0"/>
        <v>0</v>
      </c>
      <c r="J34" s="14">
        <v>0</v>
      </c>
      <c r="K34" s="15">
        <f t="shared" si="5"/>
        <v>0</v>
      </c>
      <c r="L34" s="4">
        <v>0</v>
      </c>
      <c r="M34" s="8">
        <f t="shared" si="1"/>
        <v>0</v>
      </c>
      <c r="O34" s="4">
        <v>0</v>
      </c>
      <c r="P34" s="8">
        <f t="shared" si="2"/>
        <v>0</v>
      </c>
      <c r="Q34">
        <v>1.9869060000000001</v>
      </c>
      <c r="R34" s="2">
        <f t="shared" si="3"/>
        <v>59.521152999999998</v>
      </c>
    </row>
    <row r="35" spans="5:18" x14ac:dyDescent="0.25">
      <c r="E35">
        <v>0.54954099999999995</v>
      </c>
      <c r="F35" s="14">
        <v>0</v>
      </c>
      <c r="G35" s="15">
        <f t="shared" si="4"/>
        <v>0</v>
      </c>
      <c r="H35" s="7">
        <v>0</v>
      </c>
      <c r="I35" s="8">
        <f t="shared" si="0"/>
        <v>0</v>
      </c>
      <c r="J35" s="14">
        <v>0</v>
      </c>
      <c r="K35" s="15">
        <f t="shared" si="5"/>
        <v>0</v>
      </c>
      <c r="L35" s="4">
        <v>0</v>
      </c>
      <c r="M35" s="8">
        <f t="shared" si="1"/>
        <v>0</v>
      </c>
      <c r="O35" s="4">
        <v>0</v>
      </c>
      <c r="P35" s="8">
        <f t="shared" si="2"/>
        <v>0</v>
      </c>
      <c r="Q35">
        <v>1.489563</v>
      </c>
      <c r="R35" s="2">
        <f t="shared" si="3"/>
        <v>61.010715999999995</v>
      </c>
    </row>
    <row r="36" spans="5:18" x14ac:dyDescent="0.25">
      <c r="E36">
        <v>0.63095699999999999</v>
      </c>
      <c r="F36" s="14">
        <v>0</v>
      </c>
      <c r="G36" s="15">
        <f t="shared" si="4"/>
        <v>0</v>
      </c>
      <c r="H36" s="7">
        <v>0</v>
      </c>
      <c r="I36" s="8">
        <f t="shared" si="0"/>
        <v>0</v>
      </c>
      <c r="J36" s="14">
        <v>0</v>
      </c>
      <c r="K36" s="15">
        <f t="shared" si="5"/>
        <v>0</v>
      </c>
      <c r="L36" s="4">
        <v>0</v>
      </c>
      <c r="M36" s="8">
        <f t="shared" si="1"/>
        <v>0</v>
      </c>
      <c r="O36" s="4">
        <v>0</v>
      </c>
      <c r="P36" s="8">
        <f t="shared" si="2"/>
        <v>0</v>
      </c>
      <c r="Q36">
        <v>1.030775</v>
      </c>
      <c r="R36" s="2">
        <f t="shared" si="3"/>
        <v>62.041490999999994</v>
      </c>
    </row>
    <row r="37" spans="5:18" x14ac:dyDescent="0.25">
      <c r="E37">
        <v>0.72443599999999997</v>
      </c>
      <c r="F37" s="14">
        <v>0</v>
      </c>
      <c r="G37" s="15">
        <f t="shared" si="4"/>
        <v>0</v>
      </c>
      <c r="H37" s="7">
        <v>0</v>
      </c>
      <c r="I37" s="8">
        <f t="shared" si="0"/>
        <v>0</v>
      </c>
      <c r="J37" s="14">
        <v>0</v>
      </c>
      <c r="K37" s="15">
        <f t="shared" si="5"/>
        <v>0</v>
      </c>
      <c r="L37" s="4">
        <v>0</v>
      </c>
      <c r="M37" s="8">
        <f t="shared" si="1"/>
        <v>0</v>
      </c>
      <c r="O37" s="4">
        <v>0</v>
      </c>
      <c r="P37" s="8">
        <f t="shared" si="2"/>
        <v>0</v>
      </c>
      <c r="Q37">
        <v>0.65686299999999997</v>
      </c>
      <c r="R37" s="2">
        <f t="shared" si="3"/>
        <v>62.698353999999995</v>
      </c>
    </row>
    <row r="38" spans="5:18" x14ac:dyDescent="0.25">
      <c r="E38">
        <v>0.83176399999999995</v>
      </c>
      <c r="F38" s="14">
        <v>0</v>
      </c>
      <c r="G38" s="15">
        <f t="shared" si="4"/>
        <v>0</v>
      </c>
      <c r="H38" s="7">
        <v>0</v>
      </c>
      <c r="I38" s="8">
        <f t="shared" si="0"/>
        <v>0</v>
      </c>
      <c r="J38" s="14">
        <v>0</v>
      </c>
      <c r="K38" s="15">
        <f t="shared" si="5"/>
        <v>0</v>
      </c>
      <c r="L38" s="4">
        <v>0</v>
      </c>
      <c r="M38" s="8">
        <f t="shared" si="1"/>
        <v>0</v>
      </c>
      <c r="O38" s="4">
        <v>0</v>
      </c>
      <c r="P38" s="8">
        <f t="shared" si="2"/>
        <v>0</v>
      </c>
      <c r="Q38">
        <v>0.354209</v>
      </c>
      <c r="R38" s="2">
        <f t="shared" si="3"/>
        <v>63.052562999999992</v>
      </c>
    </row>
    <row r="39" spans="5:18" x14ac:dyDescent="0.25">
      <c r="E39">
        <v>0.95499299999999998</v>
      </c>
      <c r="F39" s="14">
        <v>0</v>
      </c>
      <c r="G39" s="15">
        <f t="shared" si="4"/>
        <v>0</v>
      </c>
      <c r="H39" s="7">
        <v>0</v>
      </c>
      <c r="I39" s="8">
        <f t="shared" si="0"/>
        <v>0</v>
      </c>
      <c r="J39" s="14">
        <v>0</v>
      </c>
      <c r="K39" s="15">
        <f t="shared" si="5"/>
        <v>0</v>
      </c>
      <c r="L39" s="4">
        <v>0</v>
      </c>
      <c r="M39" s="8">
        <f t="shared" si="1"/>
        <v>0</v>
      </c>
      <c r="O39" s="4">
        <v>0</v>
      </c>
      <c r="P39" s="8">
        <f t="shared" si="2"/>
        <v>0</v>
      </c>
      <c r="Q39">
        <v>0.18906200000000001</v>
      </c>
      <c r="R39" s="2">
        <f t="shared" si="3"/>
        <v>63.241624999999992</v>
      </c>
    </row>
    <row r="40" spans="5:18" x14ac:dyDescent="0.25">
      <c r="E40">
        <v>1.0964780000000001</v>
      </c>
      <c r="F40" s="14">
        <v>0</v>
      </c>
      <c r="G40" s="15">
        <f t="shared" si="4"/>
        <v>0</v>
      </c>
      <c r="H40" s="7">
        <v>0</v>
      </c>
      <c r="I40" s="8">
        <f t="shared" ref="I40:I71" si="6">I39+H40</f>
        <v>0</v>
      </c>
      <c r="J40" s="14">
        <v>0</v>
      </c>
      <c r="K40" s="15">
        <f t="shared" si="5"/>
        <v>0</v>
      </c>
      <c r="L40" s="4">
        <v>0</v>
      </c>
      <c r="M40" s="8">
        <f t="shared" ref="M40:M71" si="7">M39+L40</f>
        <v>0</v>
      </c>
      <c r="O40" s="4">
        <v>0</v>
      </c>
      <c r="P40" s="8">
        <f t="shared" ref="P40:P71" si="8">P39+O40</f>
        <v>0</v>
      </c>
      <c r="Q40">
        <v>0.14433499999999999</v>
      </c>
      <c r="R40" s="2">
        <f t="shared" ref="R40:R71" si="9">R39+Q40</f>
        <v>63.38595999999999</v>
      </c>
    </row>
    <row r="41" spans="5:18" x14ac:dyDescent="0.25">
      <c r="E41">
        <v>1.2589250000000001</v>
      </c>
      <c r="F41" s="14">
        <v>0</v>
      </c>
      <c r="G41" s="15">
        <f t="shared" si="4"/>
        <v>0</v>
      </c>
      <c r="H41" s="7">
        <v>0</v>
      </c>
      <c r="I41" s="8">
        <f t="shared" si="6"/>
        <v>0</v>
      </c>
      <c r="J41" s="14">
        <v>0</v>
      </c>
      <c r="K41" s="15">
        <f t="shared" si="5"/>
        <v>0</v>
      </c>
      <c r="L41" s="4">
        <v>0</v>
      </c>
      <c r="M41" s="8">
        <f t="shared" si="7"/>
        <v>0</v>
      </c>
      <c r="O41" s="4">
        <v>0</v>
      </c>
      <c r="P41" s="8">
        <f t="shared" si="8"/>
        <v>0</v>
      </c>
      <c r="Q41">
        <v>0.14010400000000001</v>
      </c>
      <c r="R41" s="2">
        <f t="shared" si="9"/>
        <v>63.526063999999991</v>
      </c>
    </row>
    <row r="42" spans="5:18" x14ac:dyDescent="0.25">
      <c r="E42">
        <v>1.4454400000000001</v>
      </c>
      <c r="F42" s="14">
        <v>0</v>
      </c>
      <c r="G42" s="15">
        <f t="shared" si="4"/>
        <v>0</v>
      </c>
      <c r="H42" s="7">
        <v>0</v>
      </c>
      <c r="I42" s="8">
        <f t="shared" si="6"/>
        <v>0</v>
      </c>
      <c r="J42" s="14">
        <v>0</v>
      </c>
      <c r="K42" s="15">
        <f t="shared" si="5"/>
        <v>0</v>
      </c>
      <c r="L42" s="4">
        <v>0</v>
      </c>
      <c r="M42" s="8">
        <f t="shared" si="7"/>
        <v>0</v>
      </c>
      <c r="O42" s="4">
        <v>0</v>
      </c>
      <c r="P42" s="8">
        <f t="shared" si="8"/>
        <v>0</v>
      </c>
      <c r="Q42">
        <v>0.193021</v>
      </c>
      <c r="R42" s="2">
        <f t="shared" si="9"/>
        <v>63.719084999999993</v>
      </c>
    </row>
    <row r="43" spans="5:18" x14ac:dyDescent="0.25">
      <c r="E43">
        <v>1.6595869999999999</v>
      </c>
      <c r="F43" s="14">
        <v>0</v>
      </c>
      <c r="G43" s="15">
        <f t="shared" si="4"/>
        <v>0</v>
      </c>
      <c r="H43" s="7">
        <v>0</v>
      </c>
      <c r="I43" s="8">
        <f t="shared" si="6"/>
        <v>0</v>
      </c>
      <c r="J43" s="14">
        <v>0</v>
      </c>
      <c r="K43" s="15">
        <f t="shared" si="5"/>
        <v>0</v>
      </c>
      <c r="L43" s="4">
        <v>0</v>
      </c>
      <c r="M43" s="8">
        <f t="shared" si="7"/>
        <v>0</v>
      </c>
      <c r="O43" s="4">
        <v>1.0725E-2</v>
      </c>
      <c r="P43" s="8">
        <f t="shared" si="8"/>
        <v>1.0725E-2</v>
      </c>
      <c r="Q43">
        <v>0.34112300000000001</v>
      </c>
      <c r="R43" s="2">
        <f t="shared" si="9"/>
        <v>64.060207999999989</v>
      </c>
    </row>
    <row r="44" spans="5:18" ht="15.75" thickBot="1" x14ac:dyDescent="0.3">
      <c r="E44" s="18">
        <v>1.9054610000000001</v>
      </c>
      <c r="F44" s="16">
        <v>5.9179999999999996E-3</v>
      </c>
      <c r="G44" s="17">
        <f t="shared" si="4"/>
        <v>5.9179999999999996E-3</v>
      </c>
      <c r="H44" s="9">
        <v>5.9279999999999999E-2</v>
      </c>
      <c r="I44" s="10">
        <f t="shared" si="6"/>
        <v>5.9279999999999999E-2</v>
      </c>
      <c r="J44" s="16">
        <v>0</v>
      </c>
      <c r="K44" s="17">
        <f t="shared" si="5"/>
        <v>0</v>
      </c>
      <c r="L44" s="19">
        <v>0</v>
      </c>
      <c r="M44" s="10">
        <f t="shared" si="7"/>
        <v>0</v>
      </c>
      <c r="O44" s="19">
        <v>0.14690800000000001</v>
      </c>
      <c r="P44" s="10">
        <f t="shared" si="8"/>
        <v>0.15763300000000002</v>
      </c>
      <c r="Q44" s="18">
        <v>0.51776599999999995</v>
      </c>
      <c r="R44" s="3">
        <f t="shared" si="9"/>
        <v>64.577973999999983</v>
      </c>
    </row>
    <row r="45" spans="5:18" x14ac:dyDescent="0.25">
      <c r="E45">
        <v>2.1877620000000002</v>
      </c>
      <c r="F45" s="14">
        <v>0.41586299999999998</v>
      </c>
      <c r="G45" s="15">
        <f t="shared" si="4"/>
        <v>0.42178099999999996</v>
      </c>
      <c r="H45" s="7">
        <v>0.22540099999999999</v>
      </c>
      <c r="I45" s="8">
        <f t="shared" si="6"/>
        <v>0.28468099999999996</v>
      </c>
      <c r="J45" s="14">
        <v>0.131272</v>
      </c>
      <c r="K45" s="15">
        <f t="shared" si="5"/>
        <v>0.131272</v>
      </c>
      <c r="L45" s="4">
        <v>0.197271</v>
      </c>
      <c r="M45" s="8">
        <f t="shared" si="7"/>
        <v>0.197271</v>
      </c>
      <c r="O45" s="4">
        <v>0.57010099999999997</v>
      </c>
      <c r="P45" s="8">
        <f t="shared" si="8"/>
        <v>0.72773399999999999</v>
      </c>
      <c r="Q45">
        <v>0.69434600000000002</v>
      </c>
      <c r="R45" s="2">
        <f t="shared" si="9"/>
        <v>65.272319999999979</v>
      </c>
    </row>
    <row r="46" spans="5:18" x14ac:dyDescent="0.25">
      <c r="E46">
        <v>2.5118860000000001</v>
      </c>
      <c r="F46" s="14">
        <v>0.81276999999999999</v>
      </c>
      <c r="G46" s="15">
        <f t="shared" si="4"/>
        <v>1.234551</v>
      </c>
      <c r="H46" s="7">
        <v>0.37397900000000001</v>
      </c>
      <c r="I46" s="8">
        <f t="shared" si="6"/>
        <v>0.65866000000000002</v>
      </c>
      <c r="J46" s="14">
        <v>0.53136399999999995</v>
      </c>
      <c r="K46" s="15">
        <f t="shared" si="5"/>
        <v>0.662636</v>
      </c>
      <c r="L46" s="4">
        <v>0.36029699999999998</v>
      </c>
      <c r="M46" s="8">
        <f t="shared" si="7"/>
        <v>0.55756799999999995</v>
      </c>
      <c r="O46" s="4">
        <v>0.97835099999999997</v>
      </c>
      <c r="P46" s="8">
        <f t="shared" si="8"/>
        <v>1.7060849999999999</v>
      </c>
      <c r="Q46">
        <v>0.864618</v>
      </c>
      <c r="R46" s="2">
        <f t="shared" si="9"/>
        <v>66.136937999999972</v>
      </c>
    </row>
    <row r="47" spans="5:18" x14ac:dyDescent="0.25">
      <c r="E47">
        <v>2.8840309999999998</v>
      </c>
      <c r="F47" s="14">
        <v>1.214987</v>
      </c>
      <c r="G47" s="15">
        <f t="shared" si="4"/>
        <v>2.449538</v>
      </c>
      <c r="H47" s="7">
        <v>0.51796799999999998</v>
      </c>
      <c r="I47" s="8">
        <f t="shared" si="6"/>
        <v>1.176628</v>
      </c>
      <c r="J47" s="14">
        <v>1.0735859999999999</v>
      </c>
      <c r="K47" s="15">
        <f t="shared" si="5"/>
        <v>1.7362219999999999</v>
      </c>
      <c r="L47" s="4">
        <v>0.515513</v>
      </c>
      <c r="M47" s="8">
        <f t="shared" si="7"/>
        <v>1.073081</v>
      </c>
      <c r="O47" s="4">
        <v>1.379928</v>
      </c>
      <c r="P47" s="8">
        <f t="shared" si="8"/>
        <v>3.0860129999999999</v>
      </c>
      <c r="Q47">
        <v>1.023881</v>
      </c>
      <c r="R47" s="2">
        <f t="shared" si="9"/>
        <v>67.160818999999975</v>
      </c>
    </row>
    <row r="48" spans="5:18" x14ac:dyDescent="0.25">
      <c r="E48">
        <v>3.3113109999999999</v>
      </c>
      <c r="F48" s="14">
        <v>1.6170340000000001</v>
      </c>
      <c r="G48" s="15">
        <f t="shared" si="4"/>
        <v>4.0665719999999999</v>
      </c>
      <c r="H48" s="7">
        <v>0.65516200000000002</v>
      </c>
      <c r="I48" s="8">
        <f t="shared" si="6"/>
        <v>1.83179</v>
      </c>
      <c r="J48" s="14">
        <v>1.650908</v>
      </c>
      <c r="K48" s="15">
        <f t="shared" si="5"/>
        <v>3.38713</v>
      </c>
      <c r="L48" s="4">
        <v>0.66010400000000002</v>
      </c>
      <c r="M48" s="8">
        <f t="shared" si="7"/>
        <v>1.733185</v>
      </c>
      <c r="O48" s="4">
        <v>1.770203</v>
      </c>
      <c r="P48" s="8">
        <f t="shared" si="8"/>
        <v>4.8562159999999999</v>
      </c>
      <c r="Q48">
        <v>1.1613389999999999</v>
      </c>
      <c r="R48" s="2">
        <f t="shared" si="9"/>
        <v>68.322157999999973</v>
      </c>
    </row>
    <row r="49" spans="5:18" x14ac:dyDescent="0.25">
      <c r="E49">
        <v>3.8018939999999999</v>
      </c>
      <c r="F49" s="14">
        <v>1.9842169999999999</v>
      </c>
      <c r="G49" s="15">
        <f t="shared" si="4"/>
        <v>6.050789</v>
      </c>
      <c r="H49" s="7">
        <v>0.77349900000000005</v>
      </c>
      <c r="I49" s="8">
        <f t="shared" si="6"/>
        <v>2.605289</v>
      </c>
      <c r="J49" s="14">
        <v>2.2704029999999999</v>
      </c>
      <c r="K49" s="15">
        <f t="shared" si="5"/>
        <v>5.6575329999999999</v>
      </c>
      <c r="L49" s="4">
        <v>0.77868899999999996</v>
      </c>
      <c r="M49" s="8">
        <f t="shared" si="7"/>
        <v>2.5118739999999997</v>
      </c>
      <c r="O49" s="4">
        <v>2.122843</v>
      </c>
      <c r="P49" s="8">
        <f t="shared" si="8"/>
        <v>6.9790589999999995</v>
      </c>
      <c r="Q49">
        <v>1.2670779999999999</v>
      </c>
      <c r="R49" s="2">
        <f t="shared" si="9"/>
        <v>69.589235999999971</v>
      </c>
    </row>
    <row r="50" spans="5:18" x14ac:dyDescent="0.25">
      <c r="E50">
        <v>4.3651580000000001</v>
      </c>
      <c r="F50" s="14">
        <v>2.3148759999999999</v>
      </c>
      <c r="G50" s="15">
        <f t="shared" si="4"/>
        <v>8.3656649999999999</v>
      </c>
      <c r="H50" s="7">
        <v>0.87282300000000002</v>
      </c>
      <c r="I50" s="8">
        <f t="shared" si="6"/>
        <v>3.4781119999999999</v>
      </c>
      <c r="J50" s="14">
        <v>2.876271</v>
      </c>
      <c r="K50" s="15">
        <f t="shared" si="5"/>
        <v>8.5338039999999999</v>
      </c>
      <c r="L50" s="4">
        <v>0.87094199999999999</v>
      </c>
      <c r="M50" s="8">
        <f t="shared" si="7"/>
        <v>3.3828159999999996</v>
      </c>
      <c r="O50" s="4">
        <v>2.4334769999999999</v>
      </c>
      <c r="P50" s="8">
        <f t="shared" si="8"/>
        <v>9.4125359999999993</v>
      </c>
      <c r="Q50">
        <v>1.3344499999999999</v>
      </c>
      <c r="R50" s="2">
        <f t="shared" si="9"/>
        <v>70.923685999999975</v>
      </c>
    </row>
    <row r="51" spans="5:18" x14ac:dyDescent="0.25">
      <c r="E51">
        <v>5.0118720000000003</v>
      </c>
      <c r="F51" s="14">
        <v>2.615046</v>
      </c>
      <c r="G51" s="15">
        <f t="shared" si="4"/>
        <v>10.980710999999999</v>
      </c>
      <c r="H51" s="7">
        <v>0.956341</v>
      </c>
      <c r="I51" s="8">
        <f t="shared" si="6"/>
        <v>4.4344529999999995</v>
      </c>
      <c r="J51" s="14">
        <v>3.4691380000000001</v>
      </c>
      <c r="K51" s="15">
        <f t="shared" si="5"/>
        <v>12.002942000000001</v>
      </c>
      <c r="L51" s="4">
        <v>0.93766499999999997</v>
      </c>
      <c r="M51" s="8">
        <f t="shared" si="7"/>
        <v>4.3204809999999991</v>
      </c>
      <c r="O51" s="4">
        <v>2.7056429999999998</v>
      </c>
      <c r="P51" s="8">
        <f t="shared" si="8"/>
        <v>12.118179</v>
      </c>
      <c r="Q51">
        <v>1.3668340000000001</v>
      </c>
      <c r="R51" s="2">
        <f t="shared" si="9"/>
        <v>72.290519999999972</v>
      </c>
    </row>
    <row r="52" spans="5:18" x14ac:dyDescent="0.25">
      <c r="E52">
        <v>5.7543990000000003</v>
      </c>
      <c r="F52" s="14">
        <v>2.8977179999999998</v>
      </c>
      <c r="G52" s="15">
        <f t="shared" si="4"/>
        <v>13.878428999999999</v>
      </c>
      <c r="H52" s="7">
        <v>1.0311300000000001</v>
      </c>
      <c r="I52" s="8">
        <f t="shared" si="6"/>
        <v>5.4655829999999996</v>
      </c>
      <c r="J52" s="14">
        <v>4.0377130000000001</v>
      </c>
      <c r="K52" s="15">
        <f t="shared" si="5"/>
        <v>16.040655000000001</v>
      </c>
      <c r="L52" s="4">
        <v>0.98485999999999996</v>
      </c>
      <c r="M52" s="8">
        <f t="shared" si="7"/>
        <v>5.3053409999999994</v>
      </c>
      <c r="O52" s="4">
        <v>2.948931</v>
      </c>
      <c r="P52" s="8">
        <f t="shared" si="8"/>
        <v>15.06711</v>
      </c>
      <c r="Q52">
        <v>1.3750690000000001</v>
      </c>
      <c r="R52" s="2">
        <f t="shared" si="9"/>
        <v>73.665588999999969</v>
      </c>
    </row>
    <row r="53" spans="5:18" x14ac:dyDescent="0.25">
      <c r="E53">
        <v>6.6069339999999999</v>
      </c>
      <c r="F53" s="14">
        <v>3.1857259999999998</v>
      </c>
      <c r="G53" s="15">
        <f t="shared" si="4"/>
        <v>17.064155</v>
      </c>
      <c r="H53" s="7">
        <v>1.1074250000000001</v>
      </c>
      <c r="I53" s="8">
        <f t="shared" si="6"/>
        <v>6.5730079999999997</v>
      </c>
      <c r="J53" s="14">
        <v>4.5968989999999996</v>
      </c>
      <c r="K53" s="15">
        <f t="shared" si="5"/>
        <v>20.637554000000002</v>
      </c>
      <c r="L53" s="4">
        <v>1.021652</v>
      </c>
      <c r="M53" s="8">
        <f t="shared" si="7"/>
        <v>6.3269929999999999</v>
      </c>
      <c r="O53" s="4">
        <v>3.1827920000000001</v>
      </c>
      <c r="P53" s="8">
        <f t="shared" si="8"/>
        <v>18.249901999999999</v>
      </c>
      <c r="Q53">
        <v>1.37452</v>
      </c>
      <c r="R53" s="2">
        <f t="shared" si="9"/>
        <v>75.040108999999973</v>
      </c>
    </row>
    <row r="54" spans="5:18" x14ac:dyDescent="0.25">
      <c r="E54">
        <v>7.5857760000000001</v>
      </c>
      <c r="F54" s="14">
        <v>3.4867460000000001</v>
      </c>
      <c r="G54" s="15">
        <f t="shared" si="4"/>
        <v>20.550901</v>
      </c>
      <c r="H54" s="7">
        <v>1.1907920000000001</v>
      </c>
      <c r="I54" s="8">
        <f t="shared" si="6"/>
        <v>7.7637999999999998</v>
      </c>
      <c r="J54" s="14">
        <v>5.134404</v>
      </c>
      <c r="K54" s="15">
        <f t="shared" si="5"/>
        <v>25.771958000000001</v>
      </c>
      <c r="L54" s="4">
        <v>1.055113</v>
      </c>
      <c r="M54" s="8">
        <f t="shared" si="7"/>
        <v>7.3821060000000003</v>
      </c>
      <c r="O54" s="4">
        <v>3.4141170000000001</v>
      </c>
      <c r="P54" s="8">
        <f t="shared" si="8"/>
        <v>21.664019</v>
      </c>
      <c r="Q54">
        <v>1.377607</v>
      </c>
      <c r="R54" s="2">
        <f t="shared" si="9"/>
        <v>76.41771599999997</v>
      </c>
    </row>
    <row r="55" spans="5:18" x14ac:dyDescent="0.25">
      <c r="E55">
        <v>8.7096359999999997</v>
      </c>
      <c r="F55" s="14">
        <v>3.8149829999999998</v>
      </c>
      <c r="G55" s="15">
        <f t="shared" si="4"/>
        <v>24.365884000000001</v>
      </c>
      <c r="H55" s="7">
        <v>1.2873479999999999</v>
      </c>
      <c r="I55" s="8">
        <f t="shared" si="6"/>
        <v>9.0511479999999995</v>
      </c>
      <c r="J55" s="14">
        <v>5.6529870000000004</v>
      </c>
      <c r="K55" s="15">
        <f t="shared" si="5"/>
        <v>31.424945000000001</v>
      </c>
      <c r="L55" s="4">
        <v>1.0919460000000001</v>
      </c>
      <c r="M55" s="8">
        <f t="shared" si="7"/>
        <v>8.4740520000000004</v>
      </c>
      <c r="O55" s="4">
        <v>3.652209</v>
      </c>
      <c r="P55" s="8">
        <f t="shared" si="8"/>
        <v>25.316227999999999</v>
      </c>
      <c r="Q55">
        <v>1.3898870000000001</v>
      </c>
      <c r="R55" s="2">
        <f t="shared" si="9"/>
        <v>77.807602999999972</v>
      </c>
    </row>
    <row r="56" spans="5:18" x14ac:dyDescent="0.25">
      <c r="E56">
        <v>10</v>
      </c>
      <c r="F56" s="14">
        <v>4.16275</v>
      </c>
      <c r="G56" s="15">
        <f t="shared" si="4"/>
        <v>28.528634</v>
      </c>
      <c r="H56" s="7">
        <v>1.396104</v>
      </c>
      <c r="I56" s="8">
        <f t="shared" si="6"/>
        <v>10.447251999999999</v>
      </c>
      <c r="J56" s="14">
        <v>6.1201650000000001</v>
      </c>
      <c r="K56" s="15">
        <f t="shared" si="5"/>
        <v>37.545110000000001</v>
      </c>
      <c r="L56" s="4">
        <v>1.1368959999999999</v>
      </c>
      <c r="M56" s="8">
        <f t="shared" si="7"/>
        <v>9.6109480000000005</v>
      </c>
      <c r="O56" s="4">
        <v>3.8883009999999998</v>
      </c>
      <c r="P56" s="8">
        <f t="shared" si="8"/>
        <v>29.204528999999997</v>
      </c>
      <c r="Q56">
        <v>1.4100109999999999</v>
      </c>
      <c r="R56" s="2">
        <f t="shared" si="9"/>
        <v>79.217613999999969</v>
      </c>
    </row>
    <row r="57" spans="5:18" x14ac:dyDescent="0.25">
      <c r="E57">
        <v>11.481536</v>
      </c>
      <c r="F57" s="14">
        <v>4.5333410000000001</v>
      </c>
      <c r="G57" s="15">
        <f t="shared" si="4"/>
        <v>33.061975000000004</v>
      </c>
      <c r="H57" s="7">
        <v>1.519423</v>
      </c>
      <c r="I57" s="8">
        <f t="shared" si="6"/>
        <v>11.966674999999999</v>
      </c>
      <c r="J57" s="14">
        <v>6.5194419999999997</v>
      </c>
      <c r="K57" s="15">
        <f t="shared" si="5"/>
        <v>44.064551999999999</v>
      </c>
      <c r="L57" s="4">
        <v>1.1985110000000001</v>
      </c>
      <c r="M57" s="8">
        <f t="shared" si="7"/>
        <v>10.809459</v>
      </c>
      <c r="O57" s="4">
        <v>4.1213569999999997</v>
      </c>
      <c r="P57" s="8">
        <f t="shared" si="8"/>
        <v>33.325885999999997</v>
      </c>
      <c r="Q57">
        <v>1.4325950000000001</v>
      </c>
      <c r="R57" s="2">
        <f t="shared" si="9"/>
        <v>80.650208999999975</v>
      </c>
    </row>
    <row r="58" spans="5:18" x14ac:dyDescent="0.25">
      <c r="E58">
        <v>13.182567000000001</v>
      </c>
      <c r="F58" s="14">
        <v>4.9012450000000003</v>
      </c>
      <c r="G58" s="15">
        <f t="shared" si="4"/>
        <v>37.963220000000007</v>
      </c>
      <c r="H58" s="7">
        <v>1.6514549999999999</v>
      </c>
      <c r="I58" s="8">
        <f t="shared" si="6"/>
        <v>13.618129999999999</v>
      </c>
      <c r="J58" s="14">
        <v>6.8026210000000003</v>
      </c>
      <c r="K58" s="15">
        <f t="shared" si="5"/>
        <v>50.867173000000001</v>
      </c>
      <c r="L58" s="4">
        <v>1.2834399999999999</v>
      </c>
      <c r="M58" s="8">
        <f t="shared" si="7"/>
        <v>12.092899000000001</v>
      </c>
      <c r="O58" s="4">
        <v>4.3337969999999997</v>
      </c>
      <c r="P58" s="8">
        <f t="shared" si="8"/>
        <v>37.659682999999994</v>
      </c>
      <c r="Q58">
        <v>1.449047</v>
      </c>
      <c r="R58" s="2">
        <f t="shared" si="9"/>
        <v>82.099255999999968</v>
      </c>
    </row>
    <row r="59" spans="5:18" x14ac:dyDescent="0.25">
      <c r="E59">
        <v>15.135612</v>
      </c>
      <c r="F59" s="14">
        <v>5.2593379999999996</v>
      </c>
      <c r="G59" s="15">
        <f t="shared" si="4"/>
        <v>43.222558000000006</v>
      </c>
      <c r="H59" s="7">
        <v>1.7946629999999999</v>
      </c>
      <c r="I59" s="8">
        <f t="shared" si="6"/>
        <v>15.412792999999999</v>
      </c>
      <c r="J59" s="14">
        <v>6.9428150000000004</v>
      </c>
      <c r="K59" s="15">
        <f t="shared" si="5"/>
        <v>57.809988000000004</v>
      </c>
      <c r="L59" s="4">
        <v>1.4055280000000001</v>
      </c>
      <c r="M59" s="8">
        <f t="shared" si="7"/>
        <v>13.498427000000001</v>
      </c>
      <c r="O59" s="4">
        <v>4.5229780000000002</v>
      </c>
      <c r="P59" s="8">
        <f t="shared" si="8"/>
        <v>42.182660999999996</v>
      </c>
      <c r="Q59">
        <v>1.4546060000000001</v>
      </c>
      <c r="R59" s="2">
        <f t="shared" si="9"/>
        <v>83.553861999999967</v>
      </c>
    </row>
    <row r="60" spans="5:18" x14ac:dyDescent="0.25">
      <c r="E60">
        <v>17.378008000000001</v>
      </c>
      <c r="F60" s="14">
        <v>5.5728590000000002</v>
      </c>
      <c r="G60" s="15">
        <f t="shared" si="4"/>
        <v>48.795417000000008</v>
      </c>
      <c r="H60" s="7">
        <v>1.9445870000000001</v>
      </c>
      <c r="I60" s="8">
        <f t="shared" si="6"/>
        <v>17.357379999999999</v>
      </c>
      <c r="J60" s="14">
        <v>6.9038279999999999</v>
      </c>
      <c r="K60" s="15">
        <f t="shared" si="5"/>
        <v>64.713816000000008</v>
      </c>
      <c r="L60" s="4">
        <v>1.5762240000000001</v>
      </c>
      <c r="M60" s="8">
        <f t="shared" si="7"/>
        <v>15.074651000000001</v>
      </c>
      <c r="O60" s="4">
        <v>4.6766740000000002</v>
      </c>
      <c r="P60" s="8">
        <f t="shared" si="8"/>
        <v>46.859334999999994</v>
      </c>
      <c r="Q60">
        <v>1.4457599999999999</v>
      </c>
      <c r="R60" s="2">
        <f t="shared" si="9"/>
        <v>84.99962199999996</v>
      </c>
    </row>
    <row r="61" spans="5:18" x14ac:dyDescent="0.25">
      <c r="E61">
        <v>19.952622999999999</v>
      </c>
      <c r="F61" s="14">
        <v>5.820678</v>
      </c>
      <c r="G61" s="15">
        <f t="shared" si="4"/>
        <v>54.616095000000008</v>
      </c>
      <c r="H61" s="7">
        <v>2.1055920000000001</v>
      </c>
      <c r="I61" s="8">
        <f t="shared" si="6"/>
        <v>19.462972000000001</v>
      </c>
      <c r="J61" s="14">
        <v>6.6632449999999999</v>
      </c>
      <c r="K61" s="15">
        <f t="shared" si="5"/>
        <v>71.377061000000012</v>
      </c>
      <c r="L61" s="4">
        <v>1.8144020000000001</v>
      </c>
      <c r="M61" s="8">
        <f t="shared" si="7"/>
        <v>16.889053000000001</v>
      </c>
      <c r="O61" s="4">
        <v>4.7926190000000002</v>
      </c>
      <c r="P61" s="8">
        <f t="shared" si="8"/>
        <v>51.651953999999996</v>
      </c>
      <c r="Q61">
        <v>1.421033</v>
      </c>
      <c r="R61" s="2">
        <f t="shared" si="9"/>
        <v>86.420654999999954</v>
      </c>
    </row>
    <row r="62" spans="5:18" x14ac:dyDescent="0.25">
      <c r="E62">
        <v>22.908677000000001</v>
      </c>
      <c r="F62" s="14">
        <v>5.9673059999999998</v>
      </c>
      <c r="G62" s="15">
        <f t="shared" si="4"/>
        <v>60.583401000000009</v>
      </c>
      <c r="H62" s="7">
        <v>2.277574</v>
      </c>
      <c r="I62" s="8">
        <f t="shared" si="6"/>
        <v>21.740546000000002</v>
      </c>
      <c r="J62" s="14">
        <v>6.2214600000000004</v>
      </c>
      <c r="K62" s="15">
        <f t="shared" si="5"/>
        <v>77.598521000000005</v>
      </c>
      <c r="L62" s="4">
        <v>2.1286580000000002</v>
      </c>
      <c r="M62" s="8">
        <f t="shared" si="7"/>
        <v>19.017711000000002</v>
      </c>
      <c r="O62" s="4">
        <v>4.8641480000000001</v>
      </c>
      <c r="P62" s="8">
        <f t="shared" si="8"/>
        <v>56.516101999999997</v>
      </c>
      <c r="Q62">
        <v>1.3818870000000001</v>
      </c>
      <c r="R62" s="2">
        <f t="shared" si="9"/>
        <v>87.80254199999996</v>
      </c>
    </row>
    <row r="63" spans="5:18" x14ac:dyDescent="0.25">
      <c r="E63">
        <v>26.302679999999999</v>
      </c>
      <c r="F63" s="14">
        <v>5.9857719999999999</v>
      </c>
      <c r="G63" s="15">
        <f t="shared" si="4"/>
        <v>66.569173000000006</v>
      </c>
      <c r="H63" s="7">
        <v>2.4688859999999999</v>
      </c>
      <c r="I63" s="8">
        <f t="shared" si="6"/>
        <v>24.209432000000003</v>
      </c>
      <c r="J63" s="14">
        <v>5.5881080000000001</v>
      </c>
      <c r="K63" s="15">
        <f t="shared" si="5"/>
        <v>83.186629000000011</v>
      </c>
      <c r="L63" s="4">
        <v>2.532762</v>
      </c>
      <c r="M63" s="8">
        <f t="shared" si="7"/>
        <v>21.550473000000004</v>
      </c>
      <c r="O63" s="4">
        <v>4.8884080000000001</v>
      </c>
      <c r="P63" s="8">
        <f t="shared" si="8"/>
        <v>61.404509999999995</v>
      </c>
      <c r="Q63">
        <v>1.329809</v>
      </c>
      <c r="R63" s="2">
        <f t="shared" si="9"/>
        <v>89.132350999999957</v>
      </c>
    </row>
    <row r="64" spans="5:18" x14ac:dyDescent="0.25">
      <c r="E64">
        <v>30.199517</v>
      </c>
      <c r="F64" s="14">
        <v>5.8520580000000004</v>
      </c>
      <c r="G64" s="15">
        <f t="shared" si="4"/>
        <v>72.421231000000006</v>
      </c>
      <c r="H64" s="7">
        <v>2.6838060000000001</v>
      </c>
      <c r="I64" s="8">
        <f t="shared" si="6"/>
        <v>26.893238000000004</v>
      </c>
      <c r="J64" s="14">
        <v>4.8091559999999998</v>
      </c>
      <c r="K64" s="15">
        <f t="shared" si="5"/>
        <v>87.995785000000012</v>
      </c>
      <c r="L64" s="4">
        <v>3.0206930000000001</v>
      </c>
      <c r="M64" s="8">
        <f t="shared" si="7"/>
        <v>24.571166000000005</v>
      </c>
      <c r="O64" s="4">
        <v>4.8593060000000001</v>
      </c>
      <c r="P64" s="8">
        <f t="shared" si="8"/>
        <v>66.263815999999991</v>
      </c>
      <c r="Q64">
        <v>1.2675909999999999</v>
      </c>
      <c r="R64" s="2">
        <f t="shared" si="9"/>
        <v>90.399941999999953</v>
      </c>
    </row>
    <row r="65" spans="2:18" x14ac:dyDescent="0.25">
      <c r="E65">
        <v>34.673684999999999</v>
      </c>
      <c r="F65" s="14">
        <v>5.5519150000000002</v>
      </c>
      <c r="G65" s="15">
        <f t="shared" si="4"/>
        <v>77.973146</v>
      </c>
      <c r="H65" s="7">
        <v>2.9324699999999999</v>
      </c>
      <c r="I65" s="8">
        <f t="shared" si="6"/>
        <v>29.825708000000002</v>
      </c>
      <c r="J65" s="14">
        <v>3.933414</v>
      </c>
      <c r="K65" s="15">
        <f t="shared" si="5"/>
        <v>91.929199000000011</v>
      </c>
      <c r="L65" s="4">
        <v>3.585223</v>
      </c>
      <c r="M65" s="8">
        <f t="shared" si="7"/>
        <v>28.156389000000004</v>
      </c>
      <c r="O65" s="4">
        <v>4.7694039999999998</v>
      </c>
      <c r="P65" s="8">
        <f t="shared" si="8"/>
        <v>71.033219999999986</v>
      </c>
      <c r="Q65">
        <v>1.1966209999999999</v>
      </c>
      <c r="R65" s="2">
        <f t="shared" si="9"/>
        <v>91.596562999999946</v>
      </c>
    </row>
    <row r="66" spans="2:18" x14ac:dyDescent="0.25">
      <c r="E66">
        <v>39.810716999999997</v>
      </c>
      <c r="F66" s="14">
        <v>5.0897079999999999</v>
      </c>
      <c r="G66" s="15">
        <f t="shared" si="4"/>
        <v>83.062854000000002</v>
      </c>
      <c r="H66" s="7">
        <v>3.2202169999999999</v>
      </c>
      <c r="I66" s="8">
        <f t="shared" si="6"/>
        <v>33.045925000000004</v>
      </c>
      <c r="J66" s="14">
        <v>3.0358890000000001</v>
      </c>
      <c r="K66" s="15">
        <f t="shared" si="5"/>
        <v>94.965088000000009</v>
      </c>
      <c r="L66" s="4">
        <v>4.1963280000000003</v>
      </c>
      <c r="M66" s="8">
        <f t="shared" si="7"/>
        <v>32.352717000000005</v>
      </c>
      <c r="O66" s="4">
        <v>4.6110379999999997</v>
      </c>
      <c r="P66" s="8">
        <f t="shared" si="8"/>
        <v>75.644257999999979</v>
      </c>
      <c r="Q66">
        <v>1.1194280000000001</v>
      </c>
      <c r="R66" s="2">
        <f t="shared" si="9"/>
        <v>92.715990999999946</v>
      </c>
    </row>
    <row r="67" spans="2:18" x14ac:dyDescent="0.25">
      <c r="E67">
        <v>45.708818999999998</v>
      </c>
      <c r="F67" s="14">
        <v>4.4842120000000003</v>
      </c>
      <c r="G67" s="15">
        <f t="shared" si="4"/>
        <v>87.547066000000001</v>
      </c>
      <c r="H67" s="7">
        <v>3.5522860000000001</v>
      </c>
      <c r="I67" s="8">
        <f t="shared" si="6"/>
        <v>36.598211000000006</v>
      </c>
      <c r="J67" s="14">
        <v>2.183532</v>
      </c>
      <c r="K67" s="15">
        <f t="shared" si="5"/>
        <v>97.148620000000008</v>
      </c>
      <c r="L67" s="4">
        <v>4.8169740000000001</v>
      </c>
      <c r="M67" s="8">
        <f t="shared" si="7"/>
        <v>37.169691000000007</v>
      </c>
      <c r="O67" s="4">
        <v>4.3754549999999997</v>
      </c>
      <c r="P67" s="8">
        <f t="shared" si="8"/>
        <v>80.019712999999982</v>
      </c>
      <c r="Q67">
        <v>1.037228</v>
      </c>
      <c r="R67" s="2">
        <f t="shared" si="9"/>
        <v>93.753218999999945</v>
      </c>
    </row>
    <row r="68" spans="2:18" x14ac:dyDescent="0.25">
      <c r="B68">
        <f>SUM(J45:J69)</f>
        <v>99.426851000000013</v>
      </c>
      <c r="E68">
        <v>52.480746000000003</v>
      </c>
      <c r="F68" s="14">
        <v>3.7741959999999999</v>
      </c>
      <c r="G68" s="15">
        <f t="shared" si="4"/>
        <v>91.321262000000004</v>
      </c>
      <c r="H68" s="7">
        <v>3.926822</v>
      </c>
      <c r="I68" s="8">
        <f t="shared" si="6"/>
        <v>40.525033000000008</v>
      </c>
      <c r="J68" s="14">
        <v>1.4377359999999999</v>
      </c>
      <c r="K68" s="15">
        <f t="shared" si="5"/>
        <v>98.586356000000009</v>
      </c>
      <c r="L68" s="4">
        <v>5.3963010000000002</v>
      </c>
      <c r="M68" s="8">
        <f t="shared" si="7"/>
        <v>42.565992000000008</v>
      </c>
      <c r="O68" s="4">
        <v>4.0573160000000001</v>
      </c>
      <c r="P68" s="8">
        <f t="shared" si="8"/>
        <v>84.077028999999982</v>
      </c>
      <c r="Q68">
        <v>0.95123400000000002</v>
      </c>
      <c r="R68" s="2">
        <f t="shared" si="9"/>
        <v>94.704452999999944</v>
      </c>
    </row>
    <row r="69" spans="2:18" ht="15.75" thickBot="1" x14ac:dyDescent="0.3">
      <c r="B69">
        <f>SUM(F45:F69)</f>
        <v>94.329582000000002</v>
      </c>
      <c r="E69" s="18">
        <v>60.255958999999997</v>
      </c>
      <c r="F69" s="16">
        <v>3.0142380000000002</v>
      </c>
      <c r="G69" s="17">
        <f t="shared" si="4"/>
        <v>94.33550000000001</v>
      </c>
      <c r="H69" s="9">
        <v>4.3332410000000001</v>
      </c>
      <c r="I69" s="10">
        <f t="shared" si="6"/>
        <v>44.858274000000009</v>
      </c>
      <c r="J69" s="16">
        <v>0.84049499999999999</v>
      </c>
      <c r="K69" s="17">
        <f t="shared" si="5"/>
        <v>99.426851000000013</v>
      </c>
      <c r="L69" s="19">
        <v>5.8776080000000004</v>
      </c>
      <c r="M69" s="10">
        <f t="shared" si="7"/>
        <v>48.443600000000011</v>
      </c>
      <c r="O69" s="19">
        <v>3.6582170000000001</v>
      </c>
      <c r="P69" s="10">
        <f t="shared" si="8"/>
        <v>87.735245999999975</v>
      </c>
      <c r="Q69" s="18">
        <v>0.86252799999999996</v>
      </c>
      <c r="R69" s="3">
        <f t="shared" si="9"/>
        <v>95.566980999999942</v>
      </c>
    </row>
    <row r="70" spans="2:18" x14ac:dyDescent="0.25">
      <c r="C70">
        <f>(G70-G69)/(E70-E69)</f>
        <v>0.25310687479010552</v>
      </c>
      <c r="E70">
        <v>69.183097000000004</v>
      </c>
      <c r="F70" s="14">
        <v>2.2595200000000002</v>
      </c>
      <c r="G70" s="15">
        <f t="shared" si="4"/>
        <v>96.595020000000005</v>
      </c>
      <c r="H70" s="7">
        <v>4.7544139999999997</v>
      </c>
      <c r="I70" s="8">
        <f t="shared" si="6"/>
        <v>49.612688000000006</v>
      </c>
      <c r="J70" s="14">
        <v>0.42076799999999998</v>
      </c>
      <c r="K70" s="15">
        <f t="shared" si="5"/>
        <v>99.847619000000009</v>
      </c>
      <c r="L70" s="4">
        <v>6.2103479999999998</v>
      </c>
      <c r="M70" s="8">
        <f t="shared" si="7"/>
        <v>54.653948000000014</v>
      </c>
      <c r="O70" s="4">
        <v>3.1864509999999999</v>
      </c>
      <c r="P70" s="8">
        <f t="shared" si="8"/>
        <v>90.92169699999998</v>
      </c>
      <c r="Q70">
        <v>0.77114000000000005</v>
      </c>
      <c r="R70" s="2">
        <f t="shared" si="9"/>
        <v>96.338120999999944</v>
      </c>
    </row>
    <row r="71" spans="2:18" x14ac:dyDescent="0.25">
      <c r="C71">
        <f>E69*C70+G69</f>
        <v>109.58669746997074</v>
      </c>
      <c r="E71">
        <v>79.432822999999999</v>
      </c>
      <c r="F71" s="14">
        <v>1.5746199999999999</v>
      </c>
      <c r="G71" s="15">
        <f t="shared" si="4"/>
        <v>98.169640000000001</v>
      </c>
      <c r="H71" s="7">
        <v>5.157724</v>
      </c>
      <c r="I71" s="8">
        <f t="shared" si="6"/>
        <v>54.770412000000007</v>
      </c>
      <c r="J71" s="14">
        <v>0.13056100000000001</v>
      </c>
      <c r="K71" s="15">
        <f t="shared" si="5"/>
        <v>99.978180000000009</v>
      </c>
      <c r="L71" s="4">
        <v>6.3497779999999997</v>
      </c>
      <c r="M71" s="8">
        <f t="shared" si="7"/>
        <v>61.003726000000015</v>
      </c>
      <c r="O71" s="4">
        <v>2.6679170000000001</v>
      </c>
      <c r="P71" s="8">
        <f t="shared" si="8"/>
        <v>93.589613999999983</v>
      </c>
      <c r="Q71">
        <v>0.68167900000000003</v>
      </c>
      <c r="R71" s="2">
        <f t="shared" si="9"/>
        <v>97.019799999999947</v>
      </c>
    </row>
    <row r="72" spans="2:18" x14ac:dyDescent="0.25">
      <c r="C72">
        <f>C70*G69</f>
        <v>23.876963586762002</v>
      </c>
      <c r="E72">
        <v>91.201083999999994</v>
      </c>
      <c r="F72" s="14">
        <v>0.98957899999999999</v>
      </c>
      <c r="G72" s="15">
        <f t="shared" si="4"/>
        <v>99.159219000000007</v>
      </c>
      <c r="H72" s="7">
        <v>5.5098380000000002</v>
      </c>
      <c r="I72" s="8">
        <f t="shared" ref="I72:I103" si="10">I71+H72</f>
        <v>60.280250000000009</v>
      </c>
      <c r="J72" s="14">
        <v>2.1819000000000002E-2</v>
      </c>
      <c r="K72" s="15">
        <f t="shared" si="5"/>
        <v>99.999999000000003</v>
      </c>
      <c r="L72" s="4">
        <v>6.2718350000000003</v>
      </c>
      <c r="M72" s="8">
        <f t="shared" ref="M72:M103" si="11">M71+L72</f>
        <v>67.27556100000001</v>
      </c>
      <c r="O72" s="4">
        <v>2.128123</v>
      </c>
      <c r="P72" s="8">
        <f t="shared" ref="P72:P103" si="12">P71+O72</f>
        <v>95.717736999999985</v>
      </c>
      <c r="Q72">
        <v>0.58087800000000001</v>
      </c>
      <c r="R72" s="2">
        <f t="shared" ref="R72:R103" si="13">R71+Q72</f>
        <v>97.600677999999945</v>
      </c>
    </row>
    <row r="73" spans="2:18" x14ac:dyDescent="0.25">
      <c r="E73">
        <v>104.712855</v>
      </c>
      <c r="F73" s="14">
        <v>0.56211500000000003</v>
      </c>
      <c r="G73" s="15">
        <f t="shared" ref="G73:G106" si="14">F73+G72</f>
        <v>99.721334000000013</v>
      </c>
      <c r="H73" s="7">
        <v>5.7625859999999998</v>
      </c>
      <c r="I73" s="8">
        <f t="shared" si="10"/>
        <v>66.042836000000008</v>
      </c>
      <c r="J73" s="14">
        <v>0</v>
      </c>
      <c r="K73" s="15">
        <f t="shared" ref="K73:K106" si="15">J73+K72</f>
        <v>99.999999000000003</v>
      </c>
      <c r="L73" s="4">
        <v>5.9745010000000001</v>
      </c>
      <c r="M73" s="8">
        <f t="shared" si="11"/>
        <v>73.250062000000014</v>
      </c>
      <c r="O73" s="4">
        <v>1.610646</v>
      </c>
      <c r="P73" s="8">
        <f t="shared" si="12"/>
        <v>97.328382999999988</v>
      </c>
      <c r="Q73">
        <v>0.49094100000000002</v>
      </c>
      <c r="R73" s="2">
        <f t="shared" si="13"/>
        <v>98.091618999999952</v>
      </c>
    </row>
    <row r="74" spans="2:18" x14ac:dyDescent="0.25">
      <c r="E74">
        <v>120.226443</v>
      </c>
      <c r="F74" s="14">
        <v>0.216497</v>
      </c>
      <c r="G74" s="15">
        <f t="shared" si="14"/>
        <v>99.937831000000017</v>
      </c>
      <c r="H74" s="7">
        <v>5.8760159999999999</v>
      </c>
      <c r="I74" s="8">
        <f t="shared" si="10"/>
        <v>71.918852000000015</v>
      </c>
      <c r="J74" s="14">
        <v>0</v>
      </c>
      <c r="K74" s="15">
        <f t="shared" si="15"/>
        <v>99.999999000000003</v>
      </c>
      <c r="L74" s="4">
        <v>5.4716719999999999</v>
      </c>
      <c r="M74" s="8">
        <f t="shared" si="11"/>
        <v>78.721734000000012</v>
      </c>
      <c r="O74" s="4">
        <v>1.1413599999999999</v>
      </c>
      <c r="P74" s="8">
        <f t="shared" si="12"/>
        <v>98.469742999999994</v>
      </c>
      <c r="Q74">
        <v>0.41008600000000001</v>
      </c>
      <c r="R74" s="2">
        <f t="shared" si="13"/>
        <v>98.501704999999959</v>
      </c>
    </row>
    <row r="75" spans="2:18" x14ac:dyDescent="0.25">
      <c r="C75">
        <f>C78+C70*63</f>
        <v>95.030035641805924</v>
      </c>
      <c r="E75">
        <v>138.03842599999999</v>
      </c>
      <c r="F75" s="14">
        <v>6.2168000000000001E-2</v>
      </c>
      <c r="G75" s="15">
        <f t="shared" si="14"/>
        <v>99.999999000000017</v>
      </c>
      <c r="H75" s="7">
        <v>5.8096100000000002</v>
      </c>
      <c r="I75" s="8">
        <f t="shared" si="10"/>
        <v>77.728462000000022</v>
      </c>
      <c r="J75" s="14">
        <v>0</v>
      </c>
      <c r="K75" s="15">
        <f t="shared" si="15"/>
        <v>99.999999000000003</v>
      </c>
      <c r="L75" s="4">
        <v>4.8162320000000003</v>
      </c>
      <c r="M75" s="8">
        <f t="shared" si="11"/>
        <v>83.537966000000011</v>
      </c>
      <c r="O75" s="4">
        <v>0.751637</v>
      </c>
      <c r="P75" s="8">
        <f t="shared" si="12"/>
        <v>99.221379999999996</v>
      </c>
      <c r="Q75">
        <v>0.33687600000000001</v>
      </c>
      <c r="R75" s="2">
        <f t="shared" si="13"/>
        <v>98.838580999999962</v>
      </c>
    </row>
    <row r="76" spans="2:18" x14ac:dyDescent="0.25">
      <c r="E76">
        <v>158.48931899999999</v>
      </c>
      <c r="F76" s="14">
        <v>0</v>
      </c>
      <c r="G76" s="15">
        <f t="shared" si="14"/>
        <v>99.999999000000017</v>
      </c>
      <c r="H76" s="7">
        <v>5.5325889999999998</v>
      </c>
      <c r="I76" s="8">
        <f t="shared" si="10"/>
        <v>83.261051000000023</v>
      </c>
      <c r="J76" s="14">
        <v>0</v>
      </c>
      <c r="K76" s="15">
        <f t="shared" si="15"/>
        <v>99.999999000000003</v>
      </c>
      <c r="L76" s="4">
        <v>4.0529570000000001</v>
      </c>
      <c r="M76" s="8">
        <f t="shared" si="11"/>
        <v>87.590923000000018</v>
      </c>
      <c r="O76" s="4">
        <v>0.45562599999999998</v>
      </c>
      <c r="P76" s="8">
        <f t="shared" si="12"/>
        <v>99.677005999999992</v>
      </c>
      <c r="Q76">
        <v>0.27565299999999998</v>
      </c>
      <c r="R76" s="2">
        <f t="shared" si="13"/>
        <v>99.114233999999968</v>
      </c>
    </row>
    <row r="77" spans="2:18" x14ac:dyDescent="0.25">
      <c r="E77">
        <v>181.97008600000001</v>
      </c>
      <c r="F77" s="14">
        <v>0</v>
      </c>
      <c r="G77" s="15">
        <f t="shared" si="14"/>
        <v>99.999999000000017</v>
      </c>
      <c r="H77" s="7">
        <v>5.0396679999999998</v>
      </c>
      <c r="I77" s="8">
        <f t="shared" si="10"/>
        <v>88.300719000000029</v>
      </c>
      <c r="J77" s="14">
        <v>0</v>
      </c>
      <c r="K77" s="15">
        <f t="shared" si="15"/>
        <v>99.999999000000003</v>
      </c>
      <c r="L77" s="4">
        <v>3.2736689999999999</v>
      </c>
      <c r="M77" s="8">
        <f t="shared" si="11"/>
        <v>90.864592000000016</v>
      </c>
      <c r="O77" s="4">
        <v>0.22883100000000001</v>
      </c>
      <c r="P77" s="8">
        <f t="shared" si="12"/>
        <v>99.905836999999991</v>
      </c>
      <c r="Q77">
        <v>0.22068699999999999</v>
      </c>
      <c r="R77" s="2">
        <f t="shared" si="13"/>
        <v>99.334920999999966</v>
      </c>
    </row>
    <row r="78" spans="2:18" x14ac:dyDescent="0.25">
      <c r="C78">
        <f>G70-E70*C70</f>
        <v>79.084302530029277</v>
      </c>
      <c r="E78">
        <v>208.92961299999999</v>
      </c>
      <c r="F78" s="14">
        <v>0</v>
      </c>
      <c r="G78" s="15">
        <f t="shared" si="14"/>
        <v>99.999999000000017</v>
      </c>
      <c r="H78" s="7">
        <v>4.3188750000000002</v>
      </c>
      <c r="I78" s="8">
        <f t="shared" si="10"/>
        <v>92.619594000000035</v>
      </c>
      <c r="J78" s="14">
        <v>0</v>
      </c>
      <c r="K78" s="15">
        <f t="shared" si="15"/>
        <v>99.999999000000003</v>
      </c>
      <c r="L78" s="4">
        <v>2.5267520000000001</v>
      </c>
      <c r="M78" s="8">
        <f t="shared" si="11"/>
        <v>93.391344000000018</v>
      </c>
      <c r="O78" s="4">
        <v>9.4160999999999995E-2</v>
      </c>
      <c r="P78" s="8">
        <f t="shared" si="12"/>
        <v>99.999997999999991</v>
      </c>
      <c r="Q78">
        <v>0.17757200000000001</v>
      </c>
      <c r="R78" s="2">
        <f t="shared" si="13"/>
        <v>99.512492999999964</v>
      </c>
    </row>
    <row r="79" spans="2:18" x14ac:dyDescent="0.25">
      <c r="E79">
        <v>239.88329200000001</v>
      </c>
      <c r="F79" s="14">
        <v>0</v>
      </c>
      <c r="G79" s="15">
        <f t="shared" si="14"/>
        <v>99.999999000000017</v>
      </c>
      <c r="H79" s="7">
        <v>3.417821</v>
      </c>
      <c r="I79" s="8">
        <f t="shared" si="10"/>
        <v>96.037415000000038</v>
      </c>
      <c r="J79" s="14">
        <v>0</v>
      </c>
      <c r="K79" s="15">
        <f t="shared" si="15"/>
        <v>99.999999000000003</v>
      </c>
      <c r="L79" s="4">
        <v>1.8927400000000001</v>
      </c>
      <c r="M79" s="8">
        <f t="shared" si="11"/>
        <v>95.284084000000021</v>
      </c>
      <c r="O79" s="4">
        <v>0</v>
      </c>
      <c r="P79" s="8">
        <f t="shared" si="12"/>
        <v>99.999997999999991</v>
      </c>
      <c r="Q79">
        <v>0.14691399999999999</v>
      </c>
      <c r="R79" s="2">
        <f t="shared" si="13"/>
        <v>99.659406999999959</v>
      </c>
    </row>
    <row r="80" spans="2:18" x14ac:dyDescent="0.25">
      <c r="E80">
        <v>275.42286999999999</v>
      </c>
      <c r="F80" s="14">
        <v>0</v>
      </c>
      <c r="G80" s="15">
        <f t="shared" si="14"/>
        <v>99.999999000000017</v>
      </c>
      <c r="H80" s="7">
        <v>2.3637410000000001</v>
      </c>
      <c r="I80" s="8">
        <f t="shared" si="10"/>
        <v>98.401156000000043</v>
      </c>
      <c r="J80" s="14">
        <v>0</v>
      </c>
      <c r="K80" s="15">
        <f t="shared" si="15"/>
        <v>99.999999000000003</v>
      </c>
      <c r="L80" s="4">
        <v>1.3876440000000001</v>
      </c>
      <c r="M80" s="8">
        <f t="shared" si="11"/>
        <v>96.671728000000016</v>
      </c>
      <c r="O80" s="4">
        <v>0</v>
      </c>
      <c r="P80" s="8">
        <f t="shared" si="12"/>
        <v>99.999997999999991</v>
      </c>
      <c r="Q80">
        <v>0.120583</v>
      </c>
      <c r="R80" s="2">
        <f t="shared" si="13"/>
        <v>99.779989999999955</v>
      </c>
    </row>
    <row r="81" spans="5:18" x14ac:dyDescent="0.25">
      <c r="E81">
        <v>316.22776599999997</v>
      </c>
      <c r="F81" s="14">
        <v>0</v>
      </c>
      <c r="G81" s="15">
        <f t="shared" si="14"/>
        <v>99.999999000000017</v>
      </c>
      <c r="H81" s="7">
        <v>1.2592220000000001</v>
      </c>
      <c r="I81" s="8">
        <f t="shared" si="10"/>
        <v>99.660378000000037</v>
      </c>
      <c r="J81" s="14">
        <v>0</v>
      </c>
      <c r="K81" s="15">
        <f t="shared" si="15"/>
        <v>99.999999000000003</v>
      </c>
      <c r="L81" s="4">
        <v>1.030942</v>
      </c>
      <c r="M81" s="8">
        <f t="shared" si="11"/>
        <v>97.702670000000012</v>
      </c>
      <c r="O81" s="4">
        <v>0</v>
      </c>
      <c r="P81" s="8">
        <f t="shared" si="12"/>
        <v>99.999997999999991</v>
      </c>
      <c r="Q81">
        <v>9.1892000000000001E-2</v>
      </c>
      <c r="R81" s="2">
        <f t="shared" si="13"/>
        <v>99.871881999999957</v>
      </c>
    </row>
    <row r="82" spans="5:18" x14ac:dyDescent="0.25">
      <c r="E82">
        <v>363.07805500000001</v>
      </c>
      <c r="F82" s="14">
        <v>0</v>
      </c>
      <c r="G82" s="15">
        <f t="shared" si="14"/>
        <v>99.999999000000017</v>
      </c>
      <c r="H82" s="7">
        <v>0.332955</v>
      </c>
      <c r="I82" s="8">
        <f t="shared" si="10"/>
        <v>99.993333000000035</v>
      </c>
      <c r="J82" s="14">
        <v>0</v>
      </c>
      <c r="K82" s="15">
        <f t="shared" si="15"/>
        <v>99.999999000000003</v>
      </c>
      <c r="L82" s="4">
        <v>0.79227700000000001</v>
      </c>
      <c r="M82" s="8">
        <f t="shared" si="11"/>
        <v>98.49494700000001</v>
      </c>
      <c r="O82" s="4">
        <v>0</v>
      </c>
      <c r="P82" s="8">
        <f t="shared" si="12"/>
        <v>99.999997999999991</v>
      </c>
      <c r="Q82">
        <v>5.5854000000000001E-2</v>
      </c>
      <c r="R82" s="2">
        <f t="shared" si="13"/>
        <v>99.927735999999953</v>
      </c>
    </row>
    <row r="83" spans="5:18" x14ac:dyDescent="0.25">
      <c r="E83">
        <v>416.86938300000003</v>
      </c>
      <c r="F83" s="14">
        <v>0</v>
      </c>
      <c r="G83" s="15">
        <f t="shared" si="14"/>
        <v>99.999999000000017</v>
      </c>
      <c r="H83" s="7">
        <v>6.6660000000000001E-3</v>
      </c>
      <c r="I83" s="8">
        <f t="shared" si="10"/>
        <v>99.999999000000031</v>
      </c>
      <c r="J83" s="14">
        <v>0</v>
      </c>
      <c r="K83" s="15">
        <f t="shared" si="15"/>
        <v>99.999999000000003</v>
      </c>
      <c r="L83" s="4">
        <v>0.63007899999999994</v>
      </c>
      <c r="M83" s="8">
        <f t="shared" si="11"/>
        <v>99.125026000000005</v>
      </c>
      <c r="O83" s="4">
        <v>0</v>
      </c>
      <c r="P83" s="8">
        <f t="shared" si="12"/>
        <v>99.999997999999991</v>
      </c>
      <c r="Q83">
        <v>3.7721999999999999E-2</v>
      </c>
      <c r="R83" s="2">
        <f t="shared" si="13"/>
        <v>99.965457999999956</v>
      </c>
    </row>
    <row r="84" spans="5:18" x14ac:dyDescent="0.25">
      <c r="E84">
        <v>478.63009199999999</v>
      </c>
      <c r="F84" s="14">
        <v>0</v>
      </c>
      <c r="G84" s="15">
        <f t="shared" si="14"/>
        <v>99.999999000000017</v>
      </c>
      <c r="H84" s="7">
        <v>0</v>
      </c>
      <c r="I84" s="8">
        <f t="shared" si="10"/>
        <v>99.999999000000031</v>
      </c>
      <c r="J84" s="14">
        <v>0</v>
      </c>
      <c r="K84" s="15">
        <f t="shared" si="15"/>
        <v>99.999999000000003</v>
      </c>
      <c r="L84" s="4">
        <v>0.48579099999999997</v>
      </c>
      <c r="M84" s="8">
        <f t="shared" si="11"/>
        <v>99.610817000000011</v>
      </c>
      <c r="O84" s="4">
        <v>0</v>
      </c>
      <c r="P84" s="8">
        <f t="shared" si="12"/>
        <v>99.999997999999991</v>
      </c>
      <c r="Q84">
        <v>2.4218E-2</v>
      </c>
      <c r="R84" s="2">
        <f t="shared" si="13"/>
        <v>99.98967599999996</v>
      </c>
    </row>
    <row r="85" spans="5:18" x14ac:dyDescent="0.25">
      <c r="E85">
        <v>549.54087400000003</v>
      </c>
      <c r="F85" s="14">
        <v>0</v>
      </c>
      <c r="G85" s="15">
        <f t="shared" si="14"/>
        <v>99.999999000000017</v>
      </c>
      <c r="H85" s="7">
        <v>0</v>
      </c>
      <c r="I85" s="8">
        <f t="shared" si="10"/>
        <v>99.999999000000031</v>
      </c>
      <c r="J85" s="14">
        <v>0</v>
      </c>
      <c r="K85" s="15">
        <f t="shared" si="15"/>
        <v>99.999999000000003</v>
      </c>
      <c r="L85" s="4">
        <v>0.28967999999999999</v>
      </c>
      <c r="M85" s="8">
        <f t="shared" si="11"/>
        <v>99.900497000000016</v>
      </c>
      <c r="O85" s="4">
        <v>0</v>
      </c>
      <c r="P85" s="8">
        <f t="shared" si="12"/>
        <v>99.999997999999991</v>
      </c>
      <c r="Q85">
        <v>1.0319999999999999E-2</v>
      </c>
      <c r="R85" s="2">
        <f t="shared" si="13"/>
        <v>99.999995999999953</v>
      </c>
    </row>
    <row r="86" spans="5:18" x14ac:dyDescent="0.25">
      <c r="E86">
        <v>630.95734400000003</v>
      </c>
      <c r="F86" s="14">
        <v>0</v>
      </c>
      <c r="G86" s="15">
        <f t="shared" si="14"/>
        <v>99.999999000000017</v>
      </c>
      <c r="H86" s="7">
        <v>0</v>
      </c>
      <c r="I86" s="8">
        <f t="shared" si="10"/>
        <v>99.999999000000031</v>
      </c>
      <c r="J86" s="14">
        <v>0</v>
      </c>
      <c r="K86" s="15">
        <f t="shared" si="15"/>
        <v>99.999999000000003</v>
      </c>
      <c r="L86" s="4">
        <v>8.3236000000000004E-2</v>
      </c>
      <c r="M86" s="8">
        <f t="shared" si="11"/>
        <v>99.983733000000015</v>
      </c>
      <c r="O86" s="4">
        <v>0</v>
      </c>
      <c r="P86" s="8">
        <f t="shared" si="12"/>
        <v>99.999997999999991</v>
      </c>
      <c r="Q86">
        <v>0</v>
      </c>
      <c r="R86" s="2">
        <f t="shared" si="13"/>
        <v>99.999995999999953</v>
      </c>
    </row>
    <row r="87" spans="5:18" x14ac:dyDescent="0.25">
      <c r="E87">
        <v>724.43596000000002</v>
      </c>
      <c r="F87" s="14">
        <v>0</v>
      </c>
      <c r="G87" s="15">
        <f t="shared" si="14"/>
        <v>99.999999000000017</v>
      </c>
      <c r="H87" s="7">
        <v>0</v>
      </c>
      <c r="I87" s="8">
        <f t="shared" si="10"/>
        <v>99.999999000000031</v>
      </c>
      <c r="J87" s="14">
        <v>0</v>
      </c>
      <c r="K87" s="15">
        <f t="shared" si="15"/>
        <v>99.999999000000003</v>
      </c>
      <c r="L87" s="4">
        <v>1.6265999999999999E-2</v>
      </c>
      <c r="M87" s="8">
        <f t="shared" si="11"/>
        <v>99.999999000000017</v>
      </c>
      <c r="O87" s="4">
        <v>0</v>
      </c>
      <c r="P87" s="8">
        <f t="shared" si="12"/>
        <v>99.999997999999991</v>
      </c>
      <c r="Q87">
        <v>0</v>
      </c>
      <c r="R87" s="2">
        <f t="shared" si="13"/>
        <v>99.999995999999953</v>
      </c>
    </row>
    <row r="88" spans="5:18" x14ac:dyDescent="0.25">
      <c r="E88">
        <v>831.76377100000002</v>
      </c>
      <c r="F88" s="14">
        <v>0</v>
      </c>
      <c r="G88" s="15">
        <f t="shared" si="14"/>
        <v>99.999999000000017</v>
      </c>
      <c r="H88" s="7">
        <v>0</v>
      </c>
      <c r="I88" s="8">
        <f t="shared" si="10"/>
        <v>99.999999000000031</v>
      </c>
      <c r="J88" s="14">
        <v>0</v>
      </c>
      <c r="K88" s="15">
        <f t="shared" si="15"/>
        <v>99.999999000000003</v>
      </c>
      <c r="L88" s="4">
        <v>0</v>
      </c>
      <c r="M88" s="8">
        <f t="shared" si="11"/>
        <v>99.999999000000017</v>
      </c>
      <c r="O88" s="4">
        <v>0</v>
      </c>
      <c r="P88" s="8">
        <f t="shared" si="12"/>
        <v>99.999997999999991</v>
      </c>
      <c r="Q88">
        <v>0</v>
      </c>
      <c r="R88" s="2">
        <f t="shared" si="13"/>
        <v>99.999995999999953</v>
      </c>
    </row>
    <row r="89" spans="5:18" x14ac:dyDescent="0.25">
      <c r="E89">
        <v>954.99258599999996</v>
      </c>
      <c r="F89" s="14">
        <v>0</v>
      </c>
      <c r="G89" s="15">
        <f t="shared" si="14"/>
        <v>99.999999000000017</v>
      </c>
      <c r="H89" s="7">
        <v>0</v>
      </c>
      <c r="I89" s="8">
        <f t="shared" si="10"/>
        <v>99.999999000000031</v>
      </c>
      <c r="J89" s="14">
        <v>0</v>
      </c>
      <c r="K89" s="15">
        <f t="shared" si="15"/>
        <v>99.999999000000003</v>
      </c>
      <c r="L89" s="4">
        <v>0</v>
      </c>
      <c r="M89" s="8">
        <f t="shared" si="11"/>
        <v>99.999999000000017</v>
      </c>
      <c r="O89" s="4">
        <v>0</v>
      </c>
      <c r="P89" s="8">
        <f t="shared" si="12"/>
        <v>99.999997999999991</v>
      </c>
      <c r="Q89">
        <v>0</v>
      </c>
      <c r="R89" s="2">
        <f t="shared" si="13"/>
        <v>99.999995999999953</v>
      </c>
    </row>
    <row r="90" spans="5:18" x14ac:dyDescent="0.25">
      <c r="E90">
        <v>1096.478196</v>
      </c>
      <c r="F90" s="14">
        <v>0</v>
      </c>
      <c r="G90" s="15">
        <f t="shared" si="14"/>
        <v>99.999999000000017</v>
      </c>
      <c r="H90" s="7">
        <v>0</v>
      </c>
      <c r="I90" s="8">
        <f t="shared" si="10"/>
        <v>99.999999000000031</v>
      </c>
      <c r="J90" s="14">
        <v>0</v>
      </c>
      <c r="K90" s="15">
        <f t="shared" si="15"/>
        <v>99.999999000000003</v>
      </c>
      <c r="L90" s="4">
        <v>0</v>
      </c>
      <c r="M90" s="8">
        <f t="shared" si="11"/>
        <v>99.999999000000017</v>
      </c>
      <c r="O90" s="4">
        <v>0</v>
      </c>
      <c r="P90" s="8">
        <f t="shared" si="12"/>
        <v>99.999997999999991</v>
      </c>
      <c r="Q90">
        <v>0</v>
      </c>
      <c r="R90" s="2">
        <f t="shared" si="13"/>
        <v>99.999995999999953</v>
      </c>
    </row>
    <row r="91" spans="5:18" x14ac:dyDescent="0.25">
      <c r="E91">
        <v>1258.9254120000001</v>
      </c>
      <c r="F91" s="14">
        <v>0</v>
      </c>
      <c r="G91" s="15">
        <f t="shared" si="14"/>
        <v>99.999999000000017</v>
      </c>
      <c r="H91" s="7">
        <v>0</v>
      </c>
      <c r="I91" s="8">
        <f t="shared" si="10"/>
        <v>99.999999000000031</v>
      </c>
      <c r="J91" s="14">
        <v>0</v>
      </c>
      <c r="K91" s="15">
        <f t="shared" si="15"/>
        <v>99.999999000000003</v>
      </c>
      <c r="L91" s="4">
        <v>0</v>
      </c>
      <c r="M91" s="8">
        <f t="shared" si="11"/>
        <v>99.999999000000017</v>
      </c>
      <c r="O91" s="4">
        <v>0</v>
      </c>
      <c r="P91" s="8">
        <f t="shared" si="12"/>
        <v>99.999997999999991</v>
      </c>
      <c r="Q91">
        <v>0</v>
      </c>
      <c r="R91" s="2">
        <f t="shared" si="13"/>
        <v>99.999995999999953</v>
      </c>
    </row>
    <row r="92" spans="5:18" x14ac:dyDescent="0.25">
      <c r="E92">
        <v>1445.4397710000001</v>
      </c>
      <c r="F92" s="14">
        <v>0</v>
      </c>
      <c r="G92" s="15">
        <f t="shared" si="14"/>
        <v>99.999999000000017</v>
      </c>
      <c r="H92" s="7">
        <v>0</v>
      </c>
      <c r="I92" s="8">
        <f t="shared" si="10"/>
        <v>99.999999000000031</v>
      </c>
      <c r="J92" s="14">
        <v>0</v>
      </c>
      <c r="K92" s="15">
        <f t="shared" si="15"/>
        <v>99.999999000000003</v>
      </c>
      <c r="L92" s="4">
        <v>0</v>
      </c>
      <c r="M92" s="8">
        <f t="shared" si="11"/>
        <v>99.999999000000017</v>
      </c>
      <c r="O92" s="4">
        <v>0</v>
      </c>
      <c r="P92" s="8">
        <f t="shared" si="12"/>
        <v>99.999997999999991</v>
      </c>
      <c r="Q92">
        <v>0</v>
      </c>
      <c r="R92" s="2">
        <f t="shared" si="13"/>
        <v>99.999995999999953</v>
      </c>
    </row>
    <row r="93" spans="5:18" x14ac:dyDescent="0.25">
      <c r="E93">
        <v>1659.5869070000001</v>
      </c>
      <c r="F93" s="14">
        <v>0</v>
      </c>
      <c r="G93" s="15">
        <f t="shared" si="14"/>
        <v>99.999999000000017</v>
      </c>
      <c r="H93" s="7">
        <v>0</v>
      </c>
      <c r="I93" s="8">
        <f t="shared" si="10"/>
        <v>99.999999000000031</v>
      </c>
      <c r="J93" s="14">
        <v>0</v>
      </c>
      <c r="K93" s="15">
        <f t="shared" si="15"/>
        <v>99.999999000000003</v>
      </c>
      <c r="L93" s="4">
        <v>0</v>
      </c>
      <c r="M93" s="8">
        <f t="shared" si="11"/>
        <v>99.999999000000017</v>
      </c>
      <c r="O93" s="4">
        <v>0</v>
      </c>
      <c r="P93" s="8">
        <f t="shared" si="12"/>
        <v>99.999997999999991</v>
      </c>
      <c r="Q93">
        <v>0</v>
      </c>
      <c r="R93" s="2">
        <f t="shared" si="13"/>
        <v>99.999995999999953</v>
      </c>
    </row>
    <row r="94" spans="5:18" x14ac:dyDescent="0.25">
      <c r="E94">
        <v>1905.460718</v>
      </c>
      <c r="F94" s="14">
        <v>0</v>
      </c>
      <c r="G94" s="15">
        <f t="shared" si="14"/>
        <v>99.999999000000017</v>
      </c>
      <c r="H94" s="7">
        <v>0</v>
      </c>
      <c r="I94" s="8">
        <f t="shared" si="10"/>
        <v>99.999999000000031</v>
      </c>
      <c r="J94" s="14">
        <v>0</v>
      </c>
      <c r="K94" s="15">
        <f t="shared" si="15"/>
        <v>99.999999000000003</v>
      </c>
      <c r="L94" s="4">
        <v>0</v>
      </c>
      <c r="M94" s="8">
        <f t="shared" si="11"/>
        <v>99.999999000000017</v>
      </c>
      <c r="O94" s="4">
        <v>0</v>
      </c>
      <c r="P94" s="8">
        <f t="shared" si="12"/>
        <v>99.999997999999991</v>
      </c>
      <c r="Q94">
        <v>0</v>
      </c>
      <c r="R94" s="2">
        <f t="shared" si="13"/>
        <v>99.999995999999953</v>
      </c>
    </row>
    <row r="95" spans="5:18" x14ac:dyDescent="0.25">
      <c r="E95">
        <v>2187.7616240000002</v>
      </c>
      <c r="F95" s="14">
        <v>0</v>
      </c>
      <c r="G95" s="15">
        <f t="shared" si="14"/>
        <v>99.999999000000017</v>
      </c>
      <c r="H95" s="7">
        <v>0</v>
      </c>
      <c r="I95" s="8">
        <f t="shared" si="10"/>
        <v>99.999999000000031</v>
      </c>
      <c r="J95" s="14">
        <v>0</v>
      </c>
      <c r="K95" s="15">
        <f t="shared" si="15"/>
        <v>99.999999000000003</v>
      </c>
      <c r="L95" s="4">
        <v>0</v>
      </c>
      <c r="M95" s="8">
        <f t="shared" si="11"/>
        <v>99.999999000000017</v>
      </c>
      <c r="O95" s="4">
        <v>0</v>
      </c>
      <c r="P95" s="8">
        <f t="shared" si="12"/>
        <v>99.999997999999991</v>
      </c>
      <c r="Q95">
        <v>0</v>
      </c>
      <c r="R95" s="2">
        <f t="shared" si="13"/>
        <v>99.999995999999953</v>
      </c>
    </row>
    <row r="96" spans="5:18" x14ac:dyDescent="0.25">
      <c r="E96">
        <v>2511.8864319999998</v>
      </c>
      <c r="F96" s="14">
        <v>0</v>
      </c>
      <c r="G96" s="15">
        <f t="shared" si="14"/>
        <v>99.999999000000017</v>
      </c>
      <c r="H96" s="7">
        <v>0</v>
      </c>
      <c r="I96" s="8">
        <f t="shared" si="10"/>
        <v>99.999999000000031</v>
      </c>
      <c r="J96" s="14">
        <v>0</v>
      </c>
      <c r="K96" s="15">
        <f t="shared" si="15"/>
        <v>99.999999000000003</v>
      </c>
      <c r="L96" s="4">
        <v>0</v>
      </c>
      <c r="M96" s="8">
        <f t="shared" si="11"/>
        <v>99.999999000000017</v>
      </c>
      <c r="O96" s="4">
        <v>0</v>
      </c>
      <c r="P96" s="8">
        <f t="shared" si="12"/>
        <v>99.999997999999991</v>
      </c>
      <c r="Q96">
        <v>0</v>
      </c>
      <c r="R96" s="2">
        <f t="shared" si="13"/>
        <v>99.999995999999953</v>
      </c>
    </row>
    <row r="97" spans="5:18" x14ac:dyDescent="0.25">
      <c r="E97">
        <v>2884.0315030000002</v>
      </c>
      <c r="F97" s="14">
        <v>0</v>
      </c>
      <c r="G97" s="15">
        <f t="shared" si="14"/>
        <v>99.999999000000017</v>
      </c>
      <c r="H97" s="7">
        <v>0</v>
      </c>
      <c r="I97" s="8">
        <f t="shared" si="10"/>
        <v>99.999999000000031</v>
      </c>
      <c r="J97" s="14">
        <v>0</v>
      </c>
      <c r="K97" s="15">
        <f t="shared" si="15"/>
        <v>99.999999000000003</v>
      </c>
      <c r="L97" s="4">
        <v>0</v>
      </c>
      <c r="M97" s="8">
        <f t="shared" si="11"/>
        <v>99.999999000000017</v>
      </c>
      <c r="O97" s="4">
        <v>0</v>
      </c>
      <c r="P97" s="8">
        <f t="shared" si="12"/>
        <v>99.999997999999991</v>
      </c>
      <c r="Q97">
        <v>0</v>
      </c>
      <c r="R97" s="2">
        <f t="shared" si="13"/>
        <v>99.999995999999953</v>
      </c>
    </row>
    <row r="98" spans="5:18" x14ac:dyDescent="0.25">
      <c r="E98">
        <v>3311.3112150000002</v>
      </c>
      <c r="F98" s="14">
        <v>0</v>
      </c>
      <c r="G98" s="15">
        <f t="shared" si="14"/>
        <v>99.999999000000017</v>
      </c>
      <c r="H98" s="7">
        <v>0</v>
      </c>
      <c r="I98" s="8">
        <f t="shared" si="10"/>
        <v>99.999999000000031</v>
      </c>
      <c r="J98" s="14">
        <v>0</v>
      </c>
      <c r="K98" s="15">
        <f t="shared" si="15"/>
        <v>99.999999000000003</v>
      </c>
      <c r="L98" s="4">
        <v>0</v>
      </c>
      <c r="M98" s="8">
        <f t="shared" si="11"/>
        <v>99.999999000000017</v>
      </c>
      <c r="O98" s="4">
        <v>0</v>
      </c>
      <c r="P98" s="8">
        <f t="shared" si="12"/>
        <v>99.999997999999991</v>
      </c>
      <c r="Q98">
        <v>0</v>
      </c>
      <c r="R98" s="2">
        <f t="shared" si="13"/>
        <v>99.999995999999953</v>
      </c>
    </row>
    <row r="99" spans="5:18" x14ac:dyDescent="0.25">
      <c r="E99">
        <v>3801.893963</v>
      </c>
      <c r="F99" s="14">
        <v>0</v>
      </c>
      <c r="G99" s="15">
        <f t="shared" si="14"/>
        <v>99.999999000000017</v>
      </c>
      <c r="H99" s="7">
        <v>0</v>
      </c>
      <c r="I99" s="8">
        <f t="shared" si="10"/>
        <v>99.999999000000031</v>
      </c>
      <c r="J99" s="14">
        <v>0</v>
      </c>
      <c r="K99" s="15">
        <f t="shared" si="15"/>
        <v>99.999999000000003</v>
      </c>
      <c r="L99" s="4">
        <v>0</v>
      </c>
      <c r="M99" s="8">
        <f t="shared" si="11"/>
        <v>99.999999000000017</v>
      </c>
      <c r="O99" s="4">
        <v>0</v>
      </c>
      <c r="P99" s="8">
        <f t="shared" si="12"/>
        <v>99.999997999999991</v>
      </c>
      <c r="Q99">
        <v>0</v>
      </c>
      <c r="R99" s="2">
        <f t="shared" si="13"/>
        <v>99.999995999999953</v>
      </c>
    </row>
    <row r="100" spans="5:18" x14ac:dyDescent="0.25">
      <c r="E100">
        <v>4365.1583220000002</v>
      </c>
      <c r="F100" s="14">
        <v>0</v>
      </c>
      <c r="G100" s="15">
        <f t="shared" si="14"/>
        <v>99.999999000000017</v>
      </c>
      <c r="H100" s="7">
        <v>0</v>
      </c>
      <c r="I100" s="8">
        <f t="shared" si="10"/>
        <v>99.999999000000031</v>
      </c>
      <c r="J100" s="14">
        <v>0</v>
      </c>
      <c r="K100" s="15">
        <f t="shared" si="15"/>
        <v>99.999999000000003</v>
      </c>
      <c r="L100" s="4">
        <v>0</v>
      </c>
      <c r="M100" s="8">
        <f t="shared" si="11"/>
        <v>99.999999000000017</v>
      </c>
      <c r="O100" s="4">
        <v>0</v>
      </c>
      <c r="P100" s="8">
        <f t="shared" si="12"/>
        <v>99.999997999999991</v>
      </c>
      <c r="Q100">
        <v>0</v>
      </c>
      <c r="R100" s="2">
        <f t="shared" si="13"/>
        <v>99.999995999999953</v>
      </c>
    </row>
    <row r="101" spans="5:18" x14ac:dyDescent="0.25">
      <c r="E101">
        <v>5011.8723360000004</v>
      </c>
      <c r="F101" s="14">
        <v>0</v>
      </c>
      <c r="G101" s="15">
        <f t="shared" si="14"/>
        <v>99.999999000000017</v>
      </c>
      <c r="H101" s="7">
        <v>0</v>
      </c>
      <c r="I101" s="8">
        <f t="shared" si="10"/>
        <v>99.999999000000031</v>
      </c>
      <c r="J101" s="14">
        <v>0</v>
      </c>
      <c r="K101" s="15">
        <f t="shared" si="15"/>
        <v>99.999999000000003</v>
      </c>
      <c r="L101" s="4">
        <v>0</v>
      </c>
      <c r="M101" s="8">
        <f t="shared" si="11"/>
        <v>99.999999000000017</v>
      </c>
      <c r="O101" s="4">
        <v>0</v>
      </c>
      <c r="P101" s="8">
        <f t="shared" si="12"/>
        <v>99.999997999999991</v>
      </c>
      <c r="Q101">
        <v>0</v>
      </c>
      <c r="R101" s="2">
        <f t="shared" si="13"/>
        <v>99.999995999999953</v>
      </c>
    </row>
    <row r="102" spans="5:18" x14ac:dyDescent="0.25">
      <c r="E102">
        <v>5754.3993730000002</v>
      </c>
      <c r="F102" s="14">
        <v>0</v>
      </c>
      <c r="G102" s="15">
        <f t="shared" si="14"/>
        <v>99.999999000000017</v>
      </c>
      <c r="H102" s="7">
        <v>0</v>
      </c>
      <c r="I102" s="8">
        <f t="shared" si="10"/>
        <v>99.999999000000031</v>
      </c>
      <c r="J102" s="14">
        <v>0</v>
      </c>
      <c r="K102" s="15">
        <f t="shared" si="15"/>
        <v>99.999999000000003</v>
      </c>
      <c r="L102" s="4">
        <v>0</v>
      </c>
      <c r="M102" s="8">
        <f t="shared" si="11"/>
        <v>99.999999000000017</v>
      </c>
      <c r="O102" s="4">
        <v>0</v>
      </c>
      <c r="P102" s="8">
        <f t="shared" si="12"/>
        <v>99.999997999999991</v>
      </c>
      <c r="Q102">
        <v>0</v>
      </c>
      <c r="R102" s="2">
        <f t="shared" si="13"/>
        <v>99.999995999999953</v>
      </c>
    </row>
    <row r="103" spans="5:18" x14ac:dyDescent="0.25">
      <c r="E103">
        <v>6606.9344799999999</v>
      </c>
      <c r="F103" s="14">
        <v>0</v>
      </c>
      <c r="G103" s="15">
        <f t="shared" si="14"/>
        <v>99.999999000000017</v>
      </c>
      <c r="H103" s="7">
        <v>0</v>
      </c>
      <c r="I103" s="8">
        <f t="shared" si="10"/>
        <v>99.999999000000031</v>
      </c>
      <c r="J103" s="14">
        <v>0</v>
      </c>
      <c r="K103" s="15">
        <f t="shared" si="15"/>
        <v>99.999999000000003</v>
      </c>
      <c r="L103" s="4">
        <v>0</v>
      </c>
      <c r="M103" s="8">
        <f t="shared" si="11"/>
        <v>99.999999000000017</v>
      </c>
      <c r="O103" s="4">
        <v>0</v>
      </c>
      <c r="P103" s="8">
        <f t="shared" si="12"/>
        <v>99.999997999999991</v>
      </c>
      <c r="Q103">
        <v>0</v>
      </c>
      <c r="R103" s="2">
        <f t="shared" si="13"/>
        <v>99.999995999999953</v>
      </c>
    </row>
    <row r="104" spans="5:18" x14ac:dyDescent="0.25">
      <c r="E104">
        <v>7585.7757499999998</v>
      </c>
      <c r="F104" s="14">
        <v>0</v>
      </c>
      <c r="G104" s="15">
        <f t="shared" si="14"/>
        <v>99.999999000000017</v>
      </c>
      <c r="H104" s="7">
        <v>0</v>
      </c>
      <c r="I104" s="8">
        <f t="shared" ref="I104:I106" si="16">I103+H104</f>
        <v>99.999999000000031</v>
      </c>
      <c r="J104" s="14">
        <v>0</v>
      </c>
      <c r="K104" s="15">
        <f t="shared" si="15"/>
        <v>99.999999000000003</v>
      </c>
      <c r="L104" s="4">
        <v>0</v>
      </c>
      <c r="M104" s="8">
        <f t="shared" ref="M104:M106" si="17">M103+L104</f>
        <v>99.999999000000017</v>
      </c>
      <c r="O104" s="4">
        <v>0</v>
      </c>
      <c r="P104" s="8">
        <f t="shared" ref="P104:P106" si="18">P103+O104</f>
        <v>99.999997999999991</v>
      </c>
      <c r="Q104">
        <v>0</v>
      </c>
      <c r="R104" s="2">
        <f t="shared" ref="R104:R106" si="19">R103+Q104</f>
        <v>99.999995999999953</v>
      </c>
    </row>
    <row r="105" spans="5:18" x14ac:dyDescent="0.25">
      <c r="E105">
        <v>8709.6358999999993</v>
      </c>
      <c r="F105" s="14">
        <v>0</v>
      </c>
      <c r="G105" s="15">
        <f t="shared" si="14"/>
        <v>99.999999000000017</v>
      </c>
      <c r="H105" s="7">
        <v>0</v>
      </c>
      <c r="I105" s="8">
        <f t="shared" si="16"/>
        <v>99.999999000000031</v>
      </c>
      <c r="J105" s="14">
        <v>0</v>
      </c>
      <c r="K105" s="15">
        <f t="shared" si="15"/>
        <v>99.999999000000003</v>
      </c>
      <c r="L105" s="4">
        <v>0</v>
      </c>
      <c r="M105" s="8">
        <f t="shared" si="17"/>
        <v>99.999999000000017</v>
      </c>
      <c r="O105" s="4">
        <v>0</v>
      </c>
      <c r="P105" s="8">
        <f t="shared" si="18"/>
        <v>99.999997999999991</v>
      </c>
      <c r="Q105">
        <v>0</v>
      </c>
      <c r="R105" s="2">
        <f t="shared" si="19"/>
        <v>99.999995999999953</v>
      </c>
    </row>
    <row r="106" spans="5:18" ht="15.75" thickBot="1" x14ac:dyDescent="0.3">
      <c r="E106">
        <v>10000</v>
      </c>
      <c r="F106" s="16">
        <v>0</v>
      </c>
      <c r="G106" s="17">
        <f t="shared" si="14"/>
        <v>99.999999000000017</v>
      </c>
      <c r="H106" s="9">
        <v>0</v>
      </c>
      <c r="I106" s="10">
        <f t="shared" si="16"/>
        <v>99.999999000000031</v>
      </c>
      <c r="J106" s="16">
        <v>0</v>
      </c>
      <c r="K106" s="17">
        <f t="shared" si="15"/>
        <v>99.999999000000003</v>
      </c>
      <c r="L106" s="4">
        <v>0</v>
      </c>
      <c r="M106" s="10">
        <f t="shared" si="17"/>
        <v>99.999999000000017</v>
      </c>
      <c r="O106" s="4">
        <v>0</v>
      </c>
      <c r="P106" s="10">
        <f t="shared" si="18"/>
        <v>99.999997999999991</v>
      </c>
      <c r="Q106">
        <v>0</v>
      </c>
      <c r="R106" s="3">
        <f t="shared" si="19"/>
        <v>99.999995999999953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Frederikke Brandt Feldthus</dc:creator>
  <cp:lastModifiedBy>Frederikke Brandt Feldthus</cp:lastModifiedBy>
  <dcterms:created xsi:type="dcterms:W3CDTF">2023-07-18T09:41:44Z</dcterms:created>
  <dcterms:modified xsi:type="dcterms:W3CDTF">2025-09-18T09:22:59Z</dcterms:modified>
</cp:coreProperties>
</file>