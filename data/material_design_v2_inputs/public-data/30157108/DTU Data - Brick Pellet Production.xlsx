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fbfe_dtu_dk/Documents/Scientific paper #1/DTU DATA/"/>
    </mc:Choice>
  </mc:AlternateContent>
  <xr:revisionPtr revIDLastSave="1908" documentId="8_{8D908963-FF99-4AC1-8C4B-0E3BDD939A7E}" xr6:coauthVersionLast="47" xr6:coauthVersionMax="47" xr10:uidLastSave="{9A23FACF-37DB-4BC7-9F5D-E67EEBCA16AA}"/>
  <bookViews>
    <workbookView xWindow="-120" yWindow="-120" windowWidth="29040" windowHeight="17520" firstSheet="2" activeTab="7" xr2:uid="{5C655EB9-2CE3-4FAC-B122-4467274A1CE3}"/>
  </bookViews>
  <sheets>
    <sheet name="Overview" sheetId="6" r:id="rId1"/>
    <sheet name="Mixing" sheetId="1" r:id="rId2"/>
    <sheet name="Water and Burning" sheetId="2" r:id="rId3"/>
    <sheet name="W&amp;B Figures" sheetId="19" r:id="rId4"/>
    <sheet name="W&amp;B Figures 2" sheetId="20" r:id="rId5"/>
    <sheet name="High and Diameter" sheetId="3" r:id="rId6"/>
    <sheet name="H&amp;D Figures" sheetId="8" r:id="rId7"/>
    <sheet name="H&amp;D Figures 2" sheetId="10" r:id="rId8"/>
    <sheet name="Porosity and Density" sheetId="4" r:id="rId9"/>
    <sheet name="P&amp;D 2" sheetId="12" r:id="rId10"/>
  </sheets>
  <externalReferences>
    <externalReference r:id="rId11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8" l="1"/>
  <c r="C34" i="6"/>
  <c r="B34" i="6"/>
  <c r="C33" i="6"/>
  <c r="B33" i="6"/>
  <c r="C32" i="6"/>
  <c r="B32" i="6"/>
  <c r="C16" i="6"/>
  <c r="C15" i="6"/>
  <c r="C14" i="6"/>
  <c r="B16" i="6"/>
  <c r="B15" i="6"/>
  <c r="B14" i="6"/>
  <c r="G31" i="6"/>
  <c r="B31" i="6" s="1"/>
  <c r="C31" i="6"/>
  <c r="G30" i="6"/>
  <c r="B30" i="6" s="1"/>
  <c r="C30" i="6"/>
  <c r="G29" i="6"/>
  <c r="B29" i="6" s="1"/>
  <c r="C29" i="6"/>
  <c r="G49" i="6"/>
  <c r="B49" i="6" s="1"/>
  <c r="C49" i="6"/>
  <c r="G48" i="6"/>
  <c r="B48" i="6" s="1"/>
  <c r="C48" i="6"/>
  <c r="G47" i="6"/>
  <c r="B47" i="6" s="1"/>
  <c r="C47" i="6"/>
  <c r="G46" i="6"/>
  <c r="B46" i="6" s="1"/>
  <c r="C46" i="6"/>
  <c r="G45" i="6"/>
  <c r="B45" i="6" s="1"/>
  <c r="C45" i="6"/>
  <c r="G44" i="6"/>
  <c r="B44" i="6" s="1"/>
  <c r="C44" i="6"/>
  <c r="G43" i="6"/>
  <c r="B43" i="6" s="1"/>
  <c r="C43" i="6"/>
  <c r="G42" i="6"/>
  <c r="B42" i="6" s="1"/>
  <c r="C42" i="6"/>
  <c r="G41" i="6"/>
  <c r="B41" i="6" s="1"/>
  <c r="C41" i="6"/>
  <c r="G28" i="6"/>
  <c r="B28" i="6" s="1"/>
  <c r="C28" i="6"/>
  <c r="G27" i="6"/>
  <c r="B27" i="6" s="1"/>
  <c r="C27" i="6"/>
  <c r="G26" i="6"/>
  <c r="B26" i="6" s="1"/>
  <c r="C26" i="6"/>
  <c r="G25" i="6"/>
  <c r="B25" i="6" s="1"/>
  <c r="C25" i="6"/>
  <c r="G24" i="6"/>
  <c r="B24" i="6" s="1"/>
  <c r="C24" i="6"/>
  <c r="G23" i="6"/>
  <c r="B23" i="6" s="1"/>
  <c r="C23" i="6"/>
  <c r="S25" i="10"/>
  <c r="S26" i="10"/>
  <c r="S28" i="10"/>
  <c r="S31" i="10"/>
  <c r="S32" i="10"/>
  <c r="S34" i="10"/>
  <c r="S23" i="10"/>
  <c r="V24" i="10"/>
  <c r="V26" i="10"/>
  <c r="V27" i="10"/>
  <c r="V28" i="10"/>
  <c r="V31" i="10"/>
  <c r="V33" i="10"/>
  <c r="V34" i="10"/>
  <c r="Y26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O34" i="10"/>
  <c r="O33" i="10"/>
  <c r="S33" i="10" s="1"/>
  <c r="O32" i="10"/>
  <c r="V32" i="10" s="1"/>
  <c r="O31" i="10"/>
  <c r="O30" i="10"/>
  <c r="S30" i="10" s="1"/>
  <c r="O29" i="10"/>
  <c r="S29" i="10" s="1"/>
  <c r="O28" i="10"/>
  <c r="O27" i="10"/>
  <c r="S27" i="10" s="1"/>
  <c r="O26" i="10"/>
  <c r="O25" i="10"/>
  <c r="V25" i="10" s="1"/>
  <c r="O24" i="10"/>
  <c r="S24" i="10" s="1"/>
  <c r="O23" i="10"/>
  <c r="V23" i="10" s="1"/>
  <c r="C249" i="8"/>
  <c r="L249" i="8" s="1"/>
  <c r="V29" i="10" l="1"/>
  <c r="V30" i="10"/>
  <c r="Y45" i="3"/>
  <c r="N95" i="4"/>
  <c r="C20" i="6"/>
  <c r="M15" i="4"/>
  <c r="L15" i="4"/>
  <c r="BA72" i="3" l="1"/>
  <c r="BA71" i="3"/>
  <c r="BA70" i="3"/>
  <c r="BB69" i="3"/>
  <c r="BA60" i="3"/>
  <c r="BA61" i="3"/>
  <c r="AZ61" i="3"/>
  <c r="AZ60" i="3"/>
  <c r="BA59" i="3"/>
  <c r="AU69" i="3"/>
  <c r="AZ59" i="3"/>
  <c r="O124" i="4" l="1"/>
  <c r="Q8" i="20"/>
  <c r="N17" i="20"/>
  <c r="N18" i="20"/>
  <c r="N8" i="20"/>
  <c r="N9" i="20"/>
  <c r="N10" i="20"/>
  <c r="N11" i="20"/>
  <c r="N12" i="20"/>
  <c r="N13" i="20"/>
  <c r="N14" i="20"/>
  <c r="N15" i="20"/>
  <c r="N16" i="20"/>
  <c r="N7" i="20"/>
  <c r="O40" i="4" l="1"/>
  <c r="H45" i="1" l="1"/>
  <c r="Y14" i="3" l="1"/>
  <c r="AY63" i="3"/>
  <c r="Q7" i="20" l="1"/>
  <c r="R7" i="20"/>
  <c r="J66" i="1" l="1"/>
  <c r="K14" i="4" l="1"/>
  <c r="L14" i="4"/>
  <c r="C73" i="1"/>
  <c r="C72" i="1"/>
  <c r="B73" i="1"/>
  <c r="B72" i="1"/>
  <c r="B71" i="1"/>
  <c r="R16" i="20" l="1"/>
  <c r="Q16" i="20"/>
  <c r="Q10" i="20"/>
  <c r="R10" i="20"/>
  <c r="R14" i="20"/>
  <c r="Q14" i="20"/>
  <c r="R8" i="20"/>
  <c r="R13" i="20"/>
  <c r="Q13" i="20"/>
  <c r="D17" i="20"/>
  <c r="J17" i="20"/>
  <c r="G17" i="20"/>
  <c r="M17" i="20"/>
  <c r="D16" i="20"/>
  <c r="J16" i="20"/>
  <c r="G16" i="20"/>
  <c r="M16" i="20"/>
  <c r="B3" i="20"/>
  <c r="M11" i="20"/>
  <c r="G11" i="20"/>
  <c r="J11" i="20"/>
  <c r="D11" i="20"/>
  <c r="M10" i="20"/>
  <c r="G10" i="20"/>
  <c r="J10" i="20"/>
  <c r="D10" i="20"/>
  <c r="L17" i="20"/>
  <c r="F17" i="20"/>
  <c r="I17" i="20"/>
  <c r="C17" i="20"/>
  <c r="L16" i="20"/>
  <c r="F16" i="20"/>
  <c r="I16" i="20"/>
  <c r="C16" i="20"/>
  <c r="L11" i="20"/>
  <c r="F11" i="20"/>
  <c r="I11" i="20"/>
  <c r="C11" i="20"/>
  <c r="L10" i="20"/>
  <c r="F10" i="20"/>
  <c r="I10" i="20"/>
  <c r="C10" i="20"/>
  <c r="K17" i="20"/>
  <c r="E17" i="20"/>
  <c r="H17" i="20"/>
  <c r="B17" i="20"/>
  <c r="K16" i="20"/>
  <c r="E16" i="20"/>
  <c r="H16" i="20"/>
  <c r="B16" i="20"/>
  <c r="K11" i="20"/>
  <c r="E11" i="20"/>
  <c r="H11" i="20"/>
  <c r="B11" i="20"/>
  <c r="K10" i="20"/>
  <c r="E10" i="20"/>
  <c r="H10" i="20"/>
  <c r="B10" i="20"/>
  <c r="M15" i="20"/>
  <c r="G15" i="20"/>
  <c r="J15" i="20"/>
  <c r="D15" i="20"/>
  <c r="M14" i="20"/>
  <c r="G14" i="20"/>
  <c r="J14" i="20"/>
  <c r="D14" i="20"/>
  <c r="M9" i="20"/>
  <c r="G9" i="20"/>
  <c r="J9" i="20"/>
  <c r="D9" i="20"/>
  <c r="M8" i="20"/>
  <c r="G8" i="20"/>
  <c r="J8" i="20"/>
  <c r="D8" i="20"/>
  <c r="L15" i="20"/>
  <c r="F15" i="20"/>
  <c r="I15" i="20"/>
  <c r="C15" i="20"/>
  <c r="L14" i="20"/>
  <c r="F14" i="20"/>
  <c r="I14" i="20"/>
  <c r="C14" i="20"/>
  <c r="L9" i="20"/>
  <c r="F9" i="20"/>
  <c r="I9" i="20"/>
  <c r="C9" i="20"/>
  <c r="L8" i="20"/>
  <c r="F8" i="20"/>
  <c r="I8" i="20"/>
  <c r="C8" i="20"/>
  <c r="K15" i="20"/>
  <c r="E15" i="20"/>
  <c r="H15" i="20"/>
  <c r="B15" i="20"/>
  <c r="K14" i="20"/>
  <c r="E14" i="20"/>
  <c r="H14" i="20"/>
  <c r="B14" i="20"/>
  <c r="K9" i="20"/>
  <c r="E9" i="20"/>
  <c r="H9" i="20"/>
  <c r="B9" i="20"/>
  <c r="K8" i="20"/>
  <c r="E8" i="20"/>
  <c r="H8" i="20"/>
  <c r="B8" i="20"/>
  <c r="M18" i="20"/>
  <c r="G18" i="20"/>
  <c r="J18" i="20"/>
  <c r="D18" i="20"/>
  <c r="M13" i="20"/>
  <c r="G13" i="20"/>
  <c r="J13" i="20"/>
  <c r="D13" i="20"/>
  <c r="M12" i="20"/>
  <c r="G12" i="20"/>
  <c r="J12" i="20"/>
  <c r="D12" i="20"/>
  <c r="M7" i="20"/>
  <c r="G7" i="20"/>
  <c r="J7" i="20"/>
  <c r="D7" i="20"/>
  <c r="L18" i="20"/>
  <c r="F18" i="20"/>
  <c r="I18" i="20"/>
  <c r="C18" i="20"/>
  <c r="L13" i="20"/>
  <c r="F13" i="20"/>
  <c r="I13" i="20"/>
  <c r="C13" i="20"/>
  <c r="L12" i="20"/>
  <c r="F12" i="20"/>
  <c r="I12" i="20"/>
  <c r="C12" i="20"/>
  <c r="L7" i="20"/>
  <c r="F7" i="20"/>
  <c r="I7" i="20"/>
  <c r="C7" i="20"/>
  <c r="K18" i="20"/>
  <c r="E18" i="20"/>
  <c r="H18" i="20"/>
  <c r="B18" i="20"/>
  <c r="K13" i="20"/>
  <c r="E13" i="20"/>
  <c r="H13" i="20"/>
  <c r="B13" i="20"/>
  <c r="K12" i="20"/>
  <c r="E12" i="20"/>
  <c r="H12" i="20"/>
  <c r="B12" i="20"/>
  <c r="B7" i="20"/>
  <c r="H7" i="20"/>
  <c r="E7" i="20"/>
  <c r="K7" i="20"/>
  <c r="L190" i="19"/>
  <c r="K190" i="19"/>
  <c r="J190" i="19"/>
  <c r="I190" i="19"/>
  <c r="H190" i="19"/>
  <c r="G190" i="19"/>
  <c r="F190" i="19"/>
  <c r="E190" i="19"/>
  <c r="D190" i="19"/>
  <c r="C190" i="19"/>
  <c r="L189" i="19"/>
  <c r="K189" i="19"/>
  <c r="J189" i="19"/>
  <c r="I189" i="19"/>
  <c r="H189" i="19"/>
  <c r="G189" i="19"/>
  <c r="F189" i="19"/>
  <c r="E189" i="19"/>
  <c r="D189" i="19"/>
  <c r="C189" i="19"/>
  <c r="L170" i="19"/>
  <c r="K170" i="19"/>
  <c r="J170" i="19"/>
  <c r="I170" i="19"/>
  <c r="H170" i="19"/>
  <c r="G170" i="19"/>
  <c r="F170" i="19"/>
  <c r="E170" i="19"/>
  <c r="D170" i="19"/>
  <c r="C170" i="19"/>
  <c r="L169" i="19"/>
  <c r="K169" i="19"/>
  <c r="J169" i="19"/>
  <c r="I169" i="19"/>
  <c r="H169" i="19"/>
  <c r="G169" i="19"/>
  <c r="F169" i="19"/>
  <c r="E169" i="19"/>
  <c r="D169" i="19"/>
  <c r="C169" i="19"/>
  <c r="L150" i="19"/>
  <c r="K150" i="19"/>
  <c r="J150" i="19"/>
  <c r="I150" i="19"/>
  <c r="H150" i="19"/>
  <c r="G150" i="19"/>
  <c r="F150" i="19"/>
  <c r="E150" i="19"/>
  <c r="D150" i="19"/>
  <c r="C150" i="19"/>
  <c r="L149" i="19"/>
  <c r="K149" i="19"/>
  <c r="J149" i="19"/>
  <c r="I149" i="19"/>
  <c r="H149" i="19"/>
  <c r="G149" i="19"/>
  <c r="F149" i="19"/>
  <c r="E149" i="19"/>
  <c r="D149" i="19"/>
  <c r="C149" i="19"/>
  <c r="L181" i="19"/>
  <c r="K181" i="19"/>
  <c r="J181" i="19"/>
  <c r="I181" i="19"/>
  <c r="H181" i="19"/>
  <c r="G181" i="19"/>
  <c r="F181" i="19"/>
  <c r="E181" i="19"/>
  <c r="D181" i="19"/>
  <c r="C181" i="19"/>
  <c r="L180" i="19"/>
  <c r="K180" i="19"/>
  <c r="J180" i="19"/>
  <c r="I180" i="19"/>
  <c r="H180" i="19"/>
  <c r="G180" i="19"/>
  <c r="F180" i="19"/>
  <c r="E180" i="19"/>
  <c r="D180" i="19"/>
  <c r="C180" i="19"/>
  <c r="L161" i="19"/>
  <c r="K161" i="19"/>
  <c r="J161" i="19"/>
  <c r="I161" i="19"/>
  <c r="H161" i="19"/>
  <c r="G161" i="19"/>
  <c r="F161" i="19"/>
  <c r="E161" i="19"/>
  <c r="D161" i="19"/>
  <c r="C161" i="19"/>
  <c r="L160" i="19"/>
  <c r="K160" i="19"/>
  <c r="J160" i="19"/>
  <c r="I160" i="19"/>
  <c r="H160" i="19"/>
  <c r="G160" i="19"/>
  <c r="F160" i="19"/>
  <c r="E160" i="19"/>
  <c r="D160" i="19"/>
  <c r="C160" i="19"/>
  <c r="L141" i="19"/>
  <c r="K141" i="19"/>
  <c r="J141" i="19"/>
  <c r="I141" i="19"/>
  <c r="H141" i="19"/>
  <c r="G141" i="19"/>
  <c r="F141" i="19"/>
  <c r="E141" i="19"/>
  <c r="D141" i="19"/>
  <c r="C141" i="19"/>
  <c r="L140" i="19"/>
  <c r="K140" i="19"/>
  <c r="J140" i="19"/>
  <c r="I140" i="19"/>
  <c r="H140" i="19"/>
  <c r="G140" i="19"/>
  <c r="F140" i="19"/>
  <c r="E140" i="19"/>
  <c r="D140" i="19"/>
  <c r="C140" i="19"/>
  <c r="K188" i="19"/>
  <c r="I188" i="19"/>
  <c r="H188" i="19"/>
  <c r="F188" i="19"/>
  <c r="D188" i="19"/>
  <c r="C188" i="19"/>
  <c r="K187" i="19"/>
  <c r="I187" i="19"/>
  <c r="H187" i="19"/>
  <c r="F187" i="19"/>
  <c r="D187" i="19"/>
  <c r="C187" i="19"/>
  <c r="K186" i="19"/>
  <c r="I186" i="19"/>
  <c r="H186" i="19"/>
  <c r="F186" i="19"/>
  <c r="D186" i="19"/>
  <c r="C186" i="19"/>
  <c r="K185" i="19"/>
  <c r="I185" i="19"/>
  <c r="H185" i="19"/>
  <c r="F185" i="19"/>
  <c r="D185" i="19"/>
  <c r="C185" i="19"/>
  <c r="K184" i="19"/>
  <c r="I184" i="19"/>
  <c r="H184" i="19"/>
  <c r="F184" i="19"/>
  <c r="D184" i="19"/>
  <c r="C184" i="19"/>
  <c r="K183" i="19"/>
  <c r="I183" i="19"/>
  <c r="H183" i="19"/>
  <c r="F183" i="19"/>
  <c r="D183" i="19"/>
  <c r="C183" i="19"/>
  <c r="K182" i="19"/>
  <c r="I182" i="19"/>
  <c r="H182" i="19"/>
  <c r="F182" i="19"/>
  <c r="D182" i="19"/>
  <c r="C182" i="19"/>
  <c r="K179" i="19"/>
  <c r="I179" i="19"/>
  <c r="H179" i="19"/>
  <c r="F179" i="19"/>
  <c r="D179" i="19"/>
  <c r="C179" i="19"/>
  <c r="K178" i="19"/>
  <c r="I178" i="19"/>
  <c r="H178" i="19"/>
  <c r="F178" i="19"/>
  <c r="D178" i="19"/>
  <c r="C178" i="19"/>
  <c r="K177" i="19"/>
  <c r="I177" i="19"/>
  <c r="H177" i="19"/>
  <c r="F177" i="19"/>
  <c r="D177" i="19"/>
  <c r="C177" i="19"/>
  <c r="K176" i="19"/>
  <c r="I176" i="19"/>
  <c r="H176" i="19"/>
  <c r="F176" i="19"/>
  <c r="D176" i="19"/>
  <c r="C176" i="19"/>
  <c r="K175" i="19"/>
  <c r="I175" i="19"/>
  <c r="H175" i="19"/>
  <c r="F175" i="19"/>
  <c r="D175" i="19"/>
  <c r="C175" i="19"/>
  <c r="K174" i="19"/>
  <c r="I174" i="19"/>
  <c r="H174" i="19"/>
  <c r="F174" i="19"/>
  <c r="D174" i="19"/>
  <c r="C174" i="19"/>
  <c r="K173" i="19"/>
  <c r="I173" i="19"/>
  <c r="H173" i="19"/>
  <c r="F173" i="19"/>
  <c r="D173" i="19"/>
  <c r="C173" i="19"/>
  <c r="K168" i="19"/>
  <c r="I168" i="19"/>
  <c r="H168" i="19"/>
  <c r="F168" i="19"/>
  <c r="D168" i="19"/>
  <c r="C168" i="19"/>
  <c r="K167" i="19"/>
  <c r="I167" i="19"/>
  <c r="H167" i="19"/>
  <c r="F167" i="19"/>
  <c r="D167" i="19"/>
  <c r="C167" i="19"/>
  <c r="K166" i="19"/>
  <c r="I166" i="19"/>
  <c r="H166" i="19"/>
  <c r="F166" i="19"/>
  <c r="D166" i="19"/>
  <c r="C166" i="19"/>
  <c r="K165" i="19"/>
  <c r="I165" i="19"/>
  <c r="H165" i="19"/>
  <c r="F165" i="19"/>
  <c r="D165" i="19"/>
  <c r="C165" i="19"/>
  <c r="K164" i="19"/>
  <c r="I164" i="19"/>
  <c r="H164" i="19"/>
  <c r="F164" i="19"/>
  <c r="D164" i="19"/>
  <c r="C164" i="19"/>
  <c r="K163" i="19"/>
  <c r="I163" i="19"/>
  <c r="H163" i="19"/>
  <c r="F163" i="19"/>
  <c r="D163" i="19"/>
  <c r="C163" i="19"/>
  <c r="K162" i="19"/>
  <c r="I162" i="19"/>
  <c r="H162" i="19"/>
  <c r="F162" i="19"/>
  <c r="D162" i="19"/>
  <c r="C162" i="19"/>
  <c r="K159" i="19"/>
  <c r="I159" i="19"/>
  <c r="H159" i="19"/>
  <c r="F159" i="19"/>
  <c r="D159" i="19"/>
  <c r="C159" i="19"/>
  <c r="K158" i="19"/>
  <c r="I158" i="19"/>
  <c r="H158" i="19"/>
  <c r="F158" i="19"/>
  <c r="D158" i="19"/>
  <c r="C158" i="19"/>
  <c r="K157" i="19"/>
  <c r="I157" i="19"/>
  <c r="H157" i="19"/>
  <c r="F157" i="19"/>
  <c r="D157" i="19"/>
  <c r="C157" i="19"/>
  <c r="K156" i="19"/>
  <c r="I156" i="19"/>
  <c r="H156" i="19"/>
  <c r="F156" i="19"/>
  <c r="D156" i="19"/>
  <c r="C156" i="19"/>
  <c r="K155" i="19"/>
  <c r="I155" i="19"/>
  <c r="H155" i="19"/>
  <c r="F155" i="19"/>
  <c r="D155" i="19"/>
  <c r="C155" i="19"/>
  <c r="K154" i="19"/>
  <c r="I154" i="19"/>
  <c r="H154" i="19"/>
  <c r="F154" i="19"/>
  <c r="D154" i="19"/>
  <c r="C154" i="19"/>
  <c r="K153" i="19"/>
  <c r="I153" i="19"/>
  <c r="H153" i="19"/>
  <c r="F153" i="19"/>
  <c r="D153" i="19"/>
  <c r="C153" i="19"/>
  <c r="K148" i="19"/>
  <c r="I148" i="19"/>
  <c r="H148" i="19"/>
  <c r="F148" i="19"/>
  <c r="D148" i="19"/>
  <c r="C148" i="19"/>
  <c r="K147" i="19"/>
  <c r="I147" i="19"/>
  <c r="H147" i="19"/>
  <c r="F147" i="19"/>
  <c r="D147" i="19"/>
  <c r="C147" i="19"/>
  <c r="K146" i="19"/>
  <c r="I146" i="19"/>
  <c r="H146" i="19"/>
  <c r="F146" i="19"/>
  <c r="D146" i="19"/>
  <c r="C146" i="19"/>
  <c r="K145" i="19"/>
  <c r="I145" i="19"/>
  <c r="H145" i="19"/>
  <c r="F145" i="19"/>
  <c r="D145" i="19"/>
  <c r="C145" i="19"/>
  <c r="K144" i="19"/>
  <c r="I144" i="19"/>
  <c r="H144" i="19"/>
  <c r="F144" i="19"/>
  <c r="D144" i="19"/>
  <c r="C144" i="19"/>
  <c r="K143" i="19"/>
  <c r="I143" i="19"/>
  <c r="H143" i="19"/>
  <c r="F143" i="19"/>
  <c r="D143" i="19"/>
  <c r="C143" i="19"/>
  <c r="K142" i="19"/>
  <c r="I142" i="19"/>
  <c r="H142" i="19"/>
  <c r="F142" i="19"/>
  <c r="D142" i="19"/>
  <c r="C142" i="19"/>
  <c r="K139" i="19"/>
  <c r="I139" i="19"/>
  <c r="H139" i="19"/>
  <c r="F139" i="19"/>
  <c r="D139" i="19"/>
  <c r="C139" i="19"/>
  <c r="K138" i="19"/>
  <c r="I138" i="19"/>
  <c r="H138" i="19"/>
  <c r="F138" i="19"/>
  <c r="D138" i="19"/>
  <c r="C138" i="19"/>
  <c r="K137" i="19"/>
  <c r="I137" i="19"/>
  <c r="H137" i="19"/>
  <c r="F137" i="19"/>
  <c r="D137" i="19"/>
  <c r="C137" i="19"/>
  <c r="K136" i="19"/>
  <c r="I136" i="19"/>
  <c r="H136" i="19"/>
  <c r="F136" i="19"/>
  <c r="D136" i="19"/>
  <c r="C136" i="19"/>
  <c r="K135" i="19"/>
  <c r="I135" i="19"/>
  <c r="H135" i="19"/>
  <c r="F135" i="19"/>
  <c r="D135" i="19"/>
  <c r="C135" i="19"/>
  <c r="K134" i="19"/>
  <c r="I134" i="19"/>
  <c r="H134" i="19"/>
  <c r="F134" i="19"/>
  <c r="D134" i="19"/>
  <c r="C134" i="19"/>
  <c r="K133" i="19"/>
  <c r="I133" i="19"/>
  <c r="H133" i="19"/>
  <c r="F133" i="19"/>
  <c r="D133" i="19"/>
  <c r="C133" i="19"/>
  <c r="K126" i="19"/>
  <c r="I126" i="19"/>
  <c r="H126" i="19"/>
  <c r="F126" i="19"/>
  <c r="D126" i="19"/>
  <c r="C126" i="19"/>
  <c r="K125" i="19"/>
  <c r="I125" i="19"/>
  <c r="H125" i="19"/>
  <c r="F125" i="19"/>
  <c r="D125" i="19"/>
  <c r="C125" i="19"/>
  <c r="K124" i="19"/>
  <c r="I124" i="19"/>
  <c r="H124" i="19"/>
  <c r="F124" i="19"/>
  <c r="D124" i="19"/>
  <c r="C124" i="19"/>
  <c r="K123" i="19"/>
  <c r="I123" i="19"/>
  <c r="H123" i="19"/>
  <c r="F123" i="19"/>
  <c r="D123" i="19"/>
  <c r="C123" i="19"/>
  <c r="K122" i="19"/>
  <c r="I122" i="19"/>
  <c r="H122" i="19"/>
  <c r="F122" i="19"/>
  <c r="D122" i="19"/>
  <c r="C122" i="19"/>
  <c r="K121" i="19"/>
  <c r="I121" i="19"/>
  <c r="H121" i="19"/>
  <c r="F121" i="19"/>
  <c r="D121" i="19"/>
  <c r="C121" i="19"/>
  <c r="K120" i="19"/>
  <c r="I120" i="19"/>
  <c r="H120" i="19"/>
  <c r="F120" i="19"/>
  <c r="D120" i="19"/>
  <c r="C120" i="19"/>
  <c r="K117" i="19"/>
  <c r="I117" i="19"/>
  <c r="H117" i="19"/>
  <c r="F117" i="19"/>
  <c r="D117" i="19"/>
  <c r="C117" i="19"/>
  <c r="K116" i="19"/>
  <c r="I116" i="19"/>
  <c r="H116" i="19"/>
  <c r="F116" i="19"/>
  <c r="D116" i="19"/>
  <c r="C116" i="19"/>
  <c r="K115" i="19"/>
  <c r="I115" i="19"/>
  <c r="H115" i="19"/>
  <c r="F115" i="19"/>
  <c r="D115" i="19"/>
  <c r="C115" i="19"/>
  <c r="K114" i="19"/>
  <c r="I114" i="19"/>
  <c r="H114" i="19"/>
  <c r="F114" i="19"/>
  <c r="D114" i="19"/>
  <c r="C114" i="19"/>
  <c r="K113" i="19"/>
  <c r="I113" i="19"/>
  <c r="H113" i="19"/>
  <c r="F113" i="19"/>
  <c r="D113" i="19"/>
  <c r="C113" i="19"/>
  <c r="K112" i="19"/>
  <c r="I112" i="19"/>
  <c r="H112" i="19"/>
  <c r="F112" i="19"/>
  <c r="D112" i="19"/>
  <c r="C112" i="19"/>
  <c r="K111" i="19"/>
  <c r="I111" i="19"/>
  <c r="H111" i="19"/>
  <c r="F111" i="19"/>
  <c r="D111" i="19"/>
  <c r="C111" i="19"/>
  <c r="K106" i="19"/>
  <c r="I106" i="19"/>
  <c r="H106" i="19"/>
  <c r="F106" i="19"/>
  <c r="D106" i="19"/>
  <c r="C106" i="19"/>
  <c r="K105" i="19"/>
  <c r="I105" i="19"/>
  <c r="H105" i="19"/>
  <c r="F105" i="19"/>
  <c r="D105" i="19"/>
  <c r="C105" i="19"/>
  <c r="K104" i="19"/>
  <c r="I104" i="19"/>
  <c r="H104" i="19"/>
  <c r="F104" i="19"/>
  <c r="D104" i="19"/>
  <c r="C104" i="19"/>
  <c r="K103" i="19"/>
  <c r="I103" i="19"/>
  <c r="H103" i="19"/>
  <c r="F103" i="19"/>
  <c r="D103" i="19"/>
  <c r="C103" i="19"/>
  <c r="K102" i="19"/>
  <c r="I102" i="19"/>
  <c r="H102" i="19"/>
  <c r="F102" i="19"/>
  <c r="D102" i="19"/>
  <c r="C102" i="19"/>
  <c r="K101" i="19"/>
  <c r="I101" i="19"/>
  <c r="H101" i="19"/>
  <c r="F101" i="19"/>
  <c r="D101" i="19"/>
  <c r="C101" i="19"/>
  <c r="K100" i="19"/>
  <c r="I100" i="19"/>
  <c r="H100" i="19"/>
  <c r="F100" i="19"/>
  <c r="D100" i="19"/>
  <c r="C100" i="19"/>
  <c r="K97" i="19"/>
  <c r="I97" i="19"/>
  <c r="H97" i="19"/>
  <c r="F97" i="19"/>
  <c r="D97" i="19"/>
  <c r="C97" i="19"/>
  <c r="K96" i="19"/>
  <c r="I96" i="19"/>
  <c r="H96" i="19"/>
  <c r="F96" i="19"/>
  <c r="D96" i="19"/>
  <c r="C96" i="19"/>
  <c r="K95" i="19"/>
  <c r="I95" i="19"/>
  <c r="H95" i="19"/>
  <c r="F95" i="19"/>
  <c r="D95" i="19"/>
  <c r="C95" i="19"/>
  <c r="K94" i="19"/>
  <c r="I94" i="19"/>
  <c r="H94" i="19"/>
  <c r="F94" i="19"/>
  <c r="D94" i="19"/>
  <c r="C94" i="19"/>
  <c r="K93" i="19"/>
  <c r="I93" i="19"/>
  <c r="H93" i="19"/>
  <c r="F93" i="19"/>
  <c r="D93" i="19"/>
  <c r="C93" i="19"/>
  <c r="K92" i="19"/>
  <c r="I92" i="19"/>
  <c r="H92" i="19"/>
  <c r="F92" i="19"/>
  <c r="D92" i="19"/>
  <c r="C92" i="19"/>
  <c r="K91" i="19"/>
  <c r="I91" i="19"/>
  <c r="H91" i="19"/>
  <c r="F91" i="19"/>
  <c r="D91" i="19"/>
  <c r="C91" i="19"/>
  <c r="K86" i="19"/>
  <c r="I86" i="19"/>
  <c r="H86" i="19"/>
  <c r="F86" i="19"/>
  <c r="D86" i="19"/>
  <c r="C86" i="19"/>
  <c r="K85" i="19"/>
  <c r="I85" i="19"/>
  <c r="H85" i="19"/>
  <c r="F85" i="19"/>
  <c r="D85" i="19"/>
  <c r="C85" i="19"/>
  <c r="K84" i="19"/>
  <c r="I84" i="19"/>
  <c r="H84" i="19"/>
  <c r="F84" i="19"/>
  <c r="D84" i="19"/>
  <c r="C84" i="19"/>
  <c r="K83" i="19"/>
  <c r="I83" i="19"/>
  <c r="H83" i="19"/>
  <c r="F83" i="19"/>
  <c r="D83" i="19"/>
  <c r="C83" i="19"/>
  <c r="K82" i="19"/>
  <c r="I82" i="19"/>
  <c r="H82" i="19"/>
  <c r="F82" i="19"/>
  <c r="D82" i="19"/>
  <c r="C82" i="19"/>
  <c r="K81" i="19"/>
  <c r="I81" i="19"/>
  <c r="H81" i="19"/>
  <c r="F81" i="19"/>
  <c r="D81" i="19"/>
  <c r="C81" i="19"/>
  <c r="K80" i="19"/>
  <c r="I80" i="19"/>
  <c r="H80" i="19"/>
  <c r="F80" i="19"/>
  <c r="D80" i="19"/>
  <c r="C80" i="19"/>
  <c r="K77" i="19"/>
  <c r="I77" i="19"/>
  <c r="H77" i="19"/>
  <c r="F77" i="19"/>
  <c r="D77" i="19"/>
  <c r="C77" i="19"/>
  <c r="K76" i="19"/>
  <c r="I76" i="19"/>
  <c r="H76" i="19"/>
  <c r="F76" i="19"/>
  <c r="D76" i="19"/>
  <c r="C76" i="19"/>
  <c r="K75" i="19"/>
  <c r="I75" i="19"/>
  <c r="H75" i="19"/>
  <c r="F75" i="19"/>
  <c r="D75" i="19"/>
  <c r="C75" i="19"/>
  <c r="K74" i="19"/>
  <c r="I74" i="19"/>
  <c r="H74" i="19"/>
  <c r="F74" i="19"/>
  <c r="D74" i="19"/>
  <c r="C74" i="19"/>
  <c r="K73" i="19"/>
  <c r="I73" i="19"/>
  <c r="H73" i="19"/>
  <c r="F73" i="19"/>
  <c r="D73" i="19"/>
  <c r="C73" i="19"/>
  <c r="K72" i="19"/>
  <c r="I72" i="19"/>
  <c r="H72" i="19"/>
  <c r="F72" i="19"/>
  <c r="D72" i="19"/>
  <c r="C72" i="19"/>
  <c r="K71" i="19"/>
  <c r="I71" i="19"/>
  <c r="H71" i="19"/>
  <c r="F71" i="19"/>
  <c r="D71" i="19"/>
  <c r="C71" i="19"/>
  <c r="K64" i="19"/>
  <c r="I64" i="19"/>
  <c r="H64" i="19"/>
  <c r="F64" i="19"/>
  <c r="D64" i="19"/>
  <c r="C64" i="19"/>
  <c r="K63" i="19"/>
  <c r="I63" i="19"/>
  <c r="H63" i="19"/>
  <c r="F63" i="19"/>
  <c r="D63" i="19"/>
  <c r="C63" i="19"/>
  <c r="K62" i="19"/>
  <c r="I62" i="19"/>
  <c r="H62" i="19"/>
  <c r="F62" i="19"/>
  <c r="D62" i="19"/>
  <c r="C62" i="19"/>
  <c r="K61" i="19"/>
  <c r="I61" i="19"/>
  <c r="H61" i="19"/>
  <c r="F61" i="19"/>
  <c r="D61" i="19"/>
  <c r="C61" i="19"/>
  <c r="K60" i="19"/>
  <c r="I60" i="19"/>
  <c r="H60" i="19"/>
  <c r="F60" i="19"/>
  <c r="D60" i="19"/>
  <c r="C60" i="19"/>
  <c r="K59" i="19"/>
  <c r="I59" i="19"/>
  <c r="H59" i="19"/>
  <c r="F59" i="19"/>
  <c r="D59" i="19"/>
  <c r="C59" i="19"/>
  <c r="K58" i="19"/>
  <c r="I58" i="19"/>
  <c r="H58" i="19"/>
  <c r="F58" i="19"/>
  <c r="D58" i="19"/>
  <c r="C58" i="19"/>
  <c r="K55" i="19"/>
  <c r="I55" i="19"/>
  <c r="H55" i="19"/>
  <c r="F55" i="19"/>
  <c r="D55" i="19"/>
  <c r="C55" i="19"/>
  <c r="K54" i="19"/>
  <c r="I54" i="19"/>
  <c r="H54" i="19"/>
  <c r="F54" i="19"/>
  <c r="D54" i="19"/>
  <c r="C54" i="19"/>
  <c r="K53" i="19"/>
  <c r="I53" i="19"/>
  <c r="H53" i="19"/>
  <c r="F53" i="19"/>
  <c r="D53" i="19"/>
  <c r="C53" i="19"/>
  <c r="K52" i="19"/>
  <c r="I52" i="19"/>
  <c r="H52" i="19"/>
  <c r="F52" i="19"/>
  <c r="D52" i="19"/>
  <c r="C52" i="19"/>
  <c r="K51" i="19"/>
  <c r="I51" i="19"/>
  <c r="H51" i="19"/>
  <c r="F51" i="19"/>
  <c r="D51" i="19"/>
  <c r="C51" i="19"/>
  <c r="K50" i="19"/>
  <c r="I50" i="19"/>
  <c r="H50" i="19"/>
  <c r="F50" i="19"/>
  <c r="D50" i="19"/>
  <c r="C50" i="19"/>
  <c r="K49" i="19"/>
  <c r="I49" i="19"/>
  <c r="H49" i="19"/>
  <c r="F49" i="19"/>
  <c r="D49" i="19"/>
  <c r="C49" i="19"/>
  <c r="K44" i="19"/>
  <c r="I44" i="19"/>
  <c r="H44" i="19"/>
  <c r="F44" i="19"/>
  <c r="D44" i="19"/>
  <c r="C44" i="19"/>
  <c r="K43" i="19"/>
  <c r="I43" i="19"/>
  <c r="H43" i="19"/>
  <c r="F43" i="19"/>
  <c r="D43" i="19"/>
  <c r="C43" i="19"/>
  <c r="K42" i="19"/>
  <c r="I42" i="19"/>
  <c r="H42" i="19"/>
  <c r="F42" i="19"/>
  <c r="D42" i="19"/>
  <c r="C42" i="19"/>
  <c r="K41" i="19"/>
  <c r="I41" i="19"/>
  <c r="H41" i="19"/>
  <c r="F41" i="19"/>
  <c r="D41" i="19"/>
  <c r="C41" i="19"/>
  <c r="K40" i="19"/>
  <c r="I40" i="19"/>
  <c r="H40" i="19"/>
  <c r="F40" i="19"/>
  <c r="D40" i="19"/>
  <c r="C40" i="19"/>
  <c r="K39" i="19"/>
  <c r="I39" i="19"/>
  <c r="H39" i="19"/>
  <c r="F39" i="19"/>
  <c r="D39" i="19"/>
  <c r="C39" i="19"/>
  <c r="K38" i="19"/>
  <c r="I38" i="19"/>
  <c r="H38" i="19"/>
  <c r="F38" i="19"/>
  <c r="D38" i="19"/>
  <c r="C38" i="19"/>
  <c r="K35" i="19"/>
  <c r="I35" i="19"/>
  <c r="H35" i="19"/>
  <c r="F35" i="19"/>
  <c r="D35" i="19"/>
  <c r="C35" i="19"/>
  <c r="K34" i="19"/>
  <c r="I34" i="19"/>
  <c r="H34" i="19"/>
  <c r="F34" i="19"/>
  <c r="D34" i="19"/>
  <c r="C34" i="19"/>
  <c r="K33" i="19"/>
  <c r="I33" i="19"/>
  <c r="H33" i="19"/>
  <c r="F33" i="19"/>
  <c r="D33" i="19"/>
  <c r="C33" i="19"/>
  <c r="K32" i="19"/>
  <c r="I32" i="19"/>
  <c r="H32" i="19"/>
  <c r="F32" i="19"/>
  <c r="D32" i="19"/>
  <c r="C32" i="19"/>
  <c r="K31" i="19"/>
  <c r="I31" i="19"/>
  <c r="H31" i="19"/>
  <c r="F31" i="19"/>
  <c r="D31" i="19"/>
  <c r="C31" i="19"/>
  <c r="K30" i="19"/>
  <c r="I30" i="19"/>
  <c r="H30" i="19"/>
  <c r="F30" i="19"/>
  <c r="D30" i="19"/>
  <c r="C30" i="19"/>
  <c r="K29" i="19"/>
  <c r="I29" i="19"/>
  <c r="H29" i="19"/>
  <c r="F29" i="19"/>
  <c r="D29" i="19"/>
  <c r="C29" i="19"/>
  <c r="K24" i="19"/>
  <c r="K23" i="19"/>
  <c r="K22" i="19"/>
  <c r="K21" i="19"/>
  <c r="K20" i="19"/>
  <c r="K19" i="19"/>
  <c r="K18" i="19"/>
  <c r="K15" i="19"/>
  <c r="K14" i="19"/>
  <c r="K13" i="19"/>
  <c r="K12" i="19"/>
  <c r="K11" i="19"/>
  <c r="K10" i="19"/>
  <c r="K9" i="19"/>
  <c r="I24" i="19"/>
  <c r="I23" i="19"/>
  <c r="I22" i="19"/>
  <c r="I21" i="19"/>
  <c r="I20" i="19"/>
  <c r="I19" i="19"/>
  <c r="I18" i="19"/>
  <c r="I15" i="19"/>
  <c r="I14" i="19"/>
  <c r="I13" i="19"/>
  <c r="I12" i="19"/>
  <c r="I11" i="19"/>
  <c r="I10" i="19"/>
  <c r="I9" i="19"/>
  <c r="H24" i="19"/>
  <c r="H23" i="19"/>
  <c r="H22" i="19"/>
  <c r="H21" i="19"/>
  <c r="H20" i="19"/>
  <c r="H19" i="19"/>
  <c r="H18" i="19"/>
  <c r="H15" i="19"/>
  <c r="H14" i="19"/>
  <c r="H13" i="19"/>
  <c r="H12" i="19"/>
  <c r="H11" i="19"/>
  <c r="H10" i="19"/>
  <c r="H9" i="19"/>
  <c r="F24" i="19"/>
  <c r="F23" i="19"/>
  <c r="F22" i="19"/>
  <c r="F21" i="19"/>
  <c r="F20" i="19"/>
  <c r="F19" i="19"/>
  <c r="F18" i="19"/>
  <c r="F15" i="19"/>
  <c r="F14" i="19"/>
  <c r="F13" i="19"/>
  <c r="F12" i="19"/>
  <c r="F11" i="19"/>
  <c r="F10" i="19"/>
  <c r="F9" i="19"/>
  <c r="D24" i="19"/>
  <c r="D23" i="19"/>
  <c r="D22" i="19"/>
  <c r="D21" i="19"/>
  <c r="D20" i="19"/>
  <c r="D19" i="19"/>
  <c r="D18" i="19"/>
  <c r="D15" i="19"/>
  <c r="D14" i="19"/>
  <c r="D13" i="19"/>
  <c r="D12" i="19"/>
  <c r="D11" i="19"/>
  <c r="D10" i="19"/>
  <c r="D9" i="19"/>
  <c r="C24" i="19"/>
  <c r="C23" i="19"/>
  <c r="C22" i="19"/>
  <c r="C21" i="19"/>
  <c r="C20" i="19"/>
  <c r="C19" i="19"/>
  <c r="C18" i="19"/>
  <c r="C11" i="19"/>
  <c r="C12" i="19"/>
  <c r="C13" i="19"/>
  <c r="C14" i="19"/>
  <c r="C15" i="19"/>
  <c r="C10" i="19"/>
  <c r="C9" i="19"/>
  <c r="B3" i="19"/>
  <c r="C40" i="6"/>
  <c r="C37" i="6"/>
  <c r="C22" i="6"/>
  <c r="C19" i="6"/>
  <c r="C39" i="6"/>
  <c r="C36" i="6"/>
  <c r="C21" i="6"/>
  <c r="C18" i="6"/>
  <c r="C38" i="6"/>
  <c r="C35" i="6"/>
  <c r="C17" i="6"/>
  <c r="AY81" i="3"/>
  <c r="W71" i="8"/>
  <c r="X71" i="8"/>
  <c r="W72" i="8"/>
  <c r="X72" i="8"/>
  <c r="W73" i="8"/>
  <c r="X73" i="8"/>
  <c r="W74" i="8"/>
  <c r="X74" i="8"/>
  <c r="W75" i="8"/>
  <c r="X75" i="8"/>
  <c r="W76" i="8"/>
  <c r="X76" i="8"/>
  <c r="W77" i="8"/>
  <c r="X77" i="8"/>
  <c r="W78" i="8"/>
  <c r="X78" i="8"/>
  <c r="W81" i="8"/>
  <c r="X81" i="8"/>
  <c r="W82" i="8"/>
  <c r="X82" i="8"/>
  <c r="W83" i="8"/>
  <c r="W84" i="8"/>
  <c r="X84" i="8"/>
  <c r="W85" i="8"/>
  <c r="X85" i="8"/>
  <c r="W86" i="8"/>
  <c r="X86" i="8"/>
  <c r="W87" i="8"/>
  <c r="X87" i="8"/>
  <c r="W91" i="8"/>
  <c r="X91" i="8"/>
  <c r="W92" i="8"/>
  <c r="X92" i="8"/>
  <c r="W93" i="8"/>
  <c r="X93" i="8"/>
  <c r="W94" i="8"/>
  <c r="X94" i="8"/>
  <c r="W95" i="8"/>
  <c r="X95" i="8"/>
  <c r="W96" i="8"/>
  <c r="X96" i="8"/>
  <c r="W97" i="8"/>
  <c r="X97" i="8"/>
  <c r="W98" i="8"/>
  <c r="X98" i="8"/>
  <c r="W101" i="8"/>
  <c r="X101" i="8"/>
  <c r="W102" i="8"/>
  <c r="X102" i="8"/>
  <c r="W103" i="8"/>
  <c r="X103" i="8"/>
  <c r="W104" i="8"/>
  <c r="X104" i="8"/>
  <c r="W105" i="8"/>
  <c r="X105" i="8"/>
  <c r="W106" i="8"/>
  <c r="X106" i="8"/>
  <c r="W107" i="8"/>
  <c r="X107" i="8"/>
  <c r="W111" i="8"/>
  <c r="X111" i="8"/>
  <c r="W112" i="8"/>
  <c r="X112" i="8"/>
  <c r="W113" i="8"/>
  <c r="X113" i="8"/>
  <c r="W114" i="8"/>
  <c r="X114" i="8"/>
  <c r="W115" i="8"/>
  <c r="X115" i="8"/>
  <c r="W116" i="8"/>
  <c r="X116" i="8"/>
  <c r="W117" i="8"/>
  <c r="X117" i="8"/>
  <c r="W118" i="8"/>
  <c r="X118" i="8"/>
  <c r="W121" i="8"/>
  <c r="X121" i="8"/>
  <c r="W122" i="8"/>
  <c r="X122" i="8"/>
  <c r="W123" i="8"/>
  <c r="X123" i="8"/>
  <c r="W124" i="8"/>
  <c r="X124" i="8"/>
  <c r="W125" i="8"/>
  <c r="X125" i="8"/>
  <c r="W126" i="8"/>
  <c r="X126" i="8"/>
  <c r="W127" i="8"/>
  <c r="X127" i="8"/>
  <c r="W133" i="8"/>
  <c r="X133" i="8"/>
  <c r="W134" i="8"/>
  <c r="X134" i="8"/>
  <c r="W135" i="8"/>
  <c r="X135" i="8"/>
  <c r="W136" i="8"/>
  <c r="X136" i="8"/>
  <c r="W137" i="8"/>
  <c r="X137" i="8"/>
  <c r="W138" i="8"/>
  <c r="X138" i="8"/>
  <c r="W139" i="8"/>
  <c r="X139" i="8"/>
  <c r="W140" i="8"/>
  <c r="X140" i="8"/>
  <c r="W143" i="8"/>
  <c r="X143" i="8"/>
  <c r="W144" i="8"/>
  <c r="X144" i="8"/>
  <c r="W145" i="8"/>
  <c r="X145" i="8"/>
  <c r="W146" i="8"/>
  <c r="X146" i="8"/>
  <c r="W147" i="8"/>
  <c r="X147" i="8"/>
  <c r="W148" i="8"/>
  <c r="X148" i="8"/>
  <c r="W149" i="8"/>
  <c r="X149" i="8"/>
  <c r="W153" i="8"/>
  <c r="X153" i="8"/>
  <c r="W154" i="8"/>
  <c r="X154" i="8"/>
  <c r="W155" i="8"/>
  <c r="X155" i="8"/>
  <c r="W156" i="8"/>
  <c r="X156" i="8"/>
  <c r="W157" i="8"/>
  <c r="X157" i="8"/>
  <c r="W158" i="8"/>
  <c r="X158" i="8"/>
  <c r="W159" i="8"/>
  <c r="X159" i="8"/>
  <c r="W160" i="8"/>
  <c r="X160" i="8"/>
  <c r="W163" i="8"/>
  <c r="X163" i="8"/>
  <c r="W164" i="8"/>
  <c r="X164" i="8"/>
  <c r="W165" i="8"/>
  <c r="X165" i="8"/>
  <c r="W166" i="8"/>
  <c r="X166" i="8"/>
  <c r="W167" i="8"/>
  <c r="X167" i="8"/>
  <c r="W168" i="8"/>
  <c r="X168" i="8"/>
  <c r="W169" i="8"/>
  <c r="X169" i="8"/>
  <c r="W173" i="8"/>
  <c r="X173" i="8"/>
  <c r="W174" i="8"/>
  <c r="X174" i="8"/>
  <c r="W175" i="8"/>
  <c r="X175" i="8"/>
  <c r="W176" i="8"/>
  <c r="X176" i="8"/>
  <c r="W177" i="8"/>
  <c r="X177" i="8"/>
  <c r="W178" i="8"/>
  <c r="X178" i="8"/>
  <c r="W179" i="8"/>
  <c r="X179" i="8"/>
  <c r="W180" i="8"/>
  <c r="X180" i="8"/>
  <c r="W183" i="8"/>
  <c r="X183" i="8"/>
  <c r="W184" i="8"/>
  <c r="X184" i="8"/>
  <c r="W185" i="8"/>
  <c r="X185" i="8"/>
  <c r="W186" i="8"/>
  <c r="X186" i="8"/>
  <c r="W187" i="8"/>
  <c r="X187" i="8"/>
  <c r="W188" i="8"/>
  <c r="X188" i="8"/>
  <c r="W189" i="8"/>
  <c r="X189" i="8"/>
  <c r="I195" i="8"/>
  <c r="J195" i="8"/>
  <c r="I196" i="8"/>
  <c r="J196" i="8"/>
  <c r="I197" i="8"/>
  <c r="J197" i="8"/>
  <c r="I198" i="8"/>
  <c r="J198" i="8"/>
  <c r="I199" i="8"/>
  <c r="J199" i="8"/>
  <c r="I200" i="8"/>
  <c r="J200" i="8"/>
  <c r="I201" i="8"/>
  <c r="J201" i="8"/>
  <c r="I202" i="8"/>
  <c r="J202" i="8"/>
  <c r="I205" i="8"/>
  <c r="J205" i="8"/>
  <c r="I206" i="8"/>
  <c r="J206" i="8"/>
  <c r="I207" i="8"/>
  <c r="J207" i="8"/>
  <c r="I208" i="8"/>
  <c r="J208" i="8"/>
  <c r="I209" i="8"/>
  <c r="J209" i="8"/>
  <c r="I210" i="8"/>
  <c r="J210" i="8"/>
  <c r="I211" i="8"/>
  <c r="J211" i="8"/>
  <c r="I215" i="8"/>
  <c r="J215" i="8"/>
  <c r="I216" i="8"/>
  <c r="J216" i="8"/>
  <c r="I217" i="8"/>
  <c r="J217" i="8"/>
  <c r="I218" i="8"/>
  <c r="J218" i="8"/>
  <c r="I219" i="8"/>
  <c r="J219" i="8"/>
  <c r="I220" i="8"/>
  <c r="J220" i="8"/>
  <c r="I221" i="8"/>
  <c r="J221" i="8"/>
  <c r="I222" i="8"/>
  <c r="J222" i="8"/>
  <c r="I225" i="8"/>
  <c r="J225" i="8"/>
  <c r="I226" i="8"/>
  <c r="J226" i="8"/>
  <c r="I227" i="8"/>
  <c r="J227" i="8"/>
  <c r="I228" i="8"/>
  <c r="J228" i="8"/>
  <c r="I229" i="8"/>
  <c r="J229" i="8"/>
  <c r="I230" i="8"/>
  <c r="J230" i="8"/>
  <c r="I231" i="8"/>
  <c r="J231" i="8"/>
  <c r="I235" i="8"/>
  <c r="J235" i="8"/>
  <c r="I236" i="8"/>
  <c r="J236" i="8"/>
  <c r="I237" i="8"/>
  <c r="J237" i="8"/>
  <c r="I238" i="8"/>
  <c r="J238" i="8"/>
  <c r="I239" i="8"/>
  <c r="J239" i="8"/>
  <c r="I240" i="8"/>
  <c r="J240" i="8"/>
  <c r="I241" i="8"/>
  <c r="J241" i="8"/>
  <c r="I242" i="8"/>
  <c r="J242" i="8"/>
  <c r="I245" i="8"/>
  <c r="J245" i="8"/>
  <c r="I246" i="8"/>
  <c r="J246" i="8"/>
  <c r="I247" i="8"/>
  <c r="J247" i="8"/>
  <c r="I248" i="8"/>
  <c r="J248" i="8"/>
  <c r="I249" i="8"/>
  <c r="J249" i="8"/>
  <c r="I250" i="8"/>
  <c r="J250" i="8"/>
  <c r="I251" i="8"/>
  <c r="J251" i="8"/>
  <c r="I133" i="8"/>
  <c r="J133" i="8"/>
  <c r="I134" i="8"/>
  <c r="J134" i="8"/>
  <c r="I135" i="8"/>
  <c r="J135" i="8"/>
  <c r="I136" i="8"/>
  <c r="J136" i="8"/>
  <c r="I137" i="8"/>
  <c r="J137" i="8"/>
  <c r="I138" i="8"/>
  <c r="J138" i="8"/>
  <c r="I139" i="8"/>
  <c r="J139" i="8"/>
  <c r="I140" i="8"/>
  <c r="J140" i="8"/>
  <c r="I143" i="8"/>
  <c r="J143" i="8"/>
  <c r="I144" i="8"/>
  <c r="J144" i="8"/>
  <c r="I145" i="8"/>
  <c r="J145" i="8"/>
  <c r="I146" i="8"/>
  <c r="J146" i="8"/>
  <c r="I147" i="8"/>
  <c r="J147" i="8"/>
  <c r="I148" i="8"/>
  <c r="J148" i="8"/>
  <c r="I149" i="8"/>
  <c r="J149" i="8"/>
  <c r="I153" i="8"/>
  <c r="J153" i="8"/>
  <c r="I154" i="8"/>
  <c r="J154" i="8"/>
  <c r="I155" i="8"/>
  <c r="J155" i="8"/>
  <c r="I156" i="8"/>
  <c r="J156" i="8"/>
  <c r="I157" i="8"/>
  <c r="J157" i="8"/>
  <c r="I158" i="8"/>
  <c r="J158" i="8"/>
  <c r="I159" i="8"/>
  <c r="J159" i="8"/>
  <c r="I160" i="8"/>
  <c r="J160" i="8"/>
  <c r="I163" i="8"/>
  <c r="J163" i="8"/>
  <c r="I164" i="8"/>
  <c r="J164" i="8"/>
  <c r="I165" i="8"/>
  <c r="J165" i="8"/>
  <c r="I166" i="8"/>
  <c r="J166" i="8"/>
  <c r="I167" i="8"/>
  <c r="J167" i="8"/>
  <c r="I168" i="8"/>
  <c r="J168" i="8"/>
  <c r="I169" i="8"/>
  <c r="J169" i="8"/>
  <c r="I173" i="8"/>
  <c r="J173" i="8"/>
  <c r="I174" i="8"/>
  <c r="J174" i="8"/>
  <c r="I175" i="8"/>
  <c r="J175" i="8"/>
  <c r="I176" i="8"/>
  <c r="J176" i="8"/>
  <c r="I177" i="8"/>
  <c r="J177" i="8"/>
  <c r="I178" i="8"/>
  <c r="J178" i="8"/>
  <c r="I179" i="8"/>
  <c r="J179" i="8"/>
  <c r="I180" i="8"/>
  <c r="J180" i="8"/>
  <c r="I183" i="8"/>
  <c r="J183" i="8"/>
  <c r="I184" i="8"/>
  <c r="J184" i="8"/>
  <c r="I185" i="8"/>
  <c r="J185" i="8"/>
  <c r="I186" i="8"/>
  <c r="J186" i="8"/>
  <c r="I187" i="8"/>
  <c r="J187" i="8"/>
  <c r="I188" i="8"/>
  <c r="J188" i="8"/>
  <c r="I189" i="8"/>
  <c r="J189" i="8"/>
  <c r="I71" i="8"/>
  <c r="J71" i="8"/>
  <c r="I72" i="8"/>
  <c r="J72" i="8"/>
  <c r="I73" i="8"/>
  <c r="J73" i="8"/>
  <c r="I74" i="8"/>
  <c r="J74" i="8"/>
  <c r="I75" i="8"/>
  <c r="J75" i="8"/>
  <c r="I76" i="8"/>
  <c r="J76" i="8"/>
  <c r="I77" i="8"/>
  <c r="J77" i="8"/>
  <c r="I78" i="8"/>
  <c r="J78" i="8"/>
  <c r="I81" i="8"/>
  <c r="J81" i="8"/>
  <c r="I82" i="8"/>
  <c r="J82" i="8"/>
  <c r="I83" i="8"/>
  <c r="J83" i="8"/>
  <c r="I84" i="8"/>
  <c r="J84" i="8"/>
  <c r="I85" i="8"/>
  <c r="J85" i="8"/>
  <c r="I86" i="8"/>
  <c r="J86" i="8"/>
  <c r="I87" i="8"/>
  <c r="J87" i="8"/>
  <c r="I91" i="8"/>
  <c r="J91" i="8"/>
  <c r="I92" i="8"/>
  <c r="J92" i="8"/>
  <c r="I93" i="8"/>
  <c r="J93" i="8"/>
  <c r="I94" i="8"/>
  <c r="J94" i="8"/>
  <c r="I95" i="8"/>
  <c r="J95" i="8"/>
  <c r="I96" i="8"/>
  <c r="J96" i="8"/>
  <c r="I97" i="8"/>
  <c r="J97" i="8"/>
  <c r="I98" i="8"/>
  <c r="J98" i="8"/>
  <c r="I101" i="8"/>
  <c r="J101" i="8"/>
  <c r="I102" i="8"/>
  <c r="J102" i="8"/>
  <c r="I103" i="8"/>
  <c r="J103" i="8"/>
  <c r="I104" i="8"/>
  <c r="J104" i="8"/>
  <c r="I105" i="8"/>
  <c r="J105" i="8"/>
  <c r="I106" i="8"/>
  <c r="J106" i="8"/>
  <c r="I107" i="8"/>
  <c r="J107" i="8"/>
  <c r="I111" i="8"/>
  <c r="J111" i="8"/>
  <c r="I112" i="8"/>
  <c r="J112" i="8"/>
  <c r="I113" i="8"/>
  <c r="J113" i="8"/>
  <c r="I114" i="8"/>
  <c r="J114" i="8"/>
  <c r="I115" i="8"/>
  <c r="J115" i="8"/>
  <c r="I116" i="8"/>
  <c r="J116" i="8"/>
  <c r="I117" i="8"/>
  <c r="J117" i="8"/>
  <c r="I118" i="8"/>
  <c r="J118" i="8"/>
  <c r="I121" i="8"/>
  <c r="J121" i="8"/>
  <c r="I122" i="8"/>
  <c r="J122" i="8"/>
  <c r="I123" i="8"/>
  <c r="J123" i="8"/>
  <c r="I124" i="8"/>
  <c r="J124" i="8"/>
  <c r="I125" i="8"/>
  <c r="J125" i="8"/>
  <c r="I126" i="8"/>
  <c r="J126" i="8"/>
  <c r="I127" i="8"/>
  <c r="J127" i="8"/>
  <c r="I8" i="8"/>
  <c r="J8" i="8"/>
  <c r="I9" i="8"/>
  <c r="J9" i="8"/>
  <c r="I10" i="8"/>
  <c r="J10" i="8"/>
  <c r="I11" i="8"/>
  <c r="J11" i="8"/>
  <c r="I12" i="8"/>
  <c r="J12" i="8"/>
  <c r="I13" i="8"/>
  <c r="J13" i="8"/>
  <c r="I14" i="8"/>
  <c r="J14" i="8"/>
  <c r="I15" i="8"/>
  <c r="J15" i="8"/>
  <c r="I18" i="8"/>
  <c r="J18" i="8"/>
  <c r="I19" i="8"/>
  <c r="J19" i="8"/>
  <c r="I20" i="8"/>
  <c r="J20" i="8"/>
  <c r="I21" i="8"/>
  <c r="J21" i="8"/>
  <c r="I22" i="8"/>
  <c r="J22" i="8"/>
  <c r="I23" i="8"/>
  <c r="J23" i="8"/>
  <c r="I24" i="8"/>
  <c r="J24" i="8"/>
  <c r="I28" i="8"/>
  <c r="J28" i="8"/>
  <c r="I29" i="8"/>
  <c r="J29" i="8"/>
  <c r="I30" i="8"/>
  <c r="J30" i="8"/>
  <c r="I31" i="8"/>
  <c r="J31" i="8"/>
  <c r="I32" i="8"/>
  <c r="J32" i="8"/>
  <c r="I33" i="8"/>
  <c r="J33" i="8"/>
  <c r="I34" i="8"/>
  <c r="J34" i="8"/>
  <c r="I35" i="8"/>
  <c r="J35" i="8"/>
  <c r="I38" i="8"/>
  <c r="J38" i="8"/>
  <c r="I39" i="8"/>
  <c r="J39" i="8"/>
  <c r="I40" i="8"/>
  <c r="J40" i="8"/>
  <c r="I41" i="8"/>
  <c r="J41" i="8"/>
  <c r="I42" i="8"/>
  <c r="J42" i="8"/>
  <c r="I43" i="8"/>
  <c r="J43" i="8"/>
  <c r="I44" i="8"/>
  <c r="J44" i="8"/>
  <c r="I48" i="8"/>
  <c r="J48" i="8"/>
  <c r="I49" i="8"/>
  <c r="J49" i="8"/>
  <c r="I50" i="8"/>
  <c r="J50" i="8"/>
  <c r="I51" i="8"/>
  <c r="J51" i="8"/>
  <c r="I52" i="8"/>
  <c r="J52" i="8"/>
  <c r="I53" i="8"/>
  <c r="J53" i="8"/>
  <c r="I54" i="8"/>
  <c r="J54" i="8"/>
  <c r="I55" i="8"/>
  <c r="J55" i="8"/>
  <c r="I58" i="8"/>
  <c r="J58" i="8"/>
  <c r="I59" i="8"/>
  <c r="J59" i="8"/>
  <c r="I60" i="8"/>
  <c r="J60" i="8"/>
  <c r="I61" i="8"/>
  <c r="J61" i="8"/>
  <c r="I62" i="8"/>
  <c r="J62" i="8"/>
  <c r="I63" i="8"/>
  <c r="J63" i="8"/>
  <c r="I64" i="8"/>
  <c r="J64" i="8"/>
  <c r="W141" i="8" l="1"/>
  <c r="D31" i="10" s="1"/>
  <c r="Q27" i="10" s="1"/>
  <c r="X79" i="8"/>
  <c r="F18" i="10" s="1"/>
  <c r="I142" i="8"/>
  <c r="E25" i="10" s="1"/>
  <c r="R26" i="10" s="1"/>
  <c r="J141" i="8"/>
  <c r="F25" i="10" s="1"/>
  <c r="J252" i="8"/>
  <c r="F43" i="10" s="1"/>
  <c r="J213" i="8"/>
  <c r="G41" i="10" s="1"/>
  <c r="W109" i="8"/>
  <c r="E20" i="10" s="1"/>
  <c r="X25" i="10" s="1"/>
  <c r="X161" i="8"/>
  <c r="F32" i="10" s="1"/>
  <c r="X100" i="8"/>
  <c r="G19" i="10" s="1"/>
  <c r="I26" i="8"/>
  <c r="E8" i="10" s="1"/>
  <c r="R29" i="10" s="1"/>
  <c r="W170" i="8"/>
  <c r="D35" i="10" s="1"/>
  <c r="T33" i="10" s="1"/>
  <c r="I66" i="8"/>
  <c r="E10" i="10" s="1"/>
  <c r="X29" i="10" s="1"/>
  <c r="I37" i="8"/>
  <c r="E6" i="10" s="1"/>
  <c r="U23" i="10" s="1"/>
  <c r="J170" i="8"/>
  <c r="F29" i="10" s="1"/>
  <c r="I150" i="8"/>
  <c r="D28" i="10" s="1"/>
  <c r="Q32" i="10" s="1"/>
  <c r="W191" i="8"/>
  <c r="E36" i="10" s="1"/>
  <c r="X33" i="10" s="1"/>
  <c r="W88" i="8"/>
  <c r="D21" i="10" s="1"/>
  <c r="Q31" i="10" s="1"/>
  <c r="J66" i="8"/>
  <c r="G10" i="10" s="1"/>
  <c r="J57" i="8"/>
  <c r="G7" i="10" s="1"/>
  <c r="J99" i="8"/>
  <c r="F13" i="10" s="1"/>
  <c r="X108" i="8"/>
  <c r="F22" i="10" s="1"/>
  <c r="J16" i="8"/>
  <c r="F5" i="10" s="1"/>
  <c r="X190" i="8"/>
  <c r="F36" i="10" s="1"/>
  <c r="I79" i="8"/>
  <c r="D12" i="10" s="1"/>
  <c r="Q24" i="10" s="1"/>
  <c r="I108" i="8"/>
  <c r="D16" i="10" s="1"/>
  <c r="T30" i="10" s="1"/>
  <c r="I212" i="8"/>
  <c r="D41" i="10" s="1"/>
  <c r="Q34" i="10" s="1"/>
  <c r="J37" i="8"/>
  <c r="G6" i="10" s="1"/>
  <c r="I45" i="8"/>
  <c r="D9" i="10" s="1"/>
  <c r="T29" i="10" s="1"/>
  <c r="I171" i="8"/>
  <c r="E29" i="10" s="1"/>
  <c r="U32" i="10" s="1"/>
  <c r="I203" i="8"/>
  <c r="D38" i="10" s="1"/>
  <c r="Q28" i="10" s="1"/>
  <c r="J128" i="8"/>
  <c r="F17" i="10" s="1"/>
  <c r="I16" i="8"/>
  <c r="D5" i="10" s="1"/>
  <c r="Q23" i="10" s="1"/>
  <c r="J244" i="8"/>
  <c r="G40" i="10" s="1"/>
  <c r="I56" i="8"/>
  <c r="D7" i="10" s="1"/>
  <c r="W23" i="10" s="1"/>
  <c r="J36" i="8"/>
  <c r="F6" i="10" s="1"/>
  <c r="J25" i="8"/>
  <c r="F8" i="10" s="1"/>
  <c r="I119" i="8"/>
  <c r="D14" i="10" s="1"/>
  <c r="W24" i="10" s="1"/>
  <c r="J108" i="8"/>
  <c r="F16" i="10" s="1"/>
  <c r="I99" i="8"/>
  <c r="D13" i="10" s="1"/>
  <c r="T24" i="10" s="1"/>
  <c r="I151" i="8"/>
  <c r="E28" i="10" s="1"/>
  <c r="R32" i="10" s="1"/>
  <c r="I243" i="8"/>
  <c r="D40" i="10" s="1"/>
  <c r="W28" i="10" s="1"/>
  <c r="J224" i="8"/>
  <c r="G39" i="10" s="1"/>
  <c r="W119" i="8"/>
  <c r="D20" i="10" s="1"/>
  <c r="W25" i="10" s="1"/>
  <c r="W89" i="8"/>
  <c r="E21" i="10" s="1"/>
  <c r="R31" i="10" s="1"/>
  <c r="X80" i="8"/>
  <c r="G18" i="10" s="1"/>
  <c r="J65" i="8"/>
  <c r="F10" i="10" s="1"/>
  <c r="I36" i="8"/>
  <c r="D6" i="10" s="1"/>
  <c r="T23" i="10" s="1"/>
  <c r="I25" i="8"/>
  <c r="D8" i="10" s="1"/>
  <c r="Q29" i="10" s="1"/>
  <c r="I80" i="8"/>
  <c r="E12" i="10" s="1"/>
  <c r="R24" i="10" s="1"/>
  <c r="J142" i="8"/>
  <c r="G25" i="10" s="1"/>
  <c r="I224" i="8"/>
  <c r="E39" i="10" s="1"/>
  <c r="U28" i="10" s="1"/>
  <c r="I213" i="8"/>
  <c r="E41" i="10" s="1"/>
  <c r="R34" i="10" s="1"/>
  <c r="W171" i="8"/>
  <c r="E35" i="10" s="1"/>
  <c r="U33" i="10" s="1"/>
  <c r="X150" i="8"/>
  <c r="F34" i="10" s="1"/>
  <c r="X109" i="8"/>
  <c r="G20" i="10" s="1"/>
  <c r="W100" i="8"/>
  <c r="E19" i="10" s="1"/>
  <c r="U25" i="10" s="1"/>
  <c r="I65" i="8"/>
  <c r="D10" i="10" s="1"/>
  <c r="W29" i="10" s="1"/>
  <c r="J45" i="8"/>
  <c r="F9" i="10" s="1"/>
  <c r="I129" i="8"/>
  <c r="E17" i="10" s="1"/>
  <c r="X30" i="10" s="1"/>
  <c r="I128" i="8"/>
  <c r="D17" i="10" s="1"/>
  <c r="W30" i="10" s="1"/>
  <c r="J80" i="8"/>
  <c r="G12" i="10" s="1"/>
  <c r="J181" i="8"/>
  <c r="F27" i="10" s="1"/>
  <c r="J253" i="8"/>
  <c r="G43" i="10" s="1"/>
  <c r="I244" i="8"/>
  <c r="E40" i="10" s="1"/>
  <c r="X28" i="10" s="1"/>
  <c r="J233" i="8"/>
  <c r="G42" i="10" s="1"/>
  <c r="W150" i="8"/>
  <c r="D34" i="10" s="1"/>
  <c r="Q33" i="10" s="1"/>
  <c r="X141" i="8"/>
  <c r="F31" i="10" s="1"/>
  <c r="W129" i="8"/>
  <c r="E23" i="10" s="1"/>
  <c r="X31" i="10" s="1"/>
  <c r="X99" i="8"/>
  <c r="F19" i="10" s="1"/>
  <c r="I109" i="8"/>
  <c r="E16" i="10" s="1"/>
  <c r="U30" i="10" s="1"/>
  <c r="I181" i="8"/>
  <c r="D27" i="10" s="1"/>
  <c r="W26" i="10" s="1"/>
  <c r="J161" i="8"/>
  <c r="I253" i="8"/>
  <c r="E43" i="10" s="1"/>
  <c r="X34" i="10" s="1"/>
  <c r="J243" i="8"/>
  <c r="F40" i="10" s="1"/>
  <c r="I223" i="8"/>
  <c r="D39" i="10" s="1"/>
  <c r="T28" i="10" s="1"/>
  <c r="X191" i="8"/>
  <c r="G36" i="10" s="1"/>
  <c r="X181" i="8"/>
  <c r="X128" i="8"/>
  <c r="F23" i="10" s="1"/>
  <c r="W99" i="8"/>
  <c r="D19" i="10" s="1"/>
  <c r="T25" i="10" s="1"/>
  <c r="W79" i="8"/>
  <c r="D18" i="10" s="1"/>
  <c r="Q25" i="10" s="1"/>
  <c r="J26" i="8"/>
  <c r="G8" i="10" s="1"/>
  <c r="J109" i="8"/>
  <c r="G16" i="10" s="1"/>
  <c r="I88" i="8"/>
  <c r="D15" i="10" s="1"/>
  <c r="Q30" i="10" s="1"/>
  <c r="I161" i="8"/>
  <c r="D26" i="10" s="1"/>
  <c r="T26" i="10" s="1"/>
  <c r="I141" i="8"/>
  <c r="D25" i="10" s="1"/>
  <c r="Q26" i="10" s="1"/>
  <c r="J232" i="8"/>
  <c r="F42" i="10" s="1"/>
  <c r="J212" i="8"/>
  <c r="F41" i="10" s="1"/>
  <c r="J203" i="8"/>
  <c r="F38" i="10" s="1"/>
  <c r="W181" i="8"/>
  <c r="D33" i="10" s="1"/>
  <c r="W27" i="10" s="1"/>
  <c r="X170" i="8"/>
  <c r="F35" i="10" s="1"/>
  <c r="W161" i="8"/>
  <c r="D32" i="10" s="1"/>
  <c r="T27" i="10" s="1"/>
  <c r="W128" i="8"/>
  <c r="D23" i="10" s="1"/>
  <c r="W31" i="10" s="1"/>
  <c r="W108" i="8"/>
  <c r="D22" i="10" s="1"/>
  <c r="T31" i="10" s="1"/>
  <c r="J100" i="8"/>
  <c r="G13" i="10" s="1"/>
  <c r="J88" i="8"/>
  <c r="F15" i="10" s="1"/>
  <c r="I191" i="8"/>
  <c r="E30" i="10" s="1"/>
  <c r="X32" i="10" s="1"/>
  <c r="I252" i="8"/>
  <c r="D43" i="10" s="1"/>
  <c r="W34" i="10" s="1"/>
  <c r="I232" i="8"/>
  <c r="D42" i="10" s="1"/>
  <c r="T34" i="10" s="1"/>
  <c r="I57" i="8"/>
  <c r="E7" i="10" s="1"/>
  <c r="X23" i="10" s="1"/>
  <c r="J46" i="8"/>
  <c r="G9" i="10" s="1"/>
  <c r="J17" i="8"/>
  <c r="G5" i="10" s="1"/>
  <c r="I89" i="8"/>
  <c r="E15" i="10" s="1"/>
  <c r="R30" i="10" s="1"/>
  <c r="J79" i="8"/>
  <c r="F12" i="10" s="1"/>
  <c r="J190" i="8"/>
  <c r="F30" i="10" s="1"/>
  <c r="I170" i="8"/>
  <c r="D29" i="10" s="1"/>
  <c r="T32" i="10" s="1"/>
  <c r="J223" i="8"/>
  <c r="F39" i="10" s="1"/>
  <c r="I204" i="8"/>
  <c r="E38" i="10" s="1"/>
  <c r="R28" i="10" s="1"/>
  <c r="W190" i="8"/>
  <c r="D36" i="10" s="1"/>
  <c r="W33" i="10" s="1"/>
  <c r="X142" i="8"/>
  <c r="G31" i="10" s="1"/>
  <c r="X129" i="8"/>
  <c r="G23" i="10" s="1"/>
  <c r="J56" i="8"/>
  <c r="F7" i="10" s="1"/>
  <c r="I46" i="8"/>
  <c r="E9" i="10" s="1"/>
  <c r="U29" i="10" s="1"/>
  <c r="I17" i="8"/>
  <c r="E5" i="10" s="1"/>
  <c r="R23" i="10" s="1"/>
  <c r="J129" i="8"/>
  <c r="G17" i="10" s="1"/>
  <c r="J119" i="8"/>
  <c r="I190" i="8"/>
  <c r="D30" i="10" s="1"/>
  <c r="W32" i="10" s="1"/>
  <c r="J171" i="8"/>
  <c r="G29" i="10" s="1"/>
  <c r="J150" i="8"/>
  <c r="F28" i="10" s="1"/>
  <c r="I233" i="8"/>
  <c r="E42" i="10" s="1"/>
  <c r="U34" i="10" s="1"/>
  <c r="W142" i="8"/>
  <c r="E31" i="10" s="1"/>
  <c r="R27" i="10" s="1"/>
  <c r="X119" i="8"/>
  <c r="F20" i="10" s="1"/>
  <c r="I127" i="19"/>
  <c r="C127" i="19"/>
  <c r="K119" i="19"/>
  <c r="H128" i="19"/>
  <c r="H119" i="19"/>
  <c r="D128" i="19"/>
  <c r="I119" i="19"/>
  <c r="F128" i="19"/>
  <c r="K128" i="19"/>
  <c r="C119" i="19"/>
  <c r="F119" i="19"/>
  <c r="K99" i="19"/>
  <c r="D119" i="19"/>
  <c r="H118" i="19"/>
  <c r="D127" i="19"/>
  <c r="K127" i="19"/>
  <c r="F118" i="19"/>
  <c r="C128" i="19"/>
  <c r="I128" i="19"/>
  <c r="I118" i="19"/>
  <c r="F127" i="19"/>
  <c r="C118" i="19"/>
  <c r="K118" i="19"/>
  <c r="D99" i="19"/>
  <c r="H127" i="19"/>
  <c r="D118" i="19"/>
  <c r="C99" i="19"/>
  <c r="I108" i="19"/>
  <c r="K108" i="19"/>
  <c r="F99" i="19"/>
  <c r="C108" i="19"/>
  <c r="H99" i="19"/>
  <c r="D108" i="19"/>
  <c r="I98" i="19"/>
  <c r="F107" i="19"/>
  <c r="K98" i="19"/>
  <c r="D79" i="19"/>
  <c r="K88" i="19"/>
  <c r="H108" i="19"/>
  <c r="C98" i="19"/>
  <c r="I99" i="19"/>
  <c r="D98" i="19"/>
  <c r="H107" i="19"/>
  <c r="F108" i="19"/>
  <c r="F98" i="19"/>
  <c r="I107" i="19"/>
  <c r="C107" i="19"/>
  <c r="K107" i="19"/>
  <c r="H98" i="19"/>
  <c r="D107" i="19"/>
  <c r="I87" i="19"/>
  <c r="F78" i="19"/>
  <c r="I78" i="19"/>
  <c r="C88" i="19"/>
  <c r="F87" i="19"/>
  <c r="H79" i="19"/>
  <c r="D87" i="19"/>
  <c r="I79" i="19"/>
  <c r="F88" i="19"/>
  <c r="K79" i="19"/>
  <c r="H88" i="19"/>
  <c r="K87" i="19"/>
  <c r="C79" i="19"/>
  <c r="D88" i="19"/>
  <c r="C87" i="19"/>
  <c r="I88" i="19"/>
  <c r="H78" i="19"/>
  <c r="F79" i="19"/>
  <c r="I36" i="19"/>
  <c r="F45" i="19"/>
  <c r="I46" i="19"/>
  <c r="C57" i="19"/>
  <c r="F56" i="19"/>
  <c r="C78" i="19"/>
  <c r="K78" i="19"/>
  <c r="K37" i="19"/>
  <c r="H46" i="19"/>
  <c r="D56" i="19"/>
  <c r="H87" i="19"/>
  <c r="D78" i="19"/>
  <c r="F37" i="19"/>
  <c r="C46" i="19"/>
  <c r="I65" i="19"/>
  <c r="H37" i="19"/>
  <c r="D45" i="19"/>
  <c r="K66" i="19"/>
  <c r="I45" i="19"/>
  <c r="F57" i="19"/>
  <c r="C66" i="19"/>
  <c r="K46" i="19"/>
  <c r="D46" i="19"/>
  <c r="H57" i="19"/>
  <c r="K56" i="19"/>
  <c r="D57" i="19"/>
  <c r="D66" i="19"/>
  <c r="H66" i="19"/>
  <c r="C36" i="19"/>
  <c r="I37" i="19"/>
  <c r="C45" i="19"/>
  <c r="I57" i="19"/>
  <c r="F66" i="19"/>
  <c r="I66" i="19"/>
  <c r="C65" i="19"/>
  <c r="K36" i="19"/>
  <c r="D37" i="19"/>
  <c r="K57" i="19"/>
  <c r="H65" i="19"/>
  <c r="K65" i="19"/>
  <c r="D36" i="19"/>
  <c r="H45" i="19"/>
  <c r="F46" i="19"/>
  <c r="D65" i="19"/>
  <c r="H56" i="19"/>
  <c r="C37" i="19"/>
  <c r="I56" i="19"/>
  <c r="F36" i="19"/>
  <c r="F65" i="19"/>
  <c r="K45" i="19"/>
  <c r="C56" i="19"/>
  <c r="H36" i="19"/>
  <c r="D26" i="19"/>
  <c r="K26" i="19"/>
  <c r="F26" i="19"/>
  <c r="C26" i="19"/>
  <c r="I26" i="19"/>
  <c r="C17" i="19"/>
  <c r="D17" i="19"/>
  <c r="I16" i="19"/>
  <c r="K16" i="19"/>
  <c r="H26" i="19"/>
  <c r="F25" i="19"/>
  <c r="H25" i="19"/>
  <c r="H16" i="19"/>
  <c r="I25" i="19"/>
  <c r="F17" i="19"/>
  <c r="C25" i="19"/>
  <c r="K25" i="19"/>
  <c r="D25" i="19"/>
  <c r="D16" i="19"/>
  <c r="K17" i="19"/>
  <c r="F16" i="19"/>
  <c r="H17" i="19"/>
  <c r="C16" i="19"/>
  <c r="I17" i="19"/>
  <c r="W162" i="8"/>
  <c r="E32" i="10" s="1"/>
  <c r="U27" i="10" s="1"/>
  <c r="W80" i="8"/>
  <c r="E18" i="10" s="1"/>
  <c r="R25" i="10" s="1"/>
  <c r="X151" i="8"/>
  <c r="G34" i="10" s="1"/>
  <c r="W151" i="8"/>
  <c r="E34" i="10" s="1"/>
  <c r="R33" i="10" s="1"/>
  <c r="X171" i="8"/>
  <c r="G35" i="10" s="1"/>
  <c r="J191" i="8"/>
  <c r="G30" i="10" s="1"/>
  <c r="J182" i="8"/>
  <c r="G27" i="10" s="1"/>
  <c r="J151" i="8"/>
  <c r="G28" i="10" s="1"/>
  <c r="J89" i="8"/>
  <c r="G15" i="10" s="1"/>
  <c r="I100" i="8"/>
  <c r="E13" i="10" s="1"/>
  <c r="U24" i="10" s="1"/>
  <c r="X162" i="8" l="1"/>
  <c r="G32" i="10" s="1"/>
  <c r="I182" i="8"/>
  <c r="E27" i="10" s="1"/>
  <c r="X26" i="10" s="1"/>
  <c r="X120" i="8"/>
  <c r="G22" i="10" s="1"/>
  <c r="W120" i="8"/>
  <c r="E22" i="10" s="1"/>
  <c r="U31" i="10" s="1"/>
  <c r="I120" i="8"/>
  <c r="E14" i="10" s="1"/>
  <c r="X24" i="10" s="1"/>
  <c r="W182" i="8"/>
  <c r="E33" i="10" s="1"/>
  <c r="X27" i="10" s="1"/>
  <c r="J120" i="8"/>
  <c r="G14" i="10" s="1"/>
  <c r="F14" i="10"/>
  <c r="X182" i="8"/>
  <c r="G33" i="10" s="1"/>
  <c r="F33" i="10"/>
  <c r="I162" i="8"/>
  <c r="E26" i="10" s="1"/>
  <c r="U26" i="10" s="1"/>
  <c r="J204" i="8"/>
  <c r="G38" i="10" s="1"/>
  <c r="J162" i="8"/>
  <c r="G26" i="10" s="1"/>
  <c r="F26" i="10"/>
  <c r="X205" i="3"/>
  <c r="W205" i="3"/>
  <c r="X204" i="3"/>
  <c r="W204" i="3"/>
  <c r="X203" i="3"/>
  <c r="W203" i="3"/>
  <c r="X202" i="3"/>
  <c r="W202" i="3"/>
  <c r="X201" i="3"/>
  <c r="W201" i="3"/>
  <c r="X200" i="3"/>
  <c r="W200" i="3"/>
  <c r="X199" i="3"/>
  <c r="W199" i="3"/>
  <c r="X198" i="3"/>
  <c r="W198" i="3"/>
  <c r="X197" i="3"/>
  <c r="W197" i="3"/>
  <c r="X196" i="3"/>
  <c r="W196" i="3"/>
  <c r="X195" i="3"/>
  <c r="W195" i="3"/>
  <c r="X194" i="3"/>
  <c r="W194" i="3"/>
  <c r="X193" i="3"/>
  <c r="W193" i="3"/>
  <c r="X192" i="3"/>
  <c r="W192" i="3"/>
  <c r="X189" i="3"/>
  <c r="W189" i="3"/>
  <c r="X188" i="3"/>
  <c r="W188" i="3"/>
  <c r="X187" i="3"/>
  <c r="W187" i="3"/>
  <c r="X186" i="3"/>
  <c r="W186" i="3"/>
  <c r="X185" i="3"/>
  <c r="W185" i="3"/>
  <c r="X184" i="3"/>
  <c r="W184" i="3"/>
  <c r="X183" i="3"/>
  <c r="W183" i="3"/>
  <c r="X182" i="3"/>
  <c r="W182" i="3"/>
  <c r="X181" i="3"/>
  <c r="W181" i="3"/>
  <c r="X180" i="3"/>
  <c r="W180" i="3"/>
  <c r="X179" i="3"/>
  <c r="W179" i="3"/>
  <c r="X178" i="3"/>
  <c r="W178" i="3"/>
  <c r="X177" i="3"/>
  <c r="W177" i="3"/>
  <c r="X176" i="3"/>
  <c r="W176" i="3"/>
  <c r="X173" i="3"/>
  <c r="W173" i="3"/>
  <c r="X172" i="3"/>
  <c r="W172" i="3"/>
  <c r="X171" i="3"/>
  <c r="W171" i="3"/>
  <c r="X170" i="3"/>
  <c r="W170" i="3"/>
  <c r="X169" i="3"/>
  <c r="W169" i="3"/>
  <c r="X168" i="3"/>
  <c r="W168" i="3"/>
  <c r="X167" i="3"/>
  <c r="W167" i="3"/>
  <c r="X166" i="3"/>
  <c r="W166" i="3"/>
  <c r="X165" i="3"/>
  <c r="W165" i="3"/>
  <c r="X164" i="3"/>
  <c r="W164" i="3"/>
  <c r="X163" i="3"/>
  <c r="W163" i="3"/>
  <c r="X162" i="3"/>
  <c r="W162" i="3"/>
  <c r="X161" i="3"/>
  <c r="W161" i="3"/>
  <c r="X160" i="3"/>
  <c r="W160" i="3"/>
  <c r="X155" i="3"/>
  <c r="W155" i="3"/>
  <c r="X154" i="3"/>
  <c r="W154" i="3"/>
  <c r="X153" i="3"/>
  <c r="W153" i="3"/>
  <c r="X152" i="3"/>
  <c r="W152" i="3"/>
  <c r="X151" i="3"/>
  <c r="W151" i="3"/>
  <c r="X150" i="3"/>
  <c r="W150" i="3"/>
  <c r="X149" i="3"/>
  <c r="W149" i="3"/>
  <c r="X148" i="3"/>
  <c r="W148" i="3"/>
  <c r="X147" i="3"/>
  <c r="W147" i="3"/>
  <c r="X146" i="3"/>
  <c r="W146" i="3"/>
  <c r="X145" i="3"/>
  <c r="W145" i="3"/>
  <c r="X144" i="3"/>
  <c r="W144" i="3"/>
  <c r="X143" i="3"/>
  <c r="W143" i="3"/>
  <c r="X142" i="3"/>
  <c r="W142" i="3"/>
  <c r="X139" i="3"/>
  <c r="W139" i="3"/>
  <c r="X138" i="3"/>
  <c r="W138" i="3"/>
  <c r="X137" i="3"/>
  <c r="W137" i="3"/>
  <c r="X136" i="3"/>
  <c r="W136" i="3"/>
  <c r="X135" i="3"/>
  <c r="W135" i="3"/>
  <c r="X134" i="3"/>
  <c r="W134" i="3"/>
  <c r="X133" i="3"/>
  <c r="X132" i="3"/>
  <c r="W132" i="3"/>
  <c r="X131" i="3"/>
  <c r="W131" i="3"/>
  <c r="X130" i="3"/>
  <c r="W130" i="3"/>
  <c r="X129" i="3"/>
  <c r="W129" i="3"/>
  <c r="X128" i="3"/>
  <c r="W128" i="3"/>
  <c r="X127" i="3"/>
  <c r="W127" i="3"/>
  <c r="X126" i="3"/>
  <c r="W126" i="3"/>
  <c r="X123" i="3"/>
  <c r="W123" i="3"/>
  <c r="X122" i="3"/>
  <c r="W122" i="3"/>
  <c r="X121" i="3"/>
  <c r="W121" i="3"/>
  <c r="X120" i="3"/>
  <c r="W120" i="3"/>
  <c r="X119" i="3"/>
  <c r="W119" i="3"/>
  <c r="X118" i="3"/>
  <c r="W118" i="3"/>
  <c r="X117" i="3"/>
  <c r="W117" i="3"/>
  <c r="X116" i="3"/>
  <c r="W116" i="3"/>
  <c r="X115" i="3"/>
  <c r="W115" i="3"/>
  <c r="X114" i="3"/>
  <c r="W114" i="3"/>
  <c r="X113" i="3"/>
  <c r="W113" i="3"/>
  <c r="X112" i="3"/>
  <c r="W112" i="3"/>
  <c r="X111" i="3"/>
  <c r="W111" i="3"/>
  <c r="X110" i="3"/>
  <c r="W110" i="3"/>
  <c r="X105" i="3"/>
  <c r="W105" i="3"/>
  <c r="X104" i="3"/>
  <c r="W104" i="3"/>
  <c r="X103" i="3"/>
  <c r="W103" i="3"/>
  <c r="X102" i="3"/>
  <c r="W102" i="3"/>
  <c r="X101" i="3"/>
  <c r="W101" i="3"/>
  <c r="X100" i="3"/>
  <c r="W100" i="3"/>
  <c r="X99" i="3"/>
  <c r="W99" i="3"/>
  <c r="X98" i="3"/>
  <c r="W98" i="3"/>
  <c r="X97" i="3"/>
  <c r="W97" i="3"/>
  <c r="X96" i="3"/>
  <c r="W96" i="3"/>
  <c r="X95" i="3"/>
  <c r="W95" i="3"/>
  <c r="X94" i="3"/>
  <c r="W94" i="3"/>
  <c r="X93" i="3"/>
  <c r="W93" i="3"/>
  <c r="X92" i="3"/>
  <c r="W92" i="3"/>
  <c r="X89" i="3"/>
  <c r="W89" i="3"/>
  <c r="X88" i="3"/>
  <c r="W88" i="3"/>
  <c r="X87" i="3"/>
  <c r="W87" i="3"/>
  <c r="X86" i="3"/>
  <c r="W86" i="3"/>
  <c r="X85" i="3"/>
  <c r="W85" i="3"/>
  <c r="X84" i="3"/>
  <c r="W84" i="3"/>
  <c r="X83" i="3"/>
  <c r="W83" i="3"/>
  <c r="X82" i="3"/>
  <c r="W82" i="3"/>
  <c r="X81" i="3"/>
  <c r="W81" i="3"/>
  <c r="X80" i="3"/>
  <c r="W80" i="3"/>
  <c r="X79" i="3"/>
  <c r="W79" i="3"/>
  <c r="X78" i="3"/>
  <c r="W78" i="3"/>
  <c r="X77" i="3"/>
  <c r="W77" i="3"/>
  <c r="X76" i="3"/>
  <c r="W76" i="3"/>
  <c r="X73" i="3"/>
  <c r="W73" i="3"/>
  <c r="X72" i="3"/>
  <c r="W72" i="3"/>
  <c r="X71" i="3"/>
  <c r="W71" i="3"/>
  <c r="X70" i="3"/>
  <c r="W70" i="3"/>
  <c r="X69" i="3"/>
  <c r="W69" i="3"/>
  <c r="X68" i="3"/>
  <c r="W68" i="3"/>
  <c r="X67" i="3"/>
  <c r="W67" i="3"/>
  <c r="X66" i="3"/>
  <c r="W66" i="3"/>
  <c r="X65" i="3"/>
  <c r="W65" i="3"/>
  <c r="X64" i="3"/>
  <c r="W64" i="3"/>
  <c r="X63" i="3"/>
  <c r="W63" i="3"/>
  <c r="X62" i="3"/>
  <c r="W62" i="3"/>
  <c r="X61" i="3"/>
  <c r="W61" i="3"/>
  <c r="X60" i="3"/>
  <c r="W60" i="3"/>
  <c r="X54" i="3"/>
  <c r="W54" i="3"/>
  <c r="X53" i="3"/>
  <c r="W53" i="3"/>
  <c r="X52" i="3"/>
  <c r="W52" i="3"/>
  <c r="X51" i="3"/>
  <c r="W51" i="3"/>
  <c r="X50" i="3"/>
  <c r="W50" i="3"/>
  <c r="X49" i="3"/>
  <c r="W49" i="3"/>
  <c r="X48" i="3"/>
  <c r="W48" i="3"/>
  <c r="X47" i="3"/>
  <c r="W47" i="3"/>
  <c r="X46" i="3"/>
  <c r="W46" i="3"/>
  <c r="X45" i="3"/>
  <c r="W45" i="3"/>
  <c r="X44" i="3"/>
  <c r="W44" i="3"/>
  <c r="X43" i="3"/>
  <c r="W43" i="3"/>
  <c r="X42" i="3"/>
  <c r="W42" i="3"/>
  <c r="X41" i="3"/>
  <c r="W41" i="3"/>
  <c r="X38" i="3"/>
  <c r="W38" i="3"/>
  <c r="X37" i="3"/>
  <c r="W37" i="3"/>
  <c r="X36" i="3"/>
  <c r="W36" i="3"/>
  <c r="X35" i="3"/>
  <c r="W35" i="3"/>
  <c r="X34" i="3"/>
  <c r="W34" i="3"/>
  <c r="X33" i="3"/>
  <c r="W33" i="3"/>
  <c r="X32" i="3"/>
  <c r="W32" i="3"/>
  <c r="X31" i="3"/>
  <c r="W31" i="3"/>
  <c r="X30" i="3"/>
  <c r="W30" i="3"/>
  <c r="X29" i="3"/>
  <c r="W29" i="3"/>
  <c r="X28" i="3"/>
  <c r="W28" i="3"/>
  <c r="X27" i="3"/>
  <c r="W27" i="3"/>
  <c r="X26" i="3"/>
  <c r="W26" i="3"/>
  <c r="X25" i="3"/>
  <c r="W25" i="3"/>
  <c r="X22" i="3"/>
  <c r="W22" i="3"/>
  <c r="X21" i="3"/>
  <c r="W21" i="3"/>
  <c r="X20" i="3"/>
  <c r="W20" i="3"/>
  <c r="X19" i="3"/>
  <c r="W19" i="3"/>
  <c r="X18" i="3"/>
  <c r="W18" i="3"/>
  <c r="X17" i="3"/>
  <c r="W17" i="3"/>
  <c r="X16" i="3"/>
  <c r="W16" i="3"/>
  <c r="X15" i="3"/>
  <c r="W15" i="3"/>
  <c r="X14" i="3"/>
  <c r="W14" i="3"/>
  <c r="X13" i="3"/>
  <c r="W13" i="3"/>
  <c r="X12" i="3"/>
  <c r="W12" i="3"/>
  <c r="X11" i="3"/>
  <c r="W11" i="3"/>
  <c r="X10" i="3"/>
  <c r="W10" i="3"/>
  <c r="X9" i="3"/>
  <c r="W9" i="3"/>
  <c r="F42" i="12"/>
  <c r="F195" i="12"/>
  <c r="G195" i="12"/>
  <c r="F196" i="12"/>
  <c r="G196" i="12"/>
  <c r="G207" i="12"/>
  <c r="F207" i="12"/>
  <c r="G206" i="12"/>
  <c r="F206" i="12"/>
  <c r="G205" i="12"/>
  <c r="F205" i="12"/>
  <c r="G202" i="12"/>
  <c r="F202" i="12"/>
  <c r="G201" i="12"/>
  <c r="F201" i="12"/>
  <c r="G200" i="12"/>
  <c r="F200" i="12"/>
  <c r="G197" i="12"/>
  <c r="F197" i="12"/>
  <c r="G192" i="12"/>
  <c r="F192" i="12"/>
  <c r="G191" i="12"/>
  <c r="F191" i="12"/>
  <c r="G190" i="12"/>
  <c r="F190" i="12"/>
  <c r="G187" i="12"/>
  <c r="F187" i="12"/>
  <c r="G186" i="12"/>
  <c r="F186" i="12"/>
  <c r="G185" i="12"/>
  <c r="F185" i="12"/>
  <c r="G182" i="12"/>
  <c r="F182" i="12"/>
  <c r="G181" i="12"/>
  <c r="F181" i="12"/>
  <c r="G180" i="12"/>
  <c r="F180" i="12"/>
  <c r="G173" i="12"/>
  <c r="F173" i="12"/>
  <c r="G172" i="12"/>
  <c r="F172" i="12"/>
  <c r="G171" i="12"/>
  <c r="F171" i="12"/>
  <c r="G168" i="12"/>
  <c r="F168" i="12"/>
  <c r="G167" i="12"/>
  <c r="F167" i="12"/>
  <c r="G166" i="12"/>
  <c r="F166" i="12"/>
  <c r="G163" i="12"/>
  <c r="F163" i="12"/>
  <c r="G162" i="12"/>
  <c r="F162" i="12"/>
  <c r="G161" i="12"/>
  <c r="F161" i="12"/>
  <c r="G158" i="12"/>
  <c r="F158" i="12"/>
  <c r="G157" i="12"/>
  <c r="F157" i="12"/>
  <c r="G156" i="12"/>
  <c r="F156" i="12"/>
  <c r="G153" i="12"/>
  <c r="F153" i="12"/>
  <c r="G152" i="12"/>
  <c r="F152" i="12"/>
  <c r="G151" i="12"/>
  <c r="F151" i="12"/>
  <c r="G148" i="12"/>
  <c r="F148" i="12"/>
  <c r="G147" i="12"/>
  <c r="F147" i="12"/>
  <c r="G146" i="12"/>
  <c r="F146" i="12"/>
  <c r="G141" i="12"/>
  <c r="F141" i="12"/>
  <c r="G140" i="12"/>
  <c r="F140" i="12"/>
  <c r="G139" i="12"/>
  <c r="F139" i="12"/>
  <c r="G136" i="12"/>
  <c r="F136" i="12"/>
  <c r="G135" i="12"/>
  <c r="F135" i="12"/>
  <c r="G134" i="12"/>
  <c r="F134" i="12"/>
  <c r="G131" i="12"/>
  <c r="F131" i="12"/>
  <c r="G130" i="12"/>
  <c r="F130" i="12"/>
  <c r="G129" i="12"/>
  <c r="F129" i="12"/>
  <c r="G126" i="12"/>
  <c r="F126" i="12"/>
  <c r="G125" i="12"/>
  <c r="F125" i="12"/>
  <c r="G124" i="12"/>
  <c r="F124" i="12"/>
  <c r="G121" i="12"/>
  <c r="F121" i="12"/>
  <c r="G120" i="12"/>
  <c r="F120" i="12"/>
  <c r="G119" i="12"/>
  <c r="F119" i="12"/>
  <c r="G116" i="12"/>
  <c r="F116" i="12"/>
  <c r="G115" i="12"/>
  <c r="F115" i="12"/>
  <c r="G114" i="12"/>
  <c r="F114" i="12"/>
  <c r="G107" i="12"/>
  <c r="F107" i="12"/>
  <c r="G106" i="12"/>
  <c r="F106" i="12"/>
  <c r="G105" i="12"/>
  <c r="F105" i="12"/>
  <c r="G102" i="12"/>
  <c r="F102" i="12"/>
  <c r="G101" i="12"/>
  <c r="F101" i="12"/>
  <c r="G100" i="12"/>
  <c r="F100" i="12"/>
  <c r="G97" i="12"/>
  <c r="F97" i="12"/>
  <c r="G96" i="12"/>
  <c r="F96" i="12"/>
  <c r="G95" i="12"/>
  <c r="F95" i="12"/>
  <c r="G92" i="12"/>
  <c r="F92" i="12"/>
  <c r="G91" i="12"/>
  <c r="F91" i="12"/>
  <c r="G90" i="12"/>
  <c r="F90" i="12"/>
  <c r="G87" i="12"/>
  <c r="F87" i="12"/>
  <c r="G86" i="12"/>
  <c r="F86" i="12"/>
  <c r="G85" i="12"/>
  <c r="F85" i="12"/>
  <c r="G82" i="12"/>
  <c r="F82" i="12"/>
  <c r="G81" i="12"/>
  <c r="F81" i="12"/>
  <c r="G80" i="12"/>
  <c r="F80" i="12"/>
  <c r="G75" i="12"/>
  <c r="F75" i="12"/>
  <c r="G74" i="12"/>
  <c r="F74" i="12"/>
  <c r="G73" i="12"/>
  <c r="F73" i="12"/>
  <c r="G70" i="12"/>
  <c r="F70" i="12"/>
  <c r="G69" i="12"/>
  <c r="F69" i="12"/>
  <c r="G68" i="12"/>
  <c r="F68" i="12"/>
  <c r="G65" i="12"/>
  <c r="F65" i="12"/>
  <c r="G64" i="12"/>
  <c r="F64" i="12"/>
  <c r="G63" i="12"/>
  <c r="F63" i="12"/>
  <c r="G60" i="12"/>
  <c r="F60" i="12"/>
  <c r="G59" i="12"/>
  <c r="F59" i="12"/>
  <c r="G58" i="12"/>
  <c r="F58" i="12"/>
  <c r="G55" i="12"/>
  <c r="F55" i="12"/>
  <c r="G54" i="12"/>
  <c r="F54" i="12"/>
  <c r="G53" i="12"/>
  <c r="F53" i="12"/>
  <c r="G50" i="12"/>
  <c r="F50" i="12"/>
  <c r="G49" i="12"/>
  <c r="F49" i="12"/>
  <c r="G48" i="12"/>
  <c r="F48" i="12"/>
  <c r="G41" i="12"/>
  <c r="F41" i="12"/>
  <c r="G40" i="12"/>
  <c r="F40" i="12"/>
  <c r="G39" i="12"/>
  <c r="G43" i="12" s="1"/>
  <c r="F39" i="12"/>
  <c r="F43" i="12" s="1"/>
  <c r="G36" i="12"/>
  <c r="F36" i="12"/>
  <c r="G35" i="12"/>
  <c r="F35" i="12"/>
  <c r="G34" i="12"/>
  <c r="F34" i="12"/>
  <c r="G31" i="12"/>
  <c r="F31" i="12"/>
  <c r="G30" i="12"/>
  <c r="F30" i="12"/>
  <c r="G29" i="12"/>
  <c r="F29" i="12"/>
  <c r="G26" i="12"/>
  <c r="F26" i="12"/>
  <c r="G25" i="12"/>
  <c r="F25" i="12"/>
  <c r="G24" i="12"/>
  <c r="F24" i="12"/>
  <c r="G21" i="12"/>
  <c r="F21" i="12"/>
  <c r="G20" i="12"/>
  <c r="F20" i="12"/>
  <c r="G19" i="12"/>
  <c r="F19" i="12"/>
  <c r="F16" i="12"/>
  <c r="G16" i="12"/>
  <c r="F15" i="12"/>
  <c r="G15" i="12"/>
  <c r="F14" i="12"/>
  <c r="G14" i="12"/>
  <c r="K235" i="8"/>
  <c r="H235" i="8"/>
  <c r="E235" i="8"/>
  <c r="A234" i="8"/>
  <c r="K215" i="8"/>
  <c r="H215" i="8"/>
  <c r="E215" i="8"/>
  <c r="A214" i="8"/>
  <c r="K195" i="8"/>
  <c r="H195" i="8"/>
  <c r="E195" i="8"/>
  <c r="A194" i="8"/>
  <c r="Y173" i="8"/>
  <c r="V173" i="8"/>
  <c r="K173" i="8"/>
  <c r="H173" i="8"/>
  <c r="E173" i="8"/>
  <c r="O172" i="8"/>
  <c r="A172" i="8"/>
  <c r="Y153" i="8"/>
  <c r="V153" i="8"/>
  <c r="K153" i="8"/>
  <c r="H153" i="8"/>
  <c r="E153" i="8"/>
  <c r="O152" i="8"/>
  <c r="A152" i="8"/>
  <c r="Y133" i="8"/>
  <c r="V133" i="8"/>
  <c r="S133" i="8"/>
  <c r="K133" i="8"/>
  <c r="H133" i="8"/>
  <c r="E133" i="8"/>
  <c r="O132" i="8"/>
  <c r="A132" i="8"/>
  <c r="K48" i="8"/>
  <c r="H48" i="8"/>
  <c r="E48" i="8"/>
  <c r="A47" i="8"/>
  <c r="K28" i="8"/>
  <c r="H28" i="8"/>
  <c r="E28" i="8"/>
  <c r="A27" i="8"/>
  <c r="K8" i="8"/>
  <c r="H8" i="8"/>
  <c r="E8" i="8"/>
  <c r="A7" i="8"/>
  <c r="Y71" i="8"/>
  <c r="V71" i="8"/>
  <c r="S71" i="8"/>
  <c r="K71" i="8"/>
  <c r="H71" i="8"/>
  <c r="E71" i="8"/>
  <c r="O70" i="8"/>
  <c r="A70" i="8"/>
  <c r="Y91" i="8"/>
  <c r="V91" i="8"/>
  <c r="S91" i="8"/>
  <c r="K91" i="8"/>
  <c r="H91" i="8"/>
  <c r="E91" i="8"/>
  <c r="O90" i="8"/>
  <c r="A90" i="8"/>
  <c r="A110" i="8"/>
  <c r="O110" i="8"/>
  <c r="G42" i="12" l="1"/>
  <c r="G183" i="12"/>
  <c r="F193" i="12"/>
  <c r="F209" i="12"/>
  <c r="G184" i="12"/>
  <c r="G188" i="12"/>
  <c r="G189" i="12"/>
  <c r="G194" i="12"/>
  <c r="G193" i="12"/>
  <c r="G198" i="12"/>
  <c r="G199" i="12"/>
  <c r="G204" i="12"/>
  <c r="F188" i="12"/>
  <c r="G209" i="12"/>
  <c r="F184" i="12"/>
  <c r="F183" i="12"/>
  <c r="F189" i="12"/>
  <c r="F198" i="12"/>
  <c r="F194" i="12"/>
  <c r="F204" i="12"/>
  <c r="F199" i="12"/>
  <c r="F203" i="12"/>
  <c r="F208" i="12"/>
  <c r="G203" i="12"/>
  <c r="G208" i="12"/>
  <c r="G154" i="12"/>
  <c r="G174" i="12"/>
  <c r="F160" i="12"/>
  <c r="G98" i="12"/>
  <c r="G122" i="12"/>
  <c r="G142" i="12"/>
  <c r="G164" i="12"/>
  <c r="F150" i="12"/>
  <c r="F170" i="12"/>
  <c r="F164" i="12"/>
  <c r="G149" i="12"/>
  <c r="G159" i="12"/>
  <c r="G169" i="12"/>
  <c r="F154" i="12"/>
  <c r="F165" i="12"/>
  <c r="F174" i="12"/>
  <c r="G150" i="12"/>
  <c r="G160" i="12"/>
  <c r="G170" i="12"/>
  <c r="F149" i="12"/>
  <c r="F159" i="12"/>
  <c r="F169" i="12"/>
  <c r="F175" i="12"/>
  <c r="G155" i="12"/>
  <c r="G165" i="12"/>
  <c r="G175" i="12"/>
  <c r="F155" i="12"/>
  <c r="F128" i="12"/>
  <c r="G117" i="12"/>
  <c r="G127" i="12"/>
  <c r="G137" i="12"/>
  <c r="F132" i="12"/>
  <c r="G132" i="12"/>
  <c r="F118" i="12"/>
  <c r="F138" i="12"/>
  <c r="F98" i="12"/>
  <c r="F122" i="12"/>
  <c r="F142" i="12"/>
  <c r="G118" i="12"/>
  <c r="G128" i="12"/>
  <c r="G138" i="12"/>
  <c r="F117" i="12"/>
  <c r="F127" i="12"/>
  <c r="F137" i="12"/>
  <c r="F123" i="12"/>
  <c r="F133" i="12"/>
  <c r="F143" i="12"/>
  <c r="G123" i="12"/>
  <c r="G133" i="12"/>
  <c r="G143" i="12"/>
  <c r="F84" i="12"/>
  <c r="F104" i="12"/>
  <c r="G83" i="12"/>
  <c r="G93" i="12"/>
  <c r="G103" i="12"/>
  <c r="F88" i="12"/>
  <c r="F108" i="12"/>
  <c r="G88" i="12"/>
  <c r="G108" i="12"/>
  <c r="F94" i="12"/>
  <c r="G84" i="12"/>
  <c r="G94" i="12"/>
  <c r="G104" i="12"/>
  <c r="F83" i="12"/>
  <c r="F93" i="12"/>
  <c r="F103" i="12"/>
  <c r="F89" i="12"/>
  <c r="F99" i="12"/>
  <c r="F109" i="12"/>
  <c r="G89" i="12"/>
  <c r="G99" i="12"/>
  <c r="G109" i="12"/>
  <c r="F57" i="12"/>
  <c r="F66" i="12"/>
  <c r="F77" i="12"/>
  <c r="F37" i="12"/>
  <c r="F62" i="12"/>
  <c r="G66" i="12"/>
  <c r="G52" i="12"/>
  <c r="G72" i="12"/>
  <c r="F52" i="12"/>
  <c r="F72" i="12"/>
  <c r="F56" i="12"/>
  <c r="F76" i="12"/>
  <c r="G33" i="12"/>
  <c r="G56" i="12"/>
  <c r="G62" i="12"/>
  <c r="G76" i="12"/>
  <c r="F51" i="12"/>
  <c r="F71" i="12"/>
  <c r="G51" i="12"/>
  <c r="G61" i="12"/>
  <c r="G71" i="12"/>
  <c r="F67" i="12"/>
  <c r="G57" i="12"/>
  <c r="G67" i="12"/>
  <c r="G77" i="12"/>
  <c r="F61" i="12"/>
  <c r="F33" i="12"/>
  <c r="G27" i="12"/>
  <c r="G22" i="12"/>
  <c r="G37" i="12"/>
  <c r="F23" i="12"/>
  <c r="F28" i="12"/>
  <c r="G23" i="12"/>
  <c r="F27" i="12"/>
  <c r="F38" i="12"/>
  <c r="G32" i="12"/>
  <c r="F22" i="12"/>
  <c r="F32" i="12"/>
  <c r="G28" i="12"/>
  <c r="G38" i="12"/>
  <c r="F17" i="12"/>
  <c r="G17" i="12"/>
  <c r="F18" i="12"/>
  <c r="G18" i="12"/>
  <c r="E31" i="4"/>
  <c r="E30" i="4"/>
  <c r="E29" i="4"/>
  <c r="E28" i="4"/>
  <c r="E36" i="12" s="1"/>
  <c r="E27" i="4"/>
  <c r="E35" i="12" s="1"/>
  <c r="E26" i="4"/>
  <c r="E34" i="12" s="1"/>
  <c r="E25" i="4"/>
  <c r="E31" i="12" s="1"/>
  <c r="E24" i="4"/>
  <c r="E30" i="12" s="1"/>
  <c r="E23" i="4"/>
  <c r="E29" i="12" s="1"/>
  <c r="E22" i="4"/>
  <c r="E26" i="12" s="1"/>
  <c r="E21" i="4"/>
  <c r="E25" i="12" s="1"/>
  <c r="E20" i="4"/>
  <c r="E24" i="12" s="1"/>
  <c r="E19" i="4"/>
  <c r="E21" i="12" s="1"/>
  <c r="E18" i="4"/>
  <c r="E20" i="12" s="1"/>
  <c r="E17" i="4"/>
  <c r="E19" i="12" s="1"/>
  <c r="E16" i="4"/>
  <c r="E16" i="12" s="1"/>
  <c r="E15" i="4"/>
  <c r="E15" i="12" s="1"/>
  <c r="E14" i="4"/>
  <c r="E14" i="1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114" i="4"/>
  <c r="E115" i="4"/>
  <c r="E113" i="4"/>
  <c r="E112" i="4"/>
  <c r="E111" i="4"/>
  <c r="E110" i="4"/>
  <c r="E100" i="4"/>
  <c r="E99" i="4"/>
  <c r="E98" i="4"/>
  <c r="E103" i="4"/>
  <c r="E102" i="4"/>
  <c r="E101" i="4"/>
  <c r="E106" i="4"/>
  <c r="E105" i="4"/>
  <c r="E104" i="4"/>
  <c r="E109" i="4"/>
  <c r="E108" i="4"/>
  <c r="E107" i="4"/>
  <c r="E137" i="4"/>
  <c r="E136" i="4"/>
  <c r="E135" i="4"/>
  <c r="E134" i="4"/>
  <c r="E133" i="4"/>
  <c r="E132" i="4"/>
  <c r="E129" i="4"/>
  <c r="E131" i="4"/>
  <c r="E130" i="4"/>
  <c r="E128" i="4"/>
  <c r="E127" i="4"/>
  <c r="E126" i="4"/>
  <c r="E125" i="4"/>
  <c r="E124" i="4"/>
  <c r="E123" i="4"/>
  <c r="E121" i="4"/>
  <c r="E122" i="4"/>
  <c r="E120" i="4"/>
  <c r="AU73" i="3"/>
  <c r="U87" i="8" s="1"/>
  <c r="AU72" i="3"/>
  <c r="U86" i="8" s="1"/>
  <c r="AU71" i="3"/>
  <c r="U85" i="8" s="1"/>
  <c r="AU70" i="3"/>
  <c r="U84" i="8" s="1"/>
  <c r="U83" i="8"/>
  <c r="AU68" i="3"/>
  <c r="U82" i="8" s="1"/>
  <c r="AU67" i="3"/>
  <c r="U81" i="8" s="1"/>
  <c r="AU66" i="3"/>
  <c r="U78" i="8" s="1"/>
  <c r="AU65" i="3"/>
  <c r="U77" i="8" s="1"/>
  <c r="AU64" i="3"/>
  <c r="U76" i="8" s="1"/>
  <c r="AU63" i="3"/>
  <c r="U75" i="8" s="1"/>
  <c r="AU62" i="3"/>
  <c r="U74" i="8" s="1"/>
  <c r="AU61" i="3"/>
  <c r="U73" i="8" s="1"/>
  <c r="AU60" i="3"/>
  <c r="U72" i="8" s="1"/>
  <c r="AQ73" i="3"/>
  <c r="T87" i="8" s="1"/>
  <c r="AQ72" i="3"/>
  <c r="T86" i="8" s="1"/>
  <c r="AQ71" i="3"/>
  <c r="T85" i="8" s="1"/>
  <c r="AQ70" i="3"/>
  <c r="T84" i="8" s="1"/>
  <c r="AQ69" i="3"/>
  <c r="T83" i="8" s="1"/>
  <c r="AQ68" i="3"/>
  <c r="T82" i="8" s="1"/>
  <c r="AQ67" i="3"/>
  <c r="T81" i="8" s="1"/>
  <c r="AQ66" i="3"/>
  <c r="T78" i="8" s="1"/>
  <c r="AQ65" i="3"/>
  <c r="T77" i="8" s="1"/>
  <c r="AQ64" i="3"/>
  <c r="T76" i="8" s="1"/>
  <c r="AQ63" i="3"/>
  <c r="T75" i="8" s="1"/>
  <c r="AQ62" i="3"/>
  <c r="T74" i="8" s="1"/>
  <c r="AQ61" i="3"/>
  <c r="T73" i="8" s="1"/>
  <c r="AQ60" i="3"/>
  <c r="T72" i="8" s="1"/>
  <c r="AJ73" i="3"/>
  <c r="AJ72" i="3"/>
  <c r="AJ71" i="3"/>
  <c r="AJ70" i="3"/>
  <c r="AJ69" i="3"/>
  <c r="AJ68" i="3"/>
  <c r="AJ67" i="3"/>
  <c r="AJ66" i="3"/>
  <c r="AJ65" i="3"/>
  <c r="AJ64" i="3"/>
  <c r="AJ63" i="3"/>
  <c r="AJ62" i="3"/>
  <c r="AJ61" i="3"/>
  <c r="AJ60" i="3"/>
  <c r="AF73" i="3"/>
  <c r="AF72" i="3"/>
  <c r="AF71" i="3"/>
  <c r="AF70" i="3"/>
  <c r="AF69" i="3"/>
  <c r="AF68" i="3"/>
  <c r="AF67" i="3"/>
  <c r="AF66" i="3"/>
  <c r="AF65" i="3"/>
  <c r="AF64" i="3"/>
  <c r="AF63" i="3"/>
  <c r="AF62" i="3"/>
  <c r="AF61" i="3"/>
  <c r="AF60" i="3"/>
  <c r="U73" i="3"/>
  <c r="G87" i="8" s="1"/>
  <c r="U72" i="3"/>
  <c r="G86" i="8" s="1"/>
  <c r="U71" i="3"/>
  <c r="G85" i="8" s="1"/>
  <c r="U70" i="3"/>
  <c r="G84" i="8" s="1"/>
  <c r="U69" i="3"/>
  <c r="G83" i="8" s="1"/>
  <c r="U68" i="3"/>
  <c r="G82" i="8" s="1"/>
  <c r="U67" i="3"/>
  <c r="G81" i="8" s="1"/>
  <c r="U66" i="3"/>
  <c r="G78" i="8" s="1"/>
  <c r="U65" i="3"/>
  <c r="G77" i="8" s="1"/>
  <c r="U64" i="3"/>
  <c r="G76" i="8" s="1"/>
  <c r="U63" i="3"/>
  <c r="G75" i="8" s="1"/>
  <c r="U62" i="3"/>
  <c r="G74" i="8" s="1"/>
  <c r="U61" i="3"/>
  <c r="G73" i="8" s="1"/>
  <c r="U60" i="3"/>
  <c r="G72" i="8" s="1"/>
  <c r="Q73" i="3"/>
  <c r="F87" i="8" s="1"/>
  <c r="Q72" i="3"/>
  <c r="F86" i="8" s="1"/>
  <c r="Q71" i="3"/>
  <c r="F85" i="8" s="1"/>
  <c r="Q70" i="3"/>
  <c r="F84" i="8" s="1"/>
  <c r="Q69" i="3"/>
  <c r="F83" i="8" s="1"/>
  <c r="Q68" i="3"/>
  <c r="F82" i="8" s="1"/>
  <c r="Q67" i="3"/>
  <c r="F81" i="8" s="1"/>
  <c r="Q66" i="3"/>
  <c r="F78" i="8" s="1"/>
  <c r="Q65" i="3"/>
  <c r="F77" i="8" s="1"/>
  <c r="Q64" i="3"/>
  <c r="F76" i="8" s="1"/>
  <c r="Q63" i="3"/>
  <c r="F75" i="8" s="1"/>
  <c r="Q62" i="3"/>
  <c r="F74" i="8" s="1"/>
  <c r="Q61" i="3"/>
  <c r="F73" i="8" s="1"/>
  <c r="Q60" i="3"/>
  <c r="F72" i="8" s="1"/>
  <c r="AU155" i="3"/>
  <c r="U189" i="8" s="1"/>
  <c r="AU154" i="3"/>
  <c r="U188" i="8" s="1"/>
  <c r="AU153" i="3"/>
  <c r="U187" i="8" s="1"/>
  <c r="AU152" i="3"/>
  <c r="U186" i="8" s="1"/>
  <c r="AU151" i="3"/>
  <c r="U185" i="8" s="1"/>
  <c r="AU150" i="3"/>
  <c r="U184" i="8" s="1"/>
  <c r="AU149" i="3"/>
  <c r="U183" i="8" s="1"/>
  <c r="AU148" i="3"/>
  <c r="U180" i="8" s="1"/>
  <c r="AU147" i="3"/>
  <c r="U179" i="8" s="1"/>
  <c r="AU146" i="3"/>
  <c r="U178" i="8" s="1"/>
  <c r="AU145" i="3"/>
  <c r="U177" i="8" s="1"/>
  <c r="AU144" i="3"/>
  <c r="U176" i="8" s="1"/>
  <c r="AU143" i="3"/>
  <c r="U175" i="8" s="1"/>
  <c r="AU142" i="3"/>
  <c r="U174" i="8" s="1"/>
  <c r="AQ155" i="3"/>
  <c r="T189" i="8" s="1"/>
  <c r="AQ154" i="3"/>
  <c r="T188" i="8" s="1"/>
  <c r="AQ153" i="3"/>
  <c r="T187" i="8" s="1"/>
  <c r="AQ152" i="3"/>
  <c r="T186" i="8" s="1"/>
  <c r="AQ151" i="3"/>
  <c r="T185" i="8" s="1"/>
  <c r="AQ150" i="3"/>
  <c r="T184" i="8" s="1"/>
  <c r="AQ149" i="3"/>
  <c r="T183" i="8" s="1"/>
  <c r="AQ148" i="3"/>
  <c r="T180" i="8" s="1"/>
  <c r="AQ147" i="3"/>
  <c r="T179" i="8" s="1"/>
  <c r="AQ146" i="3"/>
  <c r="T178" i="8" s="1"/>
  <c r="AQ145" i="3"/>
  <c r="T177" i="8" s="1"/>
  <c r="AQ144" i="3"/>
  <c r="T176" i="8" s="1"/>
  <c r="AQ143" i="3"/>
  <c r="T175" i="8" s="1"/>
  <c r="AQ142" i="3"/>
  <c r="T174" i="8" s="1"/>
  <c r="U155" i="3"/>
  <c r="G189" i="8" s="1"/>
  <c r="U154" i="3"/>
  <c r="G188" i="8" s="1"/>
  <c r="U153" i="3"/>
  <c r="G187" i="8" s="1"/>
  <c r="U152" i="3"/>
  <c r="G186" i="8" s="1"/>
  <c r="U151" i="3"/>
  <c r="G185" i="8" s="1"/>
  <c r="U150" i="3"/>
  <c r="G184" i="8" s="1"/>
  <c r="U149" i="3"/>
  <c r="G183" i="8" s="1"/>
  <c r="U148" i="3"/>
  <c r="G180" i="8" s="1"/>
  <c r="U147" i="3"/>
  <c r="G179" i="8" s="1"/>
  <c r="U146" i="3"/>
  <c r="G178" i="8" s="1"/>
  <c r="U145" i="3"/>
  <c r="G177" i="8" s="1"/>
  <c r="U144" i="3"/>
  <c r="G176" i="8" s="1"/>
  <c r="U143" i="3"/>
  <c r="G175" i="8" s="1"/>
  <c r="U142" i="3"/>
  <c r="G174" i="8" s="1"/>
  <c r="Q155" i="3"/>
  <c r="F189" i="8" s="1"/>
  <c r="Q154" i="3"/>
  <c r="F188" i="8" s="1"/>
  <c r="Q153" i="3"/>
  <c r="F187" i="8" s="1"/>
  <c r="Q152" i="3"/>
  <c r="F186" i="8" s="1"/>
  <c r="Q151" i="3"/>
  <c r="F185" i="8" s="1"/>
  <c r="Q150" i="3"/>
  <c r="F184" i="8" s="1"/>
  <c r="Q149" i="3"/>
  <c r="F183" i="8" s="1"/>
  <c r="Q148" i="3"/>
  <c r="F180" i="8" s="1"/>
  <c r="Q147" i="3"/>
  <c r="F179" i="8" s="1"/>
  <c r="Q146" i="3"/>
  <c r="F178" i="8" s="1"/>
  <c r="Q145" i="3"/>
  <c r="F177" i="8" s="1"/>
  <c r="Q144" i="3"/>
  <c r="F176" i="8" s="1"/>
  <c r="Q143" i="3"/>
  <c r="F175" i="8" s="1"/>
  <c r="Q142" i="3"/>
  <c r="F174" i="8" s="1"/>
  <c r="AS139" i="3"/>
  <c r="AT139" i="3"/>
  <c r="AR139" i="3"/>
  <c r="AU138" i="3"/>
  <c r="U168" i="8" s="1"/>
  <c r="AU137" i="3"/>
  <c r="U167" i="8" s="1"/>
  <c r="AU136" i="3"/>
  <c r="U166" i="8" s="1"/>
  <c r="AU135" i="3"/>
  <c r="U165" i="8" s="1"/>
  <c r="AU134" i="3"/>
  <c r="U164" i="8" s="1"/>
  <c r="AU133" i="3"/>
  <c r="U163" i="8" s="1"/>
  <c r="AU132" i="3"/>
  <c r="U160" i="8" s="1"/>
  <c r="AU131" i="3"/>
  <c r="U159" i="8" s="1"/>
  <c r="AU130" i="3"/>
  <c r="U158" i="8" s="1"/>
  <c r="AU129" i="3"/>
  <c r="U157" i="8" s="1"/>
  <c r="AU128" i="3"/>
  <c r="U156" i="8" s="1"/>
  <c r="AU127" i="3"/>
  <c r="U155" i="8" s="1"/>
  <c r="AU126" i="3"/>
  <c r="U154" i="8" s="1"/>
  <c r="AQ139" i="3"/>
  <c r="T169" i="8" s="1"/>
  <c r="AQ138" i="3"/>
  <c r="T168" i="8" s="1"/>
  <c r="AQ137" i="3"/>
  <c r="T167" i="8" s="1"/>
  <c r="AQ136" i="3"/>
  <c r="T166" i="8" s="1"/>
  <c r="AQ135" i="3"/>
  <c r="T165" i="8" s="1"/>
  <c r="AQ134" i="3"/>
  <c r="T164" i="8" s="1"/>
  <c r="AQ133" i="3"/>
  <c r="T163" i="8" s="1"/>
  <c r="AQ132" i="3"/>
  <c r="T160" i="8" s="1"/>
  <c r="AQ131" i="3"/>
  <c r="T159" i="8" s="1"/>
  <c r="AQ130" i="3"/>
  <c r="T158" i="8" s="1"/>
  <c r="AQ129" i="3"/>
  <c r="T157" i="8" s="1"/>
  <c r="AQ128" i="3"/>
  <c r="T156" i="8" s="1"/>
  <c r="AQ127" i="3"/>
  <c r="T155" i="8" s="1"/>
  <c r="AQ126" i="3"/>
  <c r="T154" i="8" s="1"/>
  <c r="U139" i="3"/>
  <c r="G169" i="8" s="1"/>
  <c r="U138" i="3"/>
  <c r="G168" i="8" s="1"/>
  <c r="U137" i="3"/>
  <c r="G167" i="8" s="1"/>
  <c r="U136" i="3"/>
  <c r="G166" i="8" s="1"/>
  <c r="U135" i="3"/>
  <c r="G165" i="8" s="1"/>
  <c r="U134" i="3"/>
  <c r="G164" i="8" s="1"/>
  <c r="U133" i="3"/>
  <c r="G163" i="8" s="1"/>
  <c r="U132" i="3"/>
  <c r="G160" i="8" s="1"/>
  <c r="U131" i="3"/>
  <c r="G159" i="8" s="1"/>
  <c r="U130" i="3"/>
  <c r="G158" i="8" s="1"/>
  <c r="U129" i="3"/>
  <c r="G157" i="8" s="1"/>
  <c r="U128" i="3"/>
  <c r="G156" i="8" s="1"/>
  <c r="U127" i="3"/>
  <c r="G155" i="8" s="1"/>
  <c r="U126" i="3"/>
  <c r="G154" i="8" s="1"/>
  <c r="Q139" i="3"/>
  <c r="F169" i="8" s="1"/>
  <c r="Q138" i="3"/>
  <c r="F168" i="8" s="1"/>
  <c r="Q137" i="3"/>
  <c r="F167" i="8" s="1"/>
  <c r="Q136" i="3"/>
  <c r="F166" i="8" s="1"/>
  <c r="Q135" i="3"/>
  <c r="F165" i="8" s="1"/>
  <c r="Q134" i="3"/>
  <c r="F164" i="8" s="1"/>
  <c r="Q133" i="3"/>
  <c r="W133" i="3" s="1"/>
  <c r="Q132" i="3"/>
  <c r="F160" i="8" s="1"/>
  <c r="Q131" i="3"/>
  <c r="F159" i="8" s="1"/>
  <c r="Q130" i="3"/>
  <c r="F158" i="8" s="1"/>
  <c r="Q129" i="3"/>
  <c r="F157" i="8" s="1"/>
  <c r="Q128" i="3"/>
  <c r="F156" i="8" s="1"/>
  <c r="Q127" i="3"/>
  <c r="F155" i="8" s="1"/>
  <c r="Q126" i="3"/>
  <c r="F154" i="8" s="1"/>
  <c r="AJ139" i="3"/>
  <c r="AJ138" i="3"/>
  <c r="AJ137" i="3"/>
  <c r="AJ136" i="3"/>
  <c r="AJ135" i="3"/>
  <c r="AJ134" i="3"/>
  <c r="AJ133" i="3"/>
  <c r="AJ132" i="3"/>
  <c r="AJ131" i="3"/>
  <c r="AJ130" i="3"/>
  <c r="AJ129" i="3"/>
  <c r="AJ128" i="3"/>
  <c r="AJ127" i="3"/>
  <c r="AJ126" i="3"/>
  <c r="AF139" i="3"/>
  <c r="AF138" i="3"/>
  <c r="AF137" i="3"/>
  <c r="AF136" i="3"/>
  <c r="AF135" i="3"/>
  <c r="AF134" i="3"/>
  <c r="AF133" i="3"/>
  <c r="AF132" i="3"/>
  <c r="AF131" i="3"/>
  <c r="AF130" i="3"/>
  <c r="AF129" i="3"/>
  <c r="AF128" i="3"/>
  <c r="AF127" i="3"/>
  <c r="AF126" i="3"/>
  <c r="AJ155" i="3"/>
  <c r="AJ154" i="3"/>
  <c r="AJ153" i="3"/>
  <c r="AJ152" i="3"/>
  <c r="AJ151" i="3"/>
  <c r="AJ150" i="3"/>
  <c r="AJ149" i="3"/>
  <c r="AJ148" i="3"/>
  <c r="AJ147" i="3"/>
  <c r="AJ146" i="3"/>
  <c r="AJ145" i="3"/>
  <c r="AJ144" i="3"/>
  <c r="AJ143" i="3"/>
  <c r="AJ142" i="3"/>
  <c r="AF155" i="3"/>
  <c r="AF154" i="3"/>
  <c r="AF153" i="3"/>
  <c r="AF152" i="3"/>
  <c r="AF151" i="3"/>
  <c r="AF150" i="3"/>
  <c r="AF149" i="3"/>
  <c r="AF148" i="3"/>
  <c r="AF147" i="3"/>
  <c r="AF146" i="3"/>
  <c r="AF145" i="3"/>
  <c r="AF144" i="3"/>
  <c r="AF143" i="3"/>
  <c r="AF142" i="3"/>
  <c r="U205" i="3"/>
  <c r="G251" i="8" s="1"/>
  <c r="U204" i="3"/>
  <c r="G250" i="8" s="1"/>
  <c r="U203" i="3"/>
  <c r="G249" i="8" s="1"/>
  <c r="U202" i="3"/>
  <c r="G248" i="8" s="1"/>
  <c r="U201" i="3"/>
  <c r="G247" i="8" s="1"/>
  <c r="U200" i="3"/>
  <c r="G246" i="8" s="1"/>
  <c r="U199" i="3"/>
  <c r="G245" i="8" s="1"/>
  <c r="U198" i="3"/>
  <c r="G242" i="8" s="1"/>
  <c r="U197" i="3"/>
  <c r="G241" i="8" s="1"/>
  <c r="U196" i="3"/>
  <c r="G240" i="8" s="1"/>
  <c r="U195" i="3"/>
  <c r="G239" i="8" s="1"/>
  <c r="U194" i="3"/>
  <c r="G238" i="8" s="1"/>
  <c r="U193" i="3"/>
  <c r="G237" i="8" s="1"/>
  <c r="U192" i="3"/>
  <c r="G236" i="8" s="1"/>
  <c r="Q205" i="3"/>
  <c r="F251" i="8" s="1"/>
  <c r="Q204" i="3"/>
  <c r="F250" i="8" s="1"/>
  <c r="Q203" i="3"/>
  <c r="F249" i="8" s="1"/>
  <c r="Q202" i="3"/>
  <c r="F248" i="8" s="1"/>
  <c r="Q201" i="3"/>
  <c r="F247" i="8" s="1"/>
  <c r="Q200" i="3"/>
  <c r="F246" i="8" s="1"/>
  <c r="Q199" i="3"/>
  <c r="F245" i="8" s="1"/>
  <c r="Q198" i="3"/>
  <c r="F242" i="8" s="1"/>
  <c r="Q197" i="3"/>
  <c r="F241" i="8" s="1"/>
  <c r="Q196" i="3"/>
  <c r="F240" i="8" s="1"/>
  <c r="Q195" i="3"/>
  <c r="F239" i="8" s="1"/>
  <c r="Q194" i="3"/>
  <c r="F238" i="8" s="1"/>
  <c r="Q193" i="3"/>
  <c r="F237" i="8" s="1"/>
  <c r="Q192" i="3"/>
  <c r="F236" i="8" s="1"/>
  <c r="Q154" i="8" l="1"/>
  <c r="Z154" i="8" s="1"/>
  <c r="AW126" i="3"/>
  <c r="Q78" i="8"/>
  <c r="Z78" i="8" s="1"/>
  <c r="AW66" i="3"/>
  <c r="R72" i="8"/>
  <c r="AX60" i="3"/>
  <c r="R82" i="8"/>
  <c r="AX68" i="3"/>
  <c r="Q179" i="8"/>
  <c r="Z179" i="8" s="1"/>
  <c r="AW147" i="3"/>
  <c r="Q189" i="8"/>
  <c r="Z189" i="8" s="1"/>
  <c r="AW155" i="3"/>
  <c r="R183" i="8"/>
  <c r="AX149" i="3"/>
  <c r="Q155" i="8"/>
  <c r="Z155" i="8" s="1"/>
  <c r="AW127" i="3"/>
  <c r="Q165" i="8"/>
  <c r="Z165" i="8" s="1"/>
  <c r="AW135" i="3"/>
  <c r="R157" i="8"/>
  <c r="AX129" i="3"/>
  <c r="R167" i="8"/>
  <c r="AX137" i="3"/>
  <c r="Q81" i="8"/>
  <c r="Z81" i="8" s="1"/>
  <c r="AW67" i="3"/>
  <c r="R73" i="8"/>
  <c r="AX61" i="3"/>
  <c r="R83" i="8"/>
  <c r="AX69" i="3"/>
  <c r="X83" i="8" s="1"/>
  <c r="R180" i="8"/>
  <c r="AX148" i="3"/>
  <c r="R166" i="8"/>
  <c r="AX136" i="3"/>
  <c r="R184" i="8"/>
  <c r="AX150" i="3"/>
  <c r="R185" i="8"/>
  <c r="AX151" i="3"/>
  <c r="R169" i="8"/>
  <c r="Q174" i="8"/>
  <c r="Z174" i="8" s="1"/>
  <c r="AW142" i="3"/>
  <c r="Q184" i="8"/>
  <c r="Z184" i="8" s="1"/>
  <c r="AW150" i="3"/>
  <c r="R176" i="8"/>
  <c r="AX144" i="3"/>
  <c r="R186" i="8"/>
  <c r="AX152" i="3"/>
  <c r="Q158" i="8"/>
  <c r="Z158" i="8" s="1"/>
  <c r="AW130" i="3"/>
  <c r="Q168" i="8"/>
  <c r="Z168" i="8" s="1"/>
  <c r="AW138" i="3"/>
  <c r="R160" i="8"/>
  <c r="AX132" i="3"/>
  <c r="Q74" i="8"/>
  <c r="Z74" i="8" s="1"/>
  <c r="AW62" i="3"/>
  <c r="Q84" i="8"/>
  <c r="Z84" i="8" s="1"/>
  <c r="AW70" i="3"/>
  <c r="R76" i="8"/>
  <c r="AX64" i="3"/>
  <c r="R86" i="8"/>
  <c r="AX72" i="3"/>
  <c r="Q188" i="8"/>
  <c r="Z188" i="8" s="1"/>
  <c r="AW154" i="3"/>
  <c r="R156" i="8"/>
  <c r="AX128" i="3"/>
  <c r="Q180" i="8"/>
  <c r="Z180" i="8" s="1"/>
  <c r="AW148" i="3"/>
  <c r="Q166" i="8"/>
  <c r="Z166" i="8" s="1"/>
  <c r="AW136" i="3"/>
  <c r="R74" i="8"/>
  <c r="AX62" i="3"/>
  <c r="R84" i="8"/>
  <c r="AX70" i="3"/>
  <c r="Q183" i="8"/>
  <c r="Z183" i="8" s="1"/>
  <c r="AW149" i="3"/>
  <c r="Q167" i="8"/>
  <c r="Z167" i="8" s="1"/>
  <c r="AW137" i="3"/>
  <c r="R75" i="8"/>
  <c r="AX63" i="3"/>
  <c r="Q175" i="8"/>
  <c r="Z175" i="8" s="1"/>
  <c r="AW143" i="3"/>
  <c r="Q185" i="8"/>
  <c r="Z185" i="8" s="1"/>
  <c r="AW151" i="3"/>
  <c r="R177" i="8"/>
  <c r="AX145" i="3"/>
  <c r="R187" i="8"/>
  <c r="AX153" i="3"/>
  <c r="Q159" i="8"/>
  <c r="Z159" i="8" s="1"/>
  <c r="AW131" i="3"/>
  <c r="Q169" i="8"/>
  <c r="Z169" i="8" s="1"/>
  <c r="AW139" i="3"/>
  <c r="R163" i="8"/>
  <c r="AX133" i="3"/>
  <c r="Q75" i="8"/>
  <c r="Z75" i="8" s="1"/>
  <c r="AW63" i="3"/>
  <c r="Q85" i="8"/>
  <c r="Z85" i="8" s="1"/>
  <c r="AW71" i="3"/>
  <c r="R77" i="8"/>
  <c r="AX65" i="3"/>
  <c r="R87" i="8"/>
  <c r="AX73" i="3"/>
  <c r="Q178" i="8"/>
  <c r="Z178" i="8" s="1"/>
  <c r="AW146" i="3"/>
  <c r="Q164" i="8"/>
  <c r="Z164" i="8" s="1"/>
  <c r="AW134" i="3"/>
  <c r="R174" i="8"/>
  <c r="AX142" i="3"/>
  <c r="R168" i="8"/>
  <c r="AX138" i="3"/>
  <c r="Q72" i="8"/>
  <c r="Z72" i="8" s="1"/>
  <c r="AW60" i="3"/>
  <c r="R175" i="8"/>
  <c r="AX143" i="3"/>
  <c r="R159" i="8"/>
  <c r="AX131" i="3"/>
  <c r="Q73" i="8"/>
  <c r="Z73" i="8" s="1"/>
  <c r="AW61" i="3"/>
  <c r="R85" i="8"/>
  <c r="AX71" i="3"/>
  <c r="Q176" i="8"/>
  <c r="Z176" i="8" s="1"/>
  <c r="AW144" i="3"/>
  <c r="Q186" i="8"/>
  <c r="Z186" i="8" s="1"/>
  <c r="AW152" i="3"/>
  <c r="R178" i="8"/>
  <c r="AX146" i="3"/>
  <c r="R188" i="8"/>
  <c r="AX154" i="3"/>
  <c r="Q160" i="8"/>
  <c r="Z160" i="8" s="1"/>
  <c r="AW132" i="3"/>
  <c r="R154" i="8"/>
  <c r="AX126" i="3"/>
  <c r="R164" i="8"/>
  <c r="AX134" i="3"/>
  <c r="Q76" i="8"/>
  <c r="Z76" i="8" s="1"/>
  <c r="AW64" i="3"/>
  <c r="Q86" i="8"/>
  <c r="Z86" i="8" s="1"/>
  <c r="AW72" i="3"/>
  <c r="R78" i="8"/>
  <c r="AX66" i="3"/>
  <c r="Q156" i="8"/>
  <c r="Z156" i="8" s="1"/>
  <c r="AW128" i="3"/>
  <c r="R158" i="8"/>
  <c r="AX130" i="3"/>
  <c r="Q82" i="8"/>
  <c r="Z82" i="8" s="1"/>
  <c r="AW68" i="3"/>
  <c r="Q157" i="8"/>
  <c r="Z157" i="8" s="1"/>
  <c r="AW129" i="3"/>
  <c r="Q83" i="8"/>
  <c r="Z83" i="8" s="1"/>
  <c r="AW69" i="3"/>
  <c r="Q177" i="8"/>
  <c r="Z177" i="8" s="1"/>
  <c r="AW145" i="3"/>
  <c r="Q187" i="8"/>
  <c r="Z187" i="8" s="1"/>
  <c r="AW153" i="3"/>
  <c r="R179" i="8"/>
  <c r="AX147" i="3"/>
  <c r="R189" i="8"/>
  <c r="AX155" i="3"/>
  <c r="Q163" i="8"/>
  <c r="Z163" i="8" s="1"/>
  <c r="AW133" i="3"/>
  <c r="R155" i="8"/>
  <c r="AX127" i="3"/>
  <c r="R165" i="8"/>
  <c r="AX135" i="3"/>
  <c r="Q77" i="8"/>
  <c r="Z77" i="8" s="1"/>
  <c r="AW65" i="3"/>
  <c r="Q87" i="8"/>
  <c r="Z87" i="8" s="1"/>
  <c r="AW73" i="3"/>
  <c r="R81" i="8"/>
  <c r="AX67" i="3"/>
  <c r="G181" i="8"/>
  <c r="G182" i="8" s="1"/>
  <c r="AU139" i="3"/>
  <c r="U169" i="8" s="1"/>
  <c r="U170" i="8" s="1"/>
  <c r="F190" i="8"/>
  <c r="F88" i="8"/>
  <c r="T89" i="8"/>
  <c r="G244" i="8"/>
  <c r="U161" i="8"/>
  <c r="F161" i="8"/>
  <c r="F162" i="8" s="1"/>
  <c r="T80" i="8"/>
  <c r="F89" i="8"/>
  <c r="G191" i="8"/>
  <c r="U89" i="8"/>
  <c r="T161" i="8"/>
  <c r="T88" i="8"/>
  <c r="G253" i="8"/>
  <c r="G252" i="8"/>
  <c r="G171" i="8"/>
  <c r="G170" i="8"/>
  <c r="F181" i="8"/>
  <c r="F253" i="8"/>
  <c r="T171" i="8"/>
  <c r="U190" i="8"/>
  <c r="T79" i="8"/>
  <c r="F244" i="8"/>
  <c r="U181" i="8"/>
  <c r="U182" i="8" s="1"/>
  <c r="U191" i="8"/>
  <c r="T190" i="8"/>
  <c r="G190" i="8"/>
  <c r="G88" i="8"/>
  <c r="U88" i="8"/>
  <c r="F80" i="8"/>
  <c r="F79" i="8"/>
  <c r="G80" i="8"/>
  <c r="G79" i="8"/>
  <c r="U80" i="8"/>
  <c r="U79" i="8"/>
  <c r="F252" i="8"/>
  <c r="G89" i="8"/>
  <c r="F243" i="8"/>
  <c r="G243" i="8"/>
  <c r="G161" i="8"/>
  <c r="F191" i="8"/>
  <c r="T191" i="8"/>
  <c r="T181" i="8"/>
  <c r="T170" i="8"/>
  <c r="F163" i="8"/>
  <c r="V133" i="3"/>
  <c r="E37" i="12"/>
  <c r="E38" i="12"/>
  <c r="E136" i="12"/>
  <c r="E185" i="12"/>
  <c r="E195" i="12"/>
  <c r="E162" i="12"/>
  <c r="E146" i="12"/>
  <c r="E172" i="12"/>
  <c r="E125" i="12"/>
  <c r="E139" i="12"/>
  <c r="E87" i="12"/>
  <c r="E101" i="12"/>
  <c r="E53" i="12"/>
  <c r="E65" i="12"/>
  <c r="E32" i="12"/>
  <c r="E33" i="12"/>
  <c r="E197" i="12"/>
  <c r="E173" i="12"/>
  <c r="E86" i="12"/>
  <c r="E50" i="12"/>
  <c r="E181" i="12"/>
  <c r="E124" i="12"/>
  <c r="E100" i="12"/>
  <c r="E40" i="12"/>
  <c r="E161" i="12"/>
  <c r="E64" i="12"/>
  <c r="E28" i="12"/>
  <c r="E153" i="12"/>
  <c r="E18" i="12"/>
  <c r="E17" i="12"/>
  <c r="E200" i="12"/>
  <c r="E126" i="12"/>
  <c r="E54" i="12"/>
  <c r="E187" i="12"/>
  <c r="E201" i="12"/>
  <c r="E156" i="12"/>
  <c r="E148" i="12"/>
  <c r="E115" i="12"/>
  <c r="E129" i="12"/>
  <c r="E141" i="12"/>
  <c r="E91" i="12"/>
  <c r="E105" i="12"/>
  <c r="E55" i="12"/>
  <c r="E69" i="12"/>
  <c r="E163" i="12"/>
  <c r="E190" i="12"/>
  <c r="E202" i="12"/>
  <c r="E157" i="12"/>
  <c r="E166" i="12"/>
  <c r="E116" i="12"/>
  <c r="E130" i="12"/>
  <c r="E80" i="12"/>
  <c r="E92" i="12"/>
  <c r="E106" i="12"/>
  <c r="E58" i="12"/>
  <c r="E70" i="12"/>
  <c r="E41" i="12"/>
  <c r="E147" i="12"/>
  <c r="E90" i="12"/>
  <c r="E102" i="12"/>
  <c r="E191" i="12"/>
  <c r="E205" i="12"/>
  <c r="E158" i="12"/>
  <c r="E167" i="12"/>
  <c r="E119" i="12"/>
  <c r="E131" i="12"/>
  <c r="E81" i="12"/>
  <c r="E95" i="12"/>
  <c r="E107" i="12"/>
  <c r="E59" i="12"/>
  <c r="E73" i="12"/>
  <c r="E114" i="12"/>
  <c r="E180" i="12"/>
  <c r="E192" i="12"/>
  <c r="E206" i="12"/>
  <c r="E151" i="12"/>
  <c r="E168" i="12"/>
  <c r="E120" i="12"/>
  <c r="E134" i="12"/>
  <c r="E82" i="12"/>
  <c r="E96" i="12"/>
  <c r="E48" i="12"/>
  <c r="E60" i="12"/>
  <c r="E74" i="12"/>
  <c r="E22" i="12"/>
  <c r="E186" i="12"/>
  <c r="E140" i="12"/>
  <c r="E68" i="12"/>
  <c r="E182" i="12"/>
  <c r="E196" i="12"/>
  <c r="E207" i="12"/>
  <c r="E152" i="12"/>
  <c r="E171" i="12"/>
  <c r="E121" i="12"/>
  <c r="E135" i="12"/>
  <c r="E85" i="12"/>
  <c r="E97" i="12"/>
  <c r="E49" i="12"/>
  <c r="E63" i="12"/>
  <c r="E75" i="12"/>
  <c r="E39" i="12"/>
  <c r="E27" i="12"/>
  <c r="E23" i="12"/>
  <c r="U38" i="3"/>
  <c r="G44" i="8" s="1"/>
  <c r="U37" i="3"/>
  <c r="G43" i="8" s="1"/>
  <c r="U36" i="3"/>
  <c r="G42" i="8" s="1"/>
  <c r="U35" i="3"/>
  <c r="G41" i="8" s="1"/>
  <c r="U34" i="3"/>
  <c r="G40" i="8" s="1"/>
  <c r="U33" i="3"/>
  <c r="G39" i="8" s="1"/>
  <c r="U32" i="3"/>
  <c r="G38" i="8" s="1"/>
  <c r="U31" i="3"/>
  <c r="G35" i="8" s="1"/>
  <c r="U30" i="3"/>
  <c r="G34" i="8" s="1"/>
  <c r="U29" i="3"/>
  <c r="G33" i="8" s="1"/>
  <c r="U28" i="3"/>
  <c r="G32" i="8" s="1"/>
  <c r="U27" i="3"/>
  <c r="G31" i="8" s="1"/>
  <c r="U26" i="3"/>
  <c r="G30" i="8" s="1"/>
  <c r="U25" i="3"/>
  <c r="G29" i="8" s="1"/>
  <c r="Q38" i="3"/>
  <c r="F44" i="8" s="1"/>
  <c r="Q37" i="3"/>
  <c r="F43" i="8" s="1"/>
  <c r="Q36" i="3"/>
  <c r="F42" i="8" s="1"/>
  <c r="Q35" i="3"/>
  <c r="F41" i="8" s="1"/>
  <c r="Q34" i="3"/>
  <c r="F40" i="8" s="1"/>
  <c r="Q33" i="3"/>
  <c r="F39" i="8" s="1"/>
  <c r="Q32" i="3"/>
  <c r="F38" i="8" s="1"/>
  <c r="Q31" i="3"/>
  <c r="F35" i="8" s="1"/>
  <c r="Q30" i="3"/>
  <c r="F34" i="8" s="1"/>
  <c r="Q29" i="3"/>
  <c r="F33" i="8" s="1"/>
  <c r="Q28" i="3"/>
  <c r="F32" i="8" s="1"/>
  <c r="Q27" i="3"/>
  <c r="F31" i="8" s="1"/>
  <c r="Q26" i="3"/>
  <c r="F30" i="8" s="1"/>
  <c r="Q25" i="3"/>
  <c r="F29" i="8" s="1"/>
  <c r="U189" i="3"/>
  <c r="G231" i="8" s="1"/>
  <c r="U188" i="3"/>
  <c r="G230" i="8" s="1"/>
  <c r="U187" i="3"/>
  <c r="G229" i="8" s="1"/>
  <c r="U186" i="3"/>
  <c r="G228" i="8" s="1"/>
  <c r="U185" i="3"/>
  <c r="G227" i="8" s="1"/>
  <c r="U184" i="3"/>
  <c r="G226" i="8" s="1"/>
  <c r="U183" i="3"/>
  <c r="G225" i="8" s="1"/>
  <c r="U182" i="3"/>
  <c r="G222" i="8" s="1"/>
  <c r="U181" i="3"/>
  <c r="G221" i="8" s="1"/>
  <c r="U180" i="3"/>
  <c r="G220" i="8" s="1"/>
  <c r="U179" i="3"/>
  <c r="G219" i="8" s="1"/>
  <c r="U178" i="3"/>
  <c r="G218" i="8" s="1"/>
  <c r="U177" i="3"/>
  <c r="G217" i="8" s="1"/>
  <c r="U176" i="3"/>
  <c r="G216" i="8" s="1"/>
  <c r="Q189" i="3"/>
  <c r="F231" i="8" s="1"/>
  <c r="Q188" i="3"/>
  <c r="F230" i="8" s="1"/>
  <c r="Q187" i="3"/>
  <c r="F229" i="8" s="1"/>
  <c r="Q186" i="3"/>
  <c r="F228" i="8" s="1"/>
  <c r="Q185" i="3"/>
  <c r="F227" i="8" s="1"/>
  <c r="Q184" i="3"/>
  <c r="F226" i="8" s="1"/>
  <c r="Q183" i="3"/>
  <c r="F225" i="8" s="1"/>
  <c r="Q182" i="3"/>
  <c r="F222" i="8" s="1"/>
  <c r="Q181" i="3"/>
  <c r="F221" i="8" s="1"/>
  <c r="Q180" i="3"/>
  <c r="F220" i="8" s="1"/>
  <c r="Q179" i="3"/>
  <c r="F219" i="8" s="1"/>
  <c r="Q178" i="3"/>
  <c r="F218" i="8" s="1"/>
  <c r="Q177" i="3"/>
  <c r="F217" i="8" s="1"/>
  <c r="Q176" i="3"/>
  <c r="F216" i="8" s="1"/>
  <c r="AU123" i="3"/>
  <c r="U149" i="8" s="1"/>
  <c r="AU122" i="3"/>
  <c r="U148" i="8" s="1"/>
  <c r="AU121" i="3"/>
  <c r="U147" i="8" s="1"/>
  <c r="AU120" i="3"/>
  <c r="U146" i="8" s="1"/>
  <c r="AU119" i="3"/>
  <c r="U145" i="8" s="1"/>
  <c r="AU118" i="3"/>
  <c r="U144" i="8" s="1"/>
  <c r="AU117" i="3"/>
  <c r="U143" i="8" s="1"/>
  <c r="AU116" i="3"/>
  <c r="U140" i="8" s="1"/>
  <c r="AU115" i="3"/>
  <c r="U139" i="8" s="1"/>
  <c r="AU114" i="3"/>
  <c r="U138" i="8" s="1"/>
  <c r="AU113" i="3"/>
  <c r="U137" i="8" s="1"/>
  <c r="AU112" i="3"/>
  <c r="U136" i="8" s="1"/>
  <c r="AU111" i="3"/>
  <c r="U135" i="8" s="1"/>
  <c r="AU110" i="3"/>
  <c r="U134" i="8" s="1"/>
  <c r="AQ123" i="3"/>
  <c r="T149" i="8" s="1"/>
  <c r="AQ122" i="3"/>
  <c r="T148" i="8" s="1"/>
  <c r="AQ121" i="3"/>
  <c r="T147" i="8" s="1"/>
  <c r="AQ120" i="3"/>
  <c r="T146" i="8" s="1"/>
  <c r="AQ119" i="3"/>
  <c r="T145" i="8" s="1"/>
  <c r="AQ118" i="3"/>
  <c r="T144" i="8" s="1"/>
  <c r="AQ117" i="3"/>
  <c r="T143" i="8" s="1"/>
  <c r="AQ116" i="3"/>
  <c r="T140" i="8" s="1"/>
  <c r="AQ115" i="3"/>
  <c r="T139" i="8" s="1"/>
  <c r="AQ114" i="3"/>
  <c r="T138" i="8" s="1"/>
  <c r="AQ113" i="3"/>
  <c r="T137" i="8" s="1"/>
  <c r="AQ112" i="3"/>
  <c r="T136" i="8" s="1"/>
  <c r="AQ111" i="3"/>
  <c r="T135" i="8" s="1"/>
  <c r="AQ110" i="3"/>
  <c r="T134" i="8" s="1"/>
  <c r="AJ123" i="3"/>
  <c r="AJ122" i="3"/>
  <c r="AJ121" i="3"/>
  <c r="AJ120" i="3"/>
  <c r="AJ119" i="3"/>
  <c r="AJ118" i="3"/>
  <c r="AJ117" i="3"/>
  <c r="AJ116" i="3"/>
  <c r="AJ115" i="3"/>
  <c r="AJ114" i="3"/>
  <c r="AJ113" i="3"/>
  <c r="AJ112" i="3"/>
  <c r="AJ111" i="3"/>
  <c r="AJ110" i="3"/>
  <c r="U123" i="3"/>
  <c r="G149" i="8" s="1"/>
  <c r="U122" i="3"/>
  <c r="G148" i="8" s="1"/>
  <c r="U121" i="3"/>
  <c r="G147" i="8" s="1"/>
  <c r="U120" i="3"/>
  <c r="G146" i="8" s="1"/>
  <c r="U119" i="3"/>
  <c r="G145" i="8" s="1"/>
  <c r="U118" i="3"/>
  <c r="G144" i="8" s="1"/>
  <c r="U117" i="3"/>
  <c r="G143" i="8" s="1"/>
  <c r="U116" i="3"/>
  <c r="G140" i="8" s="1"/>
  <c r="U115" i="3"/>
  <c r="G139" i="8" s="1"/>
  <c r="U114" i="3"/>
  <c r="G138" i="8" s="1"/>
  <c r="U113" i="3"/>
  <c r="G137" i="8" s="1"/>
  <c r="U112" i="3"/>
  <c r="G136" i="8" s="1"/>
  <c r="U111" i="3"/>
  <c r="G135" i="8" s="1"/>
  <c r="U110" i="3"/>
  <c r="G134" i="8" s="1"/>
  <c r="Q123" i="3"/>
  <c r="F149" i="8" s="1"/>
  <c r="Q122" i="3"/>
  <c r="F148" i="8" s="1"/>
  <c r="Q121" i="3"/>
  <c r="F147" i="8" s="1"/>
  <c r="Q120" i="3"/>
  <c r="F146" i="8" s="1"/>
  <c r="Q119" i="3"/>
  <c r="F145" i="8" s="1"/>
  <c r="Q118" i="3"/>
  <c r="F144" i="8" s="1"/>
  <c r="Q117" i="3"/>
  <c r="F143" i="8" s="1"/>
  <c r="Q116" i="3"/>
  <c r="F140" i="8" s="1"/>
  <c r="Q115" i="3"/>
  <c r="F139" i="8" s="1"/>
  <c r="Q114" i="3"/>
  <c r="F138" i="8" s="1"/>
  <c r="Q113" i="3"/>
  <c r="F137" i="8" s="1"/>
  <c r="Q112" i="3"/>
  <c r="F136" i="8" s="1"/>
  <c r="Q111" i="3"/>
  <c r="F135" i="8" s="1"/>
  <c r="Q110" i="3"/>
  <c r="F134" i="8" s="1"/>
  <c r="AF123" i="3"/>
  <c r="AF122" i="3"/>
  <c r="AF121" i="3"/>
  <c r="AF120" i="3"/>
  <c r="AF119" i="3"/>
  <c r="AF118" i="3"/>
  <c r="AF117" i="3"/>
  <c r="AF116" i="3"/>
  <c r="AF115" i="3"/>
  <c r="AF114" i="3"/>
  <c r="AF113" i="3"/>
  <c r="AF112" i="3"/>
  <c r="AF111" i="3"/>
  <c r="AF110" i="3"/>
  <c r="U173" i="3"/>
  <c r="G211" i="8" s="1"/>
  <c r="U172" i="3"/>
  <c r="G210" i="8" s="1"/>
  <c r="U171" i="3"/>
  <c r="G209" i="8" s="1"/>
  <c r="U170" i="3"/>
  <c r="G208" i="8" s="1"/>
  <c r="U169" i="3"/>
  <c r="G207" i="8" s="1"/>
  <c r="U168" i="3"/>
  <c r="G206" i="8" s="1"/>
  <c r="U167" i="3"/>
  <c r="G205" i="8" s="1"/>
  <c r="U166" i="3"/>
  <c r="G202" i="8" s="1"/>
  <c r="U165" i="3"/>
  <c r="G201" i="8" s="1"/>
  <c r="U164" i="3"/>
  <c r="G200" i="8" s="1"/>
  <c r="U163" i="3"/>
  <c r="G199" i="8" s="1"/>
  <c r="U162" i="3"/>
  <c r="G198" i="8" s="1"/>
  <c r="U161" i="3"/>
  <c r="G197" i="8" s="1"/>
  <c r="U160" i="3"/>
  <c r="G196" i="8" s="1"/>
  <c r="Q173" i="3"/>
  <c r="F211" i="8" s="1"/>
  <c r="Q172" i="3"/>
  <c r="F210" i="8" s="1"/>
  <c r="Q171" i="3"/>
  <c r="F209" i="8" s="1"/>
  <c r="Q170" i="3"/>
  <c r="F208" i="8" s="1"/>
  <c r="Q169" i="3"/>
  <c r="F207" i="8" s="1"/>
  <c r="Q168" i="3"/>
  <c r="F206" i="8" s="1"/>
  <c r="Q167" i="3"/>
  <c r="F205" i="8" s="1"/>
  <c r="Q166" i="3"/>
  <c r="F202" i="8" s="1"/>
  <c r="Q165" i="3"/>
  <c r="F201" i="8" s="1"/>
  <c r="Q164" i="3"/>
  <c r="F200" i="8" s="1"/>
  <c r="Q163" i="3"/>
  <c r="F199" i="8" s="1"/>
  <c r="Q162" i="3"/>
  <c r="F198" i="8" s="1"/>
  <c r="Q161" i="3"/>
  <c r="F197" i="8" s="1"/>
  <c r="Q160" i="3"/>
  <c r="F196" i="8" s="1"/>
  <c r="Q22" i="3"/>
  <c r="F24" i="8" s="1"/>
  <c r="Q21" i="3"/>
  <c r="F23" i="8" s="1"/>
  <c r="Q20" i="3"/>
  <c r="F22" i="8" s="1"/>
  <c r="Q19" i="3"/>
  <c r="F21" i="8" s="1"/>
  <c r="Q18" i="3"/>
  <c r="F20" i="8" s="1"/>
  <c r="Q17" i="3"/>
  <c r="F19" i="8" s="1"/>
  <c r="Q16" i="3"/>
  <c r="F18" i="8" s="1"/>
  <c r="Q15" i="3"/>
  <c r="F15" i="8" s="1"/>
  <c r="Q14" i="3"/>
  <c r="F14" i="8" s="1"/>
  <c r="Q13" i="3"/>
  <c r="F13" i="8" s="1"/>
  <c r="Q12" i="3"/>
  <c r="F12" i="8" s="1"/>
  <c r="Q11" i="3"/>
  <c r="F11" i="8" s="1"/>
  <c r="Q10" i="3"/>
  <c r="F10" i="8" s="1"/>
  <c r="Q9" i="3"/>
  <c r="F9" i="8" s="1"/>
  <c r="U22" i="3"/>
  <c r="G24" i="8" s="1"/>
  <c r="U21" i="3"/>
  <c r="G23" i="8" s="1"/>
  <c r="U20" i="3"/>
  <c r="G22" i="8" s="1"/>
  <c r="U19" i="3"/>
  <c r="G21" i="8" s="1"/>
  <c r="U18" i="3"/>
  <c r="G20" i="8" s="1"/>
  <c r="U17" i="3"/>
  <c r="G19" i="8" s="1"/>
  <c r="U16" i="3"/>
  <c r="G18" i="8" s="1"/>
  <c r="U15" i="3"/>
  <c r="G15" i="8" s="1"/>
  <c r="U14" i="3"/>
  <c r="G14" i="8" s="1"/>
  <c r="U13" i="3"/>
  <c r="G13" i="8" s="1"/>
  <c r="U12" i="3"/>
  <c r="G12" i="8" s="1"/>
  <c r="U11" i="3"/>
  <c r="G11" i="8" s="1"/>
  <c r="U10" i="3"/>
  <c r="G10" i="8" s="1"/>
  <c r="U9" i="3"/>
  <c r="G9" i="8" s="1"/>
  <c r="AQ89" i="3"/>
  <c r="T107" i="8" s="1"/>
  <c r="AQ88" i="3"/>
  <c r="T106" i="8" s="1"/>
  <c r="AQ87" i="3"/>
  <c r="T105" i="8" s="1"/>
  <c r="AQ86" i="3"/>
  <c r="T104" i="8" s="1"/>
  <c r="AQ85" i="3"/>
  <c r="T103" i="8" s="1"/>
  <c r="AQ84" i="3"/>
  <c r="T102" i="8" s="1"/>
  <c r="AQ83" i="3"/>
  <c r="T101" i="8" s="1"/>
  <c r="AQ82" i="3"/>
  <c r="T98" i="8" s="1"/>
  <c r="AQ81" i="3"/>
  <c r="T97" i="8" s="1"/>
  <c r="AQ80" i="3"/>
  <c r="T96" i="8" s="1"/>
  <c r="AQ79" i="3"/>
  <c r="T95" i="8" s="1"/>
  <c r="AQ78" i="3"/>
  <c r="T94" i="8" s="1"/>
  <c r="AQ77" i="3"/>
  <c r="T93" i="8" s="1"/>
  <c r="AQ76" i="3"/>
  <c r="T92" i="8" s="1"/>
  <c r="AU89" i="3"/>
  <c r="U107" i="8" s="1"/>
  <c r="AU88" i="3"/>
  <c r="U106" i="8" s="1"/>
  <c r="AU87" i="3"/>
  <c r="U105" i="8" s="1"/>
  <c r="AU86" i="3"/>
  <c r="U104" i="8" s="1"/>
  <c r="AU85" i="3"/>
  <c r="U103" i="8" s="1"/>
  <c r="AU84" i="3"/>
  <c r="U102" i="8" s="1"/>
  <c r="AU83" i="3"/>
  <c r="U101" i="8" s="1"/>
  <c r="AU82" i="3"/>
  <c r="U98" i="8" s="1"/>
  <c r="AU81" i="3"/>
  <c r="U97" i="8" s="1"/>
  <c r="AU80" i="3"/>
  <c r="U96" i="8" s="1"/>
  <c r="AU79" i="3"/>
  <c r="U95" i="8" s="1"/>
  <c r="AU78" i="3"/>
  <c r="U94" i="8" s="1"/>
  <c r="AU77" i="3"/>
  <c r="U93" i="8" s="1"/>
  <c r="AU76" i="3"/>
  <c r="U92" i="8" s="1"/>
  <c r="AJ89" i="3"/>
  <c r="AJ88" i="3"/>
  <c r="AJ87" i="3"/>
  <c r="AJ86" i="3"/>
  <c r="AJ85" i="3"/>
  <c r="AJ84" i="3"/>
  <c r="AJ83" i="3"/>
  <c r="AJ82" i="3"/>
  <c r="AJ81" i="3"/>
  <c r="AJ80" i="3"/>
  <c r="AJ79" i="3"/>
  <c r="AJ78" i="3"/>
  <c r="AJ77" i="3"/>
  <c r="AJ76" i="3"/>
  <c r="AF89" i="3"/>
  <c r="AF88" i="3"/>
  <c r="AF87" i="3"/>
  <c r="AF86" i="3"/>
  <c r="AF85" i="3"/>
  <c r="AF84" i="3"/>
  <c r="AF83" i="3"/>
  <c r="AF82" i="3"/>
  <c r="AF81" i="3"/>
  <c r="AF80" i="3"/>
  <c r="AF79" i="3"/>
  <c r="AF78" i="3"/>
  <c r="AF77" i="3"/>
  <c r="AF76" i="3"/>
  <c r="U89" i="3"/>
  <c r="G107" i="8" s="1"/>
  <c r="U88" i="3"/>
  <c r="G106" i="8" s="1"/>
  <c r="U87" i="3"/>
  <c r="G105" i="8" s="1"/>
  <c r="U86" i="3"/>
  <c r="G104" i="8" s="1"/>
  <c r="U85" i="3"/>
  <c r="G103" i="8" s="1"/>
  <c r="U84" i="3"/>
  <c r="G102" i="8" s="1"/>
  <c r="U83" i="3"/>
  <c r="G101" i="8" s="1"/>
  <c r="U82" i="3"/>
  <c r="G98" i="8" s="1"/>
  <c r="U81" i="3"/>
  <c r="G97" i="8" s="1"/>
  <c r="U80" i="3"/>
  <c r="G96" i="8" s="1"/>
  <c r="U79" i="3"/>
  <c r="G95" i="8" s="1"/>
  <c r="U78" i="3"/>
  <c r="G94" i="8" s="1"/>
  <c r="U77" i="3"/>
  <c r="G93" i="8" s="1"/>
  <c r="U76" i="3"/>
  <c r="G92" i="8" s="1"/>
  <c r="Q89" i="3"/>
  <c r="F107" i="8" s="1"/>
  <c r="Q88" i="3"/>
  <c r="F106" i="8" s="1"/>
  <c r="Q87" i="3"/>
  <c r="F105" i="8" s="1"/>
  <c r="Q86" i="3"/>
  <c r="F104" i="8" s="1"/>
  <c r="Q85" i="3"/>
  <c r="F103" i="8" s="1"/>
  <c r="Q84" i="3"/>
  <c r="F102" i="8" s="1"/>
  <c r="Q83" i="3"/>
  <c r="F101" i="8" s="1"/>
  <c r="Q82" i="3"/>
  <c r="F98" i="8" s="1"/>
  <c r="Q81" i="3"/>
  <c r="F97" i="8" s="1"/>
  <c r="Q80" i="3"/>
  <c r="F96" i="8" s="1"/>
  <c r="Q79" i="3"/>
  <c r="F95" i="8" s="1"/>
  <c r="Q78" i="3"/>
  <c r="F94" i="8" s="1"/>
  <c r="Q77" i="3"/>
  <c r="F93" i="8" s="1"/>
  <c r="Q76" i="3"/>
  <c r="F92" i="8" s="1"/>
  <c r="G54" i="2"/>
  <c r="G64" i="19" s="1"/>
  <c r="U54" i="3"/>
  <c r="G64" i="8" s="1"/>
  <c r="U53" i="3"/>
  <c r="G63" i="8" s="1"/>
  <c r="U52" i="3"/>
  <c r="G62" i="8" s="1"/>
  <c r="U51" i="3"/>
  <c r="G61" i="8" s="1"/>
  <c r="U50" i="3"/>
  <c r="G60" i="8" s="1"/>
  <c r="U49" i="3"/>
  <c r="G59" i="8" s="1"/>
  <c r="U48" i="3"/>
  <c r="G58" i="8" s="1"/>
  <c r="U47" i="3"/>
  <c r="G55" i="8" s="1"/>
  <c r="U46" i="3"/>
  <c r="G54" i="8" s="1"/>
  <c r="U45" i="3"/>
  <c r="G53" i="8" s="1"/>
  <c r="U44" i="3"/>
  <c r="G52" i="8" s="1"/>
  <c r="U43" i="3"/>
  <c r="G51" i="8" s="1"/>
  <c r="U42" i="3"/>
  <c r="G50" i="8" s="1"/>
  <c r="U41" i="3"/>
  <c r="G49" i="8" s="1"/>
  <c r="Q47" i="3"/>
  <c r="F55" i="8" s="1"/>
  <c r="Q46" i="3"/>
  <c r="F54" i="8" s="1"/>
  <c r="Q45" i="3"/>
  <c r="F53" i="8" s="1"/>
  <c r="Q44" i="3"/>
  <c r="F52" i="8" s="1"/>
  <c r="Q43" i="3"/>
  <c r="F51" i="8" s="1"/>
  <c r="Q42" i="3"/>
  <c r="F50" i="8" s="1"/>
  <c r="Q41" i="3"/>
  <c r="F49" i="8" s="1"/>
  <c r="Q48" i="3"/>
  <c r="F58" i="8" s="1"/>
  <c r="Q54" i="3"/>
  <c r="F64" i="8" s="1"/>
  <c r="Q53" i="3"/>
  <c r="F63" i="8" s="1"/>
  <c r="Q52" i="3"/>
  <c r="F62" i="8" s="1"/>
  <c r="Q51" i="3"/>
  <c r="F61" i="8" s="1"/>
  <c r="Q50" i="3"/>
  <c r="F60" i="8" s="1"/>
  <c r="Q49" i="3"/>
  <c r="F59" i="8" s="1"/>
  <c r="Z89" i="8" l="1"/>
  <c r="K21" i="10" s="1"/>
  <c r="Z181" i="8"/>
  <c r="J33" i="10" s="1"/>
  <c r="Y27" i="10" s="1"/>
  <c r="Z191" i="8"/>
  <c r="K36" i="10" s="1"/>
  <c r="Z190" i="8"/>
  <c r="J36" i="10" s="1"/>
  <c r="Y33" i="10" s="1"/>
  <c r="Z88" i="8"/>
  <c r="J21" i="10" s="1"/>
  <c r="Z182" i="8"/>
  <c r="K33" i="10" s="1"/>
  <c r="Z171" i="8"/>
  <c r="K35" i="10" s="1"/>
  <c r="Z80" i="8"/>
  <c r="K18" i="10" s="1"/>
  <c r="Z79" i="8"/>
  <c r="J18" i="10" s="1"/>
  <c r="Z161" i="8"/>
  <c r="J32" i="10" s="1"/>
  <c r="Z170" i="8"/>
  <c r="J35" i="10" s="1"/>
  <c r="Z162" i="8"/>
  <c r="K32" i="10" s="1"/>
  <c r="X89" i="8"/>
  <c r="G21" i="10" s="1"/>
  <c r="X88" i="8"/>
  <c r="F21" i="10" s="1"/>
  <c r="R170" i="8"/>
  <c r="Q88" i="8"/>
  <c r="E42" i="12"/>
  <c r="E43" i="12"/>
  <c r="R161" i="8"/>
  <c r="R162" i="8" s="1"/>
  <c r="R79" i="8"/>
  <c r="Q89" i="8"/>
  <c r="Q161" i="8"/>
  <c r="Q162" i="8" s="1"/>
  <c r="R88" i="8"/>
  <c r="U162" i="8"/>
  <c r="R190" i="8"/>
  <c r="Q171" i="8"/>
  <c r="R89" i="8"/>
  <c r="Q79" i="8"/>
  <c r="Q190" i="8"/>
  <c r="R80" i="8"/>
  <c r="T162" i="8"/>
  <c r="R171" i="8"/>
  <c r="Q191" i="8"/>
  <c r="R181" i="8"/>
  <c r="R103" i="8"/>
  <c r="AX85" i="3"/>
  <c r="Q143" i="8"/>
  <c r="Z143" i="8" s="1"/>
  <c r="AW117" i="3"/>
  <c r="R139" i="8"/>
  <c r="AX115" i="3"/>
  <c r="R149" i="8"/>
  <c r="AX123" i="3"/>
  <c r="Q92" i="8"/>
  <c r="Z92" i="8" s="1"/>
  <c r="AW76" i="3"/>
  <c r="Q102" i="8"/>
  <c r="Z102" i="8" s="1"/>
  <c r="AW84" i="3"/>
  <c r="R94" i="8"/>
  <c r="AX78" i="3"/>
  <c r="R104" i="8"/>
  <c r="AX86" i="3"/>
  <c r="Q134" i="8"/>
  <c r="Z134" i="8" s="1"/>
  <c r="AW110" i="3"/>
  <c r="Q144" i="8"/>
  <c r="Z144" i="8" s="1"/>
  <c r="AW118" i="3"/>
  <c r="R140" i="8"/>
  <c r="AX116" i="3"/>
  <c r="Q181" i="8"/>
  <c r="Q145" i="8"/>
  <c r="Z145" i="8" s="1"/>
  <c r="AW119" i="3"/>
  <c r="R106" i="8"/>
  <c r="AX88" i="3"/>
  <c r="Q146" i="8"/>
  <c r="Z146" i="8" s="1"/>
  <c r="AW120" i="3"/>
  <c r="R134" i="8"/>
  <c r="AX110" i="3"/>
  <c r="Q95" i="8"/>
  <c r="Z95" i="8" s="1"/>
  <c r="AW79" i="3"/>
  <c r="Q105" i="8"/>
  <c r="Z105" i="8" s="1"/>
  <c r="AW87" i="3"/>
  <c r="R97" i="8"/>
  <c r="AX81" i="3"/>
  <c r="R107" i="8"/>
  <c r="AX89" i="3"/>
  <c r="Q137" i="8"/>
  <c r="Z137" i="8" s="1"/>
  <c r="AW113" i="3"/>
  <c r="Q147" i="8"/>
  <c r="Z147" i="8" s="1"/>
  <c r="AW121" i="3"/>
  <c r="R135" i="8"/>
  <c r="AX111" i="3"/>
  <c r="R145" i="8"/>
  <c r="AX119" i="3"/>
  <c r="R191" i="8"/>
  <c r="R95" i="8"/>
  <c r="AX79" i="3"/>
  <c r="AX139" i="3"/>
  <c r="Q104" i="8"/>
  <c r="Z104" i="8" s="1"/>
  <c r="AW86" i="3"/>
  <c r="Q96" i="8"/>
  <c r="Z96" i="8" s="1"/>
  <c r="AW80" i="3"/>
  <c r="Q106" i="8"/>
  <c r="Z106" i="8" s="1"/>
  <c r="AW88" i="3"/>
  <c r="R98" i="8"/>
  <c r="AX82" i="3"/>
  <c r="Q138" i="8"/>
  <c r="Z138" i="8" s="1"/>
  <c r="AW114" i="3"/>
  <c r="Q148" i="8"/>
  <c r="Z148" i="8" s="1"/>
  <c r="AW122" i="3"/>
  <c r="R136" i="8"/>
  <c r="AX112" i="3"/>
  <c r="R146" i="8"/>
  <c r="AX120" i="3"/>
  <c r="R93" i="8"/>
  <c r="AX77" i="3"/>
  <c r="Q93" i="8"/>
  <c r="Z93" i="8" s="1"/>
  <c r="AW77" i="3"/>
  <c r="R105" i="8"/>
  <c r="AX87" i="3"/>
  <c r="Q135" i="8"/>
  <c r="Z135" i="8" s="1"/>
  <c r="AW111" i="3"/>
  <c r="Q136" i="8"/>
  <c r="Z136" i="8" s="1"/>
  <c r="AW112" i="3"/>
  <c r="Q97" i="8"/>
  <c r="Z97" i="8" s="1"/>
  <c r="AW81" i="3"/>
  <c r="Q107" i="8"/>
  <c r="Z107" i="8" s="1"/>
  <c r="AW89" i="3"/>
  <c r="R101" i="8"/>
  <c r="AX83" i="3"/>
  <c r="Q139" i="8"/>
  <c r="Z139" i="8" s="1"/>
  <c r="AW115" i="3"/>
  <c r="Q149" i="8"/>
  <c r="Z149" i="8" s="1"/>
  <c r="AW123" i="3"/>
  <c r="R137" i="8"/>
  <c r="AX113" i="3"/>
  <c r="R147" i="8"/>
  <c r="AX121" i="3"/>
  <c r="T182" i="8"/>
  <c r="Q80" i="8"/>
  <c r="Q101" i="8"/>
  <c r="AW83" i="3"/>
  <c r="Q103" i="8"/>
  <c r="Z103" i="8" s="1"/>
  <c r="AW85" i="3"/>
  <c r="R143" i="8"/>
  <c r="AX117" i="3"/>
  <c r="Q94" i="8"/>
  <c r="Z94" i="8" s="1"/>
  <c r="AW78" i="3"/>
  <c r="R96" i="8"/>
  <c r="AX80" i="3"/>
  <c r="R144" i="8"/>
  <c r="AX118" i="3"/>
  <c r="Q98" i="8"/>
  <c r="Z98" i="8" s="1"/>
  <c r="AW82" i="3"/>
  <c r="R92" i="8"/>
  <c r="AX76" i="3"/>
  <c r="R102" i="8"/>
  <c r="AX84" i="3"/>
  <c r="Q140" i="8"/>
  <c r="Z140" i="8" s="1"/>
  <c r="AW116" i="3"/>
  <c r="R138" i="8"/>
  <c r="AX114" i="3"/>
  <c r="R148" i="8"/>
  <c r="AX122" i="3"/>
  <c r="Q170" i="8"/>
  <c r="G142" i="8"/>
  <c r="F182" i="8"/>
  <c r="U171" i="8"/>
  <c r="F203" i="8"/>
  <c r="U99" i="8"/>
  <c r="U100" i="8"/>
  <c r="F25" i="8"/>
  <c r="F26" i="8"/>
  <c r="U151" i="8"/>
  <c r="U150" i="8"/>
  <c r="G45" i="8"/>
  <c r="G46" i="8"/>
  <c r="F56" i="8"/>
  <c r="F57" i="8"/>
  <c r="F17" i="8"/>
  <c r="F16" i="8"/>
  <c r="F142" i="8"/>
  <c r="F141" i="8"/>
  <c r="G141" i="8"/>
  <c r="U142" i="8"/>
  <c r="U141" i="8"/>
  <c r="G37" i="8"/>
  <c r="G36" i="8"/>
  <c r="F224" i="8"/>
  <c r="F223" i="8"/>
  <c r="G56" i="8"/>
  <c r="G57" i="8"/>
  <c r="F150" i="8"/>
  <c r="F151" i="8"/>
  <c r="G25" i="8"/>
  <c r="G26" i="8"/>
  <c r="T151" i="8"/>
  <c r="T150" i="8"/>
  <c r="F46" i="8"/>
  <c r="F45" i="8"/>
  <c r="F99" i="8"/>
  <c r="F100" i="8"/>
  <c r="G162" i="8"/>
  <c r="G108" i="8"/>
  <c r="G109" i="8"/>
  <c r="T108" i="8"/>
  <c r="T109" i="8"/>
  <c r="G212" i="8"/>
  <c r="G213" i="8"/>
  <c r="G232" i="8"/>
  <c r="G233" i="8"/>
  <c r="F66" i="8"/>
  <c r="F65" i="8"/>
  <c r="T142" i="8"/>
  <c r="T141" i="8"/>
  <c r="G99" i="8"/>
  <c r="G100" i="8"/>
  <c r="T100" i="8"/>
  <c r="T99" i="8"/>
  <c r="G203" i="8"/>
  <c r="G224" i="8"/>
  <c r="G223" i="8"/>
  <c r="G65" i="8"/>
  <c r="G66" i="8"/>
  <c r="G17" i="8"/>
  <c r="G16" i="8"/>
  <c r="F36" i="8"/>
  <c r="F37" i="8"/>
  <c r="F109" i="8"/>
  <c r="F108" i="8"/>
  <c r="U109" i="8"/>
  <c r="U108" i="8"/>
  <c r="F213" i="8"/>
  <c r="F212" i="8"/>
  <c r="G150" i="8"/>
  <c r="G151" i="8"/>
  <c r="F232" i="8"/>
  <c r="F233" i="8"/>
  <c r="F170" i="8"/>
  <c r="F171" i="8"/>
  <c r="H163" i="8"/>
  <c r="E88" i="12"/>
  <c r="E89" i="12"/>
  <c r="E71" i="12"/>
  <c r="E72" i="12"/>
  <c r="E142" i="12"/>
  <c r="E143" i="12"/>
  <c r="E138" i="12"/>
  <c r="E137" i="12"/>
  <c r="E77" i="12"/>
  <c r="E76" i="12"/>
  <c r="E93" i="12"/>
  <c r="E94" i="12"/>
  <c r="E62" i="12"/>
  <c r="E61" i="12"/>
  <c r="E133" i="12"/>
  <c r="E132" i="12"/>
  <c r="E204" i="12"/>
  <c r="E203" i="12"/>
  <c r="E128" i="12"/>
  <c r="E127" i="12"/>
  <c r="E199" i="12"/>
  <c r="E198" i="12"/>
  <c r="E51" i="12"/>
  <c r="E52" i="12"/>
  <c r="E209" i="12"/>
  <c r="E208" i="12"/>
  <c r="E194" i="12"/>
  <c r="E193" i="12"/>
  <c r="E108" i="12"/>
  <c r="E109" i="12"/>
  <c r="E189" i="12"/>
  <c r="E188" i="12"/>
  <c r="E67" i="12"/>
  <c r="E66" i="12"/>
  <c r="E56" i="12"/>
  <c r="E57" i="12"/>
  <c r="E184" i="12"/>
  <c r="E183" i="12"/>
  <c r="E122" i="12"/>
  <c r="E123" i="12"/>
  <c r="E169" i="12"/>
  <c r="E170" i="12"/>
  <c r="E175" i="12"/>
  <c r="E174" i="12"/>
  <c r="E149" i="12"/>
  <c r="E150" i="12"/>
  <c r="E165" i="12"/>
  <c r="E164" i="12"/>
  <c r="E154" i="12"/>
  <c r="E155" i="12"/>
  <c r="E118" i="12"/>
  <c r="E117" i="12"/>
  <c r="E99" i="12"/>
  <c r="E98" i="12"/>
  <c r="E83" i="12"/>
  <c r="E84" i="12"/>
  <c r="E160" i="12"/>
  <c r="E159" i="12"/>
  <c r="E103" i="12"/>
  <c r="E104" i="12"/>
  <c r="V86" i="3"/>
  <c r="H104" i="8" s="1"/>
  <c r="V79" i="3"/>
  <c r="H95" i="8" s="1"/>
  <c r="V87" i="3"/>
  <c r="H105" i="8" s="1"/>
  <c r="V81" i="3"/>
  <c r="H97" i="8" s="1"/>
  <c r="V77" i="3"/>
  <c r="H93" i="8" s="1"/>
  <c r="V82" i="3"/>
  <c r="H98" i="8" s="1"/>
  <c r="V85" i="3"/>
  <c r="H103" i="8" s="1"/>
  <c r="V89" i="3"/>
  <c r="H107" i="8" s="1"/>
  <c r="V88" i="3"/>
  <c r="H106" i="8" s="1"/>
  <c r="V84" i="3"/>
  <c r="H102" i="8" s="1"/>
  <c r="V83" i="3"/>
  <c r="H101" i="8" s="1"/>
  <c r="V80" i="3"/>
  <c r="H96" i="8" s="1"/>
  <c r="V78" i="3"/>
  <c r="H94" i="8" s="1"/>
  <c r="V76" i="3"/>
  <c r="H92" i="8" s="1"/>
  <c r="B3" i="3"/>
  <c r="F9" i="3"/>
  <c r="C9" i="8" s="1"/>
  <c r="J9" i="3"/>
  <c r="D9" i="8" s="1"/>
  <c r="V9" i="3"/>
  <c r="H9" i="8" s="1"/>
  <c r="F10" i="3"/>
  <c r="J10" i="3"/>
  <c r="D10" i="8" s="1"/>
  <c r="V10" i="3"/>
  <c r="H10" i="8" s="1"/>
  <c r="F11" i="3"/>
  <c r="C11" i="8" s="1"/>
  <c r="L11" i="8" s="1"/>
  <c r="J11" i="3"/>
  <c r="D11" i="8" s="1"/>
  <c r="V11" i="3"/>
  <c r="H11" i="8" s="1"/>
  <c r="F12" i="3"/>
  <c r="C12" i="8" s="1"/>
  <c r="L12" i="8" s="1"/>
  <c r="J12" i="3"/>
  <c r="D12" i="8" s="1"/>
  <c r="V12" i="3"/>
  <c r="H12" i="8" s="1"/>
  <c r="F13" i="3"/>
  <c r="C13" i="8" s="1"/>
  <c r="L13" i="8" s="1"/>
  <c r="J13" i="3"/>
  <c r="D13" i="8" s="1"/>
  <c r="V13" i="3"/>
  <c r="H13" i="8" s="1"/>
  <c r="F14" i="3"/>
  <c r="J14" i="3"/>
  <c r="D14" i="8" s="1"/>
  <c r="V14" i="3"/>
  <c r="H14" i="8" s="1"/>
  <c r="F15" i="3"/>
  <c r="C15" i="8" s="1"/>
  <c r="L15" i="8" s="1"/>
  <c r="J15" i="3"/>
  <c r="D15" i="8" s="1"/>
  <c r="V15" i="3"/>
  <c r="H15" i="8" s="1"/>
  <c r="F16" i="3"/>
  <c r="C18" i="8" s="1"/>
  <c r="L18" i="8" s="1"/>
  <c r="J16" i="3"/>
  <c r="D18" i="8" s="1"/>
  <c r="V16" i="3"/>
  <c r="H18" i="8" s="1"/>
  <c r="F17" i="3"/>
  <c r="C19" i="8" s="1"/>
  <c r="L19" i="8" s="1"/>
  <c r="J17" i="3"/>
  <c r="D19" i="8" s="1"/>
  <c r="V17" i="3"/>
  <c r="H19" i="8" s="1"/>
  <c r="F18" i="3"/>
  <c r="J18" i="3"/>
  <c r="D20" i="8" s="1"/>
  <c r="V18" i="3"/>
  <c r="H20" i="8" s="1"/>
  <c r="F19" i="3"/>
  <c r="C21" i="8" s="1"/>
  <c r="L21" i="8" s="1"/>
  <c r="J19" i="3"/>
  <c r="D21" i="8" s="1"/>
  <c r="V19" i="3"/>
  <c r="H21" i="8" s="1"/>
  <c r="F20" i="3"/>
  <c r="C22" i="8" s="1"/>
  <c r="L22" i="8" s="1"/>
  <c r="J20" i="3"/>
  <c r="D22" i="8" s="1"/>
  <c r="V20" i="3"/>
  <c r="H22" i="8" s="1"/>
  <c r="F21" i="3"/>
  <c r="C23" i="8" s="1"/>
  <c r="L23" i="8" s="1"/>
  <c r="J21" i="3"/>
  <c r="D23" i="8" s="1"/>
  <c r="V21" i="3"/>
  <c r="H23" i="8" s="1"/>
  <c r="F22" i="3"/>
  <c r="J22" i="3"/>
  <c r="D24" i="8" s="1"/>
  <c r="V22" i="3"/>
  <c r="H24" i="8" s="1"/>
  <c r="F25" i="3"/>
  <c r="C29" i="8" s="1"/>
  <c r="J25" i="3"/>
  <c r="D29" i="8" s="1"/>
  <c r="V25" i="3"/>
  <c r="H29" i="8" s="1"/>
  <c r="F26" i="3"/>
  <c r="C30" i="8" s="1"/>
  <c r="L30" i="8" s="1"/>
  <c r="J26" i="3"/>
  <c r="D30" i="8" s="1"/>
  <c r="V26" i="3"/>
  <c r="H30" i="8" s="1"/>
  <c r="F27" i="3"/>
  <c r="C31" i="8" s="1"/>
  <c r="L31" i="8" s="1"/>
  <c r="J27" i="3"/>
  <c r="D31" i="8" s="1"/>
  <c r="V27" i="3"/>
  <c r="H31" i="8" s="1"/>
  <c r="F28" i="3"/>
  <c r="C32" i="8" s="1"/>
  <c r="L32" i="8" s="1"/>
  <c r="J28" i="3"/>
  <c r="D32" i="8" s="1"/>
  <c r="V28" i="3"/>
  <c r="H32" i="8" s="1"/>
  <c r="F29" i="3"/>
  <c r="C33" i="8" s="1"/>
  <c r="L33" i="8" s="1"/>
  <c r="J29" i="3"/>
  <c r="D33" i="8" s="1"/>
  <c r="V29" i="3"/>
  <c r="H33" i="8" s="1"/>
  <c r="F30" i="3"/>
  <c r="C34" i="8" s="1"/>
  <c r="L34" i="8" s="1"/>
  <c r="J30" i="3"/>
  <c r="D34" i="8" s="1"/>
  <c r="V30" i="3"/>
  <c r="H34" i="8" s="1"/>
  <c r="F31" i="3"/>
  <c r="C35" i="8" s="1"/>
  <c r="L35" i="8" s="1"/>
  <c r="J31" i="3"/>
  <c r="D35" i="8" s="1"/>
  <c r="V31" i="3"/>
  <c r="H35" i="8" s="1"/>
  <c r="F32" i="3"/>
  <c r="C38" i="8" s="1"/>
  <c r="L38" i="8" s="1"/>
  <c r="J32" i="3"/>
  <c r="D38" i="8" s="1"/>
  <c r="V32" i="3"/>
  <c r="H38" i="8" s="1"/>
  <c r="F33" i="3"/>
  <c r="C39" i="8" s="1"/>
  <c r="L39" i="8" s="1"/>
  <c r="J33" i="3"/>
  <c r="D39" i="8" s="1"/>
  <c r="V33" i="3"/>
  <c r="H39" i="8" s="1"/>
  <c r="F34" i="3"/>
  <c r="C40" i="8" s="1"/>
  <c r="L40" i="8" s="1"/>
  <c r="J34" i="3"/>
  <c r="D40" i="8" s="1"/>
  <c r="V34" i="3"/>
  <c r="H40" i="8" s="1"/>
  <c r="F35" i="3"/>
  <c r="C41" i="8" s="1"/>
  <c r="L41" i="8" s="1"/>
  <c r="J35" i="3"/>
  <c r="D41" i="8" s="1"/>
  <c r="V35" i="3"/>
  <c r="H41" i="8" s="1"/>
  <c r="F36" i="3"/>
  <c r="C42" i="8" s="1"/>
  <c r="L42" i="8" s="1"/>
  <c r="J36" i="3"/>
  <c r="D42" i="8" s="1"/>
  <c r="V36" i="3"/>
  <c r="H42" i="8" s="1"/>
  <c r="F37" i="3"/>
  <c r="C43" i="8" s="1"/>
  <c r="L43" i="8" s="1"/>
  <c r="J37" i="3"/>
  <c r="D43" i="8" s="1"/>
  <c r="V37" i="3"/>
  <c r="H43" i="8" s="1"/>
  <c r="F38" i="3"/>
  <c r="C44" i="8" s="1"/>
  <c r="L44" i="8" s="1"/>
  <c r="J38" i="3"/>
  <c r="D44" i="8" s="1"/>
  <c r="V38" i="3"/>
  <c r="H44" i="8" s="1"/>
  <c r="F41" i="3"/>
  <c r="C49" i="8" s="1"/>
  <c r="L49" i="8" s="1"/>
  <c r="J41" i="3"/>
  <c r="D49" i="8" s="1"/>
  <c r="V41" i="3"/>
  <c r="H49" i="8" s="1"/>
  <c r="F42" i="3"/>
  <c r="C50" i="8" s="1"/>
  <c r="L50" i="8" s="1"/>
  <c r="J42" i="3"/>
  <c r="D50" i="8" s="1"/>
  <c r="V42" i="3"/>
  <c r="H50" i="8" s="1"/>
  <c r="F43" i="3"/>
  <c r="C51" i="8" s="1"/>
  <c r="L51" i="8" s="1"/>
  <c r="J43" i="3"/>
  <c r="D51" i="8" s="1"/>
  <c r="V43" i="3"/>
  <c r="H51" i="8" s="1"/>
  <c r="F44" i="3"/>
  <c r="C52" i="8" s="1"/>
  <c r="L52" i="8" s="1"/>
  <c r="J44" i="3"/>
  <c r="D52" i="8" s="1"/>
  <c r="V44" i="3"/>
  <c r="H52" i="8" s="1"/>
  <c r="F45" i="3"/>
  <c r="C53" i="8" s="1"/>
  <c r="L53" i="8" s="1"/>
  <c r="J45" i="3"/>
  <c r="D53" i="8" s="1"/>
  <c r="V45" i="3"/>
  <c r="H53" i="8" s="1"/>
  <c r="F46" i="3"/>
  <c r="C54" i="8" s="1"/>
  <c r="L54" i="8" s="1"/>
  <c r="J46" i="3"/>
  <c r="D54" i="8" s="1"/>
  <c r="V46" i="3"/>
  <c r="H54" i="8" s="1"/>
  <c r="F47" i="3"/>
  <c r="C55" i="8" s="1"/>
  <c r="L55" i="8" s="1"/>
  <c r="J47" i="3"/>
  <c r="D55" i="8" s="1"/>
  <c r="V47" i="3"/>
  <c r="H55" i="8" s="1"/>
  <c r="F48" i="3"/>
  <c r="C58" i="8" s="1"/>
  <c r="L58" i="8" s="1"/>
  <c r="J48" i="3"/>
  <c r="D58" i="8" s="1"/>
  <c r="V48" i="3"/>
  <c r="H58" i="8" s="1"/>
  <c r="F49" i="3"/>
  <c r="C59" i="8" s="1"/>
  <c r="L59" i="8" s="1"/>
  <c r="J49" i="3"/>
  <c r="D59" i="8" s="1"/>
  <c r="V49" i="3"/>
  <c r="H59" i="8" s="1"/>
  <c r="F50" i="3"/>
  <c r="J50" i="3"/>
  <c r="D60" i="8" s="1"/>
  <c r="V50" i="3"/>
  <c r="H60" i="8" s="1"/>
  <c r="F51" i="3"/>
  <c r="C61" i="8" s="1"/>
  <c r="L61" i="8" s="1"/>
  <c r="J51" i="3"/>
  <c r="D61" i="8" s="1"/>
  <c r="V51" i="3"/>
  <c r="H61" i="8" s="1"/>
  <c r="F52" i="3"/>
  <c r="C62" i="8" s="1"/>
  <c r="L62" i="8" s="1"/>
  <c r="J52" i="3"/>
  <c r="D62" i="8" s="1"/>
  <c r="V52" i="3"/>
  <c r="H62" i="8" s="1"/>
  <c r="F53" i="3"/>
  <c r="C63" i="8" s="1"/>
  <c r="L63" i="8" s="1"/>
  <c r="J53" i="3"/>
  <c r="D63" i="8" s="1"/>
  <c r="V53" i="3"/>
  <c r="H63" i="8" s="1"/>
  <c r="F54" i="3"/>
  <c r="J54" i="3"/>
  <c r="D64" i="8" s="1"/>
  <c r="V54" i="3"/>
  <c r="H64" i="8" s="1"/>
  <c r="H111" i="8"/>
  <c r="V111" i="8"/>
  <c r="Y111" i="8"/>
  <c r="S111" i="8"/>
  <c r="K111" i="8"/>
  <c r="E111" i="8"/>
  <c r="V205" i="3"/>
  <c r="H251" i="8" s="1"/>
  <c r="V204" i="3"/>
  <c r="H250" i="8" s="1"/>
  <c r="V203" i="3"/>
  <c r="H249" i="8" s="1"/>
  <c r="V202" i="3"/>
  <c r="H248" i="8" s="1"/>
  <c r="V201" i="3"/>
  <c r="H247" i="8" s="1"/>
  <c r="V200" i="3"/>
  <c r="H246" i="8" s="1"/>
  <c r="V199" i="3"/>
  <c r="H245" i="8" s="1"/>
  <c r="V198" i="3"/>
  <c r="H242" i="8" s="1"/>
  <c r="V197" i="3"/>
  <c r="H241" i="8" s="1"/>
  <c r="V196" i="3"/>
  <c r="H240" i="8" s="1"/>
  <c r="V195" i="3"/>
  <c r="H239" i="8" s="1"/>
  <c r="V194" i="3"/>
  <c r="H238" i="8" s="1"/>
  <c r="V193" i="3"/>
  <c r="H237" i="8" s="1"/>
  <c r="V192" i="3"/>
  <c r="H236" i="8" s="1"/>
  <c r="V189" i="3"/>
  <c r="H231" i="8" s="1"/>
  <c r="V188" i="3"/>
  <c r="H230" i="8" s="1"/>
  <c r="V187" i="3"/>
  <c r="H229" i="8" s="1"/>
  <c r="V186" i="3"/>
  <c r="H228" i="8" s="1"/>
  <c r="V185" i="3"/>
  <c r="H227" i="8" s="1"/>
  <c r="V184" i="3"/>
  <c r="H226" i="8" s="1"/>
  <c r="V183" i="3"/>
  <c r="H225" i="8" s="1"/>
  <c r="V182" i="3"/>
  <c r="H222" i="8" s="1"/>
  <c r="V181" i="3"/>
  <c r="H221" i="8" s="1"/>
  <c r="V180" i="3"/>
  <c r="H220" i="8" s="1"/>
  <c r="V179" i="3"/>
  <c r="H219" i="8" s="1"/>
  <c r="V178" i="3"/>
  <c r="H218" i="8" s="1"/>
  <c r="V177" i="3"/>
  <c r="H217" i="8" s="1"/>
  <c r="V176" i="3"/>
  <c r="H216" i="8" s="1"/>
  <c r="V173" i="3"/>
  <c r="H211" i="8" s="1"/>
  <c r="V172" i="3"/>
  <c r="H210" i="8" s="1"/>
  <c r="V171" i="3"/>
  <c r="H209" i="8" s="1"/>
  <c r="V170" i="3"/>
  <c r="H208" i="8" s="1"/>
  <c r="V169" i="3"/>
  <c r="H207" i="8" s="1"/>
  <c r="V168" i="3"/>
  <c r="H206" i="8" s="1"/>
  <c r="V167" i="3"/>
  <c r="H205" i="8" s="1"/>
  <c r="V166" i="3"/>
  <c r="H202" i="8" s="1"/>
  <c r="V165" i="3"/>
  <c r="H201" i="8" s="1"/>
  <c r="V164" i="3"/>
  <c r="H200" i="8" s="1"/>
  <c r="V163" i="3"/>
  <c r="H199" i="8" s="1"/>
  <c r="V162" i="3"/>
  <c r="H198" i="8" s="1"/>
  <c r="V161" i="3"/>
  <c r="H197" i="8" s="1"/>
  <c r="V160" i="3"/>
  <c r="H196" i="8" s="1"/>
  <c r="V155" i="3"/>
  <c r="H189" i="8" s="1"/>
  <c r="V154" i="3"/>
  <c r="H188" i="8" s="1"/>
  <c r="V153" i="3"/>
  <c r="H187" i="8" s="1"/>
  <c r="V152" i="3"/>
  <c r="H186" i="8" s="1"/>
  <c r="V151" i="3"/>
  <c r="H185" i="8" s="1"/>
  <c r="V150" i="3"/>
  <c r="H184" i="8" s="1"/>
  <c r="V149" i="3"/>
  <c r="H183" i="8" s="1"/>
  <c r="V148" i="3"/>
  <c r="H180" i="8" s="1"/>
  <c r="V147" i="3"/>
  <c r="H179" i="8" s="1"/>
  <c r="V146" i="3"/>
  <c r="H178" i="8" s="1"/>
  <c r="V145" i="3"/>
  <c r="H177" i="8" s="1"/>
  <c r="V144" i="3"/>
  <c r="H176" i="8" s="1"/>
  <c r="V143" i="3"/>
  <c r="H175" i="8" s="1"/>
  <c r="V142" i="3"/>
  <c r="H174" i="8" s="1"/>
  <c r="V139" i="3"/>
  <c r="H169" i="8" s="1"/>
  <c r="V138" i="3"/>
  <c r="H168" i="8" s="1"/>
  <c r="V137" i="3"/>
  <c r="H167" i="8" s="1"/>
  <c r="V136" i="3"/>
  <c r="H166" i="8" s="1"/>
  <c r="V135" i="3"/>
  <c r="H165" i="8" s="1"/>
  <c r="V134" i="3"/>
  <c r="H164" i="8" s="1"/>
  <c r="V132" i="3"/>
  <c r="H160" i="8" s="1"/>
  <c r="V131" i="3"/>
  <c r="H159" i="8" s="1"/>
  <c r="V130" i="3"/>
  <c r="H158" i="8" s="1"/>
  <c r="V129" i="3"/>
  <c r="H157" i="8" s="1"/>
  <c r="V128" i="3"/>
  <c r="H156" i="8" s="1"/>
  <c r="V127" i="3"/>
  <c r="H155" i="8" s="1"/>
  <c r="V126" i="3"/>
  <c r="H154" i="8" s="1"/>
  <c r="V123" i="3"/>
  <c r="H149" i="8" s="1"/>
  <c r="V122" i="3"/>
  <c r="H148" i="8" s="1"/>
  <c r="V121" i="3"/>
  <c r="H147" i="8" s="1"/>
  <c r="V120" i="3"/>
  <c r="H146" i="8" s="1"/>
  <c r="V119" i="3"/>
  <c r="H145" i="8" s="1"/>
  <c r="V118" i="3"/>
  <c r="H144" i="8" s="1"/>
  <c r="V117" i="3"/>
  <c r="H143" i="8" s="1"/>
  <c r="V116" i="3"/>
  <c r="H140" i="8" s="1"/>
  <c r="V115" i="3"/>
  <c r="H139" i="8" s="1"/>
  <c r="V114" i="3"/>
  <c r="H138" i="8" s="1"/>
  <c r="V113" i="3"/>
  <c r="H137" i="8" s="1"/>
  <c r="V112" i="3"/>
  <c r="H136" i="8" s="1"/>
  <c r="V111" i="3"/>
  <c r="H135" i="8" s="1"/>
  <c r="V110" i="3"/>
  <c r="H134" i="8" s="1"/>
  <c r="V73" i="3"/>
  <c r="H87" i="8" s="1"/>
  <c r="V72" i="3"/>
  <c r="H86" i="8" s="1"/>
  <c r="V71" i="3"/>
  <c r="H85" i="8" s="1"/>
  <c r="V70" i="3"/>
  <c r="H84" i="8" s="1"/>
  <c r="V69" i="3"/>
  <c r="H83" i="8" s="1"/>
  <c r="V68" i="3"/>
  <c r="H82" i="8" s="1"/>
  <c r="V67" i="3"/>
  <c r="H81" i="8" s="1"/>
  <c r="V66" i="3"/>
  <c r="H78" i="8" s="1"/>
  <c r="V65" i="3"/>
  <c r="H77" i="8" s="1"/>
  <c r="V64" i="3"/>
  <c r="H76" i="8" s="1"/>
  <c r="V63" i="3"/>
  <c r="H75" i="8" s="1"/>
  <c r="V62" i="3"/>
  <c r="H74" i="8" s="1"/>
  <c r="V61" i="3"/>
  <c r="H73" i="8" s="1"/>
  <c r="V60" i="3"/>
  <c r="H72" i="8" s="1"/>
  <c r="AV155" i="3"/>
  <c r="V189" i="8" s="1"/>
  <c r="AV154" i="3"/>
  <c r="V188" i="8" s="1"/>
  <c r="AV153" i="3"/>
  <c r="V187" i="8" s="1"/>
  <c r="AV152" i="3"/>
  <c r="V186" i="8" s="1"/>
  <c r="AV151" i="3"/>
  <c r="V185" i="8" s="1"/>
  <c r="AV150" i="3"/>
  <c r="V184" i="8" s="1"/>
  <c r="AV149" i="3"/>
  <c r="V183" i="8" s="1"/>
  <c r="AV148" i="3"/>
  <c r="V180" i="8" s="1"/>
  <c r="AV147" i="3"/>
  <c r="V179" i="8" s="1"/>
  <c r="AV146" i="3"/>
  <c r="V178" i="8" s="1"/>
  <c r="AV145" i="3"/>
  <c r="V177" i="8" s="1"/>
  <c r="AV144" i="3"/>
  <c r="V176" i="8" s="1"/>
  <c r="AV143" i="3"/>
  <c r="V175" i="8" s="1"/>
  <c r="AV142" i="3"/>
  <c r="V174" i="8" s="1"/>
  <c r="AV139" i="3"/>
  <c r="V169" i="8" s="1"/>
  <c r="AV138" i="3"/>
  <c r="V168" i="8" s="1"/>
  <c r="AV137" i="3"/>
  <c r="V167" i="8" s="1"/>
  <c r="AV136" i="3"/>
  <c r="V166" i="8" s="1"/>
  <c r="AV135" i="3"/>
  <c r="V165" i="8" s="1"/>
  <c r="AV134" i="3"/>
  <c r="V164" i="8" s="1"/>
  <c r="AV133" i="3"/>
  <c r="V163" i="8" s="1"/>
  <c r="AV132" i="3"/>
  <c r="V160" i="8" s="1"/>
  <c r="AV131" i="3"/>
  <c r="V159" i="8" s="1"/>
  <c r="AV130" i="3"/>
  <c r="V158" i="8" s="1"/>
  <c r="AV129" i="3"/>
  <c r="V157" i="8" s="1"/>
  <c r="AV128" i="3"/>
  <c r="V156" i="8" s="1"/>
  <c r="AV127" i="3"/>
  <c r="V155" i="8" s="1"/>
  <c r="AV126" i="3"/>
  <c r="V154" i="8" s="1"/>
  <c r="AV123" i="3"/>
  <c r="V149" i="8" s="1"/>
  <c r="AV122" i="3"/>
  <c r="V148" i="8" s="1"/>
  <c r="AV121" i="3"/>
  <c r="V147" i="8" s="1"/>
  <c r="AV120" i="3"/>
  <c r="V146" i="8" s="1"/>
  <c r="AV119" i="3"/>
  <c r="V145" i="8" s="1"/>
  <c r="AV118" i="3"/>
  <c r="V144" i="8" s="1"/>
  <c r="AV117" i="3"/>
  <c r="V143" i="8" s="1"/>
  <c r="AV116" i="3"/>
  <c r="V140" i="8" s="1"/>
  <c r="AV115" i="3"/>
  <c r="V139" i="8" s="1"/>
  <c r="AV114" i="3"/>
  <c r="V138" i="8" s="1"/>
  <c r="AV113" i="3"/>
  <c r="V137" i="8" s="1"/>
  <c r="AV112" i="3"/>
  <c r="V136" i="8" s="1"/>
  <c r="AV111" i="3"/>
  <c r="V135" i="8" s="1"/>
  <c r="AV110" i="3"/>
  <c r="V134" i="8" s="1"/>
  <c r="AV73" i="3"/>
  <c r="V87" i="8" s="1"/>
  <c r="AV72" i="3"/>
  <c r="V86" i="8" s="1"/>
  <c r="AV71" i="3"/>
  <c r="V85" i="8" s="1"/>
  <c r="AV70" i="3"/>
  <c r="V84" i="8" s="1"/>
  <c r="AV69" i="3"/>
  <c r="V83" i="8" s="1"/>
  <c r="AV68" i="3"/>
  <c r="V82" i="8" s="1"/>
  <c r="AV67" i="3"/>
  <c r="V81" i="8" s="1"/>
  <c r="AV66" i="3"/>
  <c r="V78" i="8" s="1"/>
  <c r="AV65" i="3"/>
  <c r="V77" i="8" s="1"/>
  <c r="AV64" i="3"/>
  <c r="V76" i="8" s="1"/>
  <c r="AV63" i="3"/>
  <c r="V75" i="8" s="1"/>
  <c r="AV62" i="3"/>
  <c r="V74" i="8" s="1"/>
  <c r="AV61" i="3"/>
  <c r="V73" i="8" s="1"/>
  <c r="AV60" i="3"/>
  <c r="V72" i="8" s="1"/>
  <c r="AK73" i="3"/>
  <c r="S87" i="8" s="1"/>
  <c r="AK72" i="3"/>
  <c r="S86" i="8" s="1"/>
  <c r="AK71" i="3"/>
  <c r="S85" i="8" s="1"/>
  <c r="AK70" i="3"/>
  <c r="S84" i="8" s="1"/>
  <c r="AK69" i="3"/>
  <c r="S83" i="8" s="1"/>
  <c r="AK68" i="3"/>
  <c r="S82" i="8" s="1"/>
  <c r="AK67" i="3"/>
  <c r="S81" i="8" s="1"/>
  <c r="AK66" i="3"/>
  <c r="S78" i="8" s="1"/>
  <c r="AK65" i="3"/>
  <c r="S77" i="8" s="1"/>
  <c r="AK64" i="3"/>
  <c r="S76" i="8" s="1"/>
  <c r="AK63" i="3"/>
  <c r="S75" i="8" s="1"/>
  <c r="AK62" i="3"/>
  <c r="S74" i="8" s="1"/>
  <c r="AK61" i="3"/>
  <c r="S73" i="8" s="1"/>
  <c r="AK60" i="3"/>
  <c r="S72" i="8" s="1"/>
  <c r="AV89" i="3"/>
  <c r="V107" i="8" s="1"/>
  <c r="AV88" i="3"/>
  <c r="V106" i="8" s="1"/>
  <c r="AV87" i="3"/>
  <c r="V105" i="8" s="1"/>
  <c r="AV86" i="3"/>
  <c r="V104" i="8" s="1"/>
  <c r="AV85" i="3"/>
  <c r="V103" i="8" s="1"/>
  <c r="AV84" i="3"/>
  <c r="V102" i="8" s="1"/>
  <c r="AV83" i="3"/>
  <c r="V101" i="8" s="1"/>
  <c r="AV82" i="3"/>
  <c r="V98" i="8" s="1"/>
  <c r="AV81" i="3"/>
  <c r="V97" i="8" s="1"/>
  <c r="AV80" i="3"/>
  <c r="V96" i="8" s="1"/>
  <c r="AV79" i="3"/>
  <c r="V95" i="8" s="1"/>
  <c r="AV78" i="3"/>
  <c r="V94" i="8" s="1"/>
  <c r="AV77" i="3"/>
  <c r="V93" i="8" s="1"/>
  <c r="AV76" i="3"/>
  <c r="V92" i="8" s="1"/>
  <c r="AK155" i="3"/>
  <c r="S189" i="8" s="1"/>
  <c r="AK154" i="3"/>
  <c r="S188" i="8" s="1"/>
  <c r="AK153" i="3"/>
  <c r="S187" i="8" s="1"/>
  <c r="AK152" i="3"/>
  <c r="S186" i="8" s="1"/>
  <c r="AK151" i="3"/>
  <c r="S185" i="8" s="1"/>
  <c r="AK150" i="3"/>
  <c r="AK149" i="3"/>
  <c r="AK148" i="3"/>
  <c r="S180" i="8" s="1"/>
  <c r="AK147" i="3"/>
  <c r="S179" i="8" s="1"/>
  <c r="AK146" i="3"/>
  <c r="S178" i="8" s="1"/>
  <c r="AK145" i="3"/>
  <c r="S177" i="8" s="1"/>
  <c r="AK144" i="3"/>
  <c r="S176" i="8" s="1"/>
  <c r="AK143" i="3"/>
  <c r="S175" i="8" s="1"/>
  <c r="AK142" i="3"/>
  <c r="AK139" i="3"/>
  <c r="S169" i="8" s="1"/>
  <c r="AK138" i="3"/>
  <c r="S168" i="8" s="1"/>
  <c r="AK137" i="3"/>
  <c r="S167" i="8" s="1"/>
  <c r="AK136" i="3"/>
  <c r="S166" i="8" s="1"/>
  <c r="AK135" i="3"/>
  <c r="S165" i="8" s="1"/>
  <c r="AK134" i="3"/>
  <c r="S164" i="8" s="1"/>
  <c r="AK133" i="3"/>
  <c r="S163" i="8" s="1"/>
  <c r="AK132" i="3"/>
  <c r="S160" i="8" s="1"/>
  <c r="AK131" i="3"/>
  <c r="AK130" i="3"/>
  <c r="AK129" i="3"/>
  <c r="S157" i="8" s="1"/>
  <c r="AK128" i="3"/>
  <c r="S156" i="8" s="1"/>
  <c r="AK127" i="3"/>
  <c r="S155" i="8" s="1"/>
  <c r="AK126" i="3"/>
  <c r="AK123" i="3"/>
  <c r="AK122" i="3"/>
  <c r="S148" i="8" s="1"/>
  <c r="AK121" i="3"/>
  <c r="AK120" i="3"/>
  <c r="S146" i="8" s="1"/>
  <c r="AK119" i="3"/>
  <c r="S145" i="8" s="1"/>
  <c r="AK118" i="3"/>
  <c r="S144" i="8" s="1"/>
  <c r="AK117" i="3"/>
  <c r="S143" i="8" s="1"/>
  <c r="AK116" i="3"/>
  <c r="S140" i="8" s="1"/>
  <c r="AK115" i="3"/>
  <c r="AK114" i="3"/>
  <c r="S138" i="8" s="1"/>
  <c r="AK113" i="3"/>
  <c r="AK112" i="3"/>
  <c r="S136" i="8" s="1"/>
  <c r="AK111" i="3"/>
  <c r="S135" i="8" s="1"/>
  <c r="AK110" i="3"/>
  <c r="S134" i="8" s="1"/>
  <c r="AK89" i="3"/>
  <c r="AK88" i="3"/>
  <c r="AK87" i="3"/>
  <c r="AK86" i="3"/>
  <c r="AK85" i="3"/>
  <c r="AK84" i="3"/>
  <c r="AK83" i="3"/>
  <c r="AK82" i="3"/>
  <c r="AK81" i="3"/>
  <c r="AK80" i="3"/>
  <c r="AK79" i="3"/>
  <c r="AK78" i="3"/>
  <c r="AK77" i="3"/>
  <c r="AK76" i="3"/>
  <c r="AU105" i="3"/>
  <c r="U127" i="8" s="1"/>
  <c r="AU104" i="3"/>
  <c r="U126" i="8" s="1"/>
  <c r="AU103" i="3"/>
  <c r="U125" i="8" s="1"/>
  <c r="AU102" i="3"/>
  <c r="U124" i="8" s="1"/>
  <c r="AU101" i="3"/>
  <c r="U123" i="8" s="1"/>
  <c r="AU100" i="3"/>
  <c r="U122" i="8" s="1"/>
  <c r="AU99" i="3"/>
  <c r="AU98" i="3"/>
  <c r="U118" i="8" s="1"/>
  <c r="AU97" i="3"/>
  <c r="U117" i="8" s="1"/>
  <c r="AU96" i="3"/>
  <c r="U116" i="8" s="1"/>
  <c r="AU95" i="3"/>
  <c r="U115" i="8" s="1"/>
  <c r="AU94" i="3"/>
  <c r="U114" i="8" s="1"/>
  <c r="AU93" i="3"/>
  <c r="U113" i="8" s="1"/>
  <c r="AU92" i="3"/>
  <c r="U112" i="8" s="1"/>
  <c r="AQ105" i="3"/>
  <c r="T127" i="8" s="1"/>
  <c r="AQ104" i="3"/>
  <c r="T126" i="8" s="1"/>
  <c r="AQ103" i="3"/>
  <c r="T125" i="8" s="1"/>
  <c r="AQ102" i="3"/>
  <c r="AQ101" i="3"/>
  <c r="T123" i="8" s="1"/>
  <c r="AQ100" i="3"/>
  <c r="AQ99" i="3"/>
  <c r="T121" i="8" s="1"/>
  <c r="AQ98" i="3"/>
  <c r="T118" i="8" s="1"/>
  <c r="AQ97" i="3"/>
  <c r="T117" i="8" s="1"/>
  <c r="AQ96" i="3"/>
  <c r="T116" i="8" s="1"/>
  <c r="AQ95" i="3"/>
  <c r="T115" i="8" s="1"/>
  <c r="AQ94" i="3"/>
  <c r="AQ93" i="3"/>
  <c r="T113" i="8" s="1"/>
  <c r="AQ92" i="3"/>
  <c r="AJ105" i="3"/>
  <c r="AJ104" i="3"/>
  <c r="AJ103" i="3"/>
  <c r="AJ102" i="3"/>
  <c r="AJ101" i="3"/>
  <c r="AJ100" i="3"/>
  <c r="AJ99" i="3"/>
  <c r="AJ98" i="3"/>
  <c r="AJ97" i="3"/>
  <c r="AJ96" i="3"/>
  <c r="AJ95" i="3"/>
  <c r="AJ94" i="3"/>
  <c r="AJ93" i="3"/>
  <c r="AJ92" i="3"/>
  <c r="AX92" i="3" s="1"/>
  <c r="U105" i="3"/>
  <c r="G127" i="8" s="1"/>
  <c r="U104" i="3"/>
  <c r="G126" i="8" s="1"/>
  <c r="U103" i="3"/>
  <c r="G125" i="8" s="1"/>
  <c r="U102" i="3"/>
  <c r="G124" i="8" s="1"/>
  <c r="U101" i="3"/>
  <c r="G123" i="8" s="1"/>
  <c r="U100" i="3"/>
  <c r="G122" i="8" s="1"/>
  <c r="U99" i="3"/>
  <c r="G121" i="8" s="1"/>
  <c r="U98" i="3"/>
  <c r="G118" i="8" s="1"/>
  <c r="U97" i="3"/>
  <c r="G117" i="8" s="1"/>
  <c r="U96" i="3"/>
  <c r="G116" i="8" s="1"/>
  <c r="U95" i="3"/>
  <c r="G115" i="8" s="1"/>
  <c r="U94" i="3"/>
  <c r="G114" i="8" s="1"/>
  <c r="U93" i="3"/>
  <c r="G113" i="8" s="1"/>
  <c r="U92" i="3"/>
  <c r="G112" i="8" s="1"/>
  <c r="Q105" i="3"/>
  <c r="Q104" i="3"/>
  <c r="F126" i="8" s="1"/>
  <c r="Q103" i="3"/>
  <c r="F125" i="8" s="1"/>
  <c r="Q102" i="3"/>
  <c r="F124" i="8" s="1"/>
  <c r="Q101" i="3"/>
  <c r="F123" i="8" s="1"/>
  <c r="Q100" i="3"/>
  <c r="F122" i="8" s="1"/>
  <c r="Q99" i="3"/>
  <c r="Q98" i="3"/>
  <c r="F118" i="8" s="1"/>
  <c r="Q97" i="3"/>
  <c r="Q96" i="3"/>
  <c r="F116" i="8" s="1"/>
  <c r="Q95" i="3"/>
  <c r="F115" i="8" s="1"/>
  <c r="Q94" i="3"/>
  <c r="F114" i="8" s="1"/>
  <c r="Q93" i="3"/>
  <c r="F113" i="8" s="1"/>
  <c r="Q92" i="3"/>
  <c r="F112" i="8" s="1"/>
  <c r="AF105" i="3"/>
  <c r="AF104" i="3"/>
  <c r="AF103" i="3"/>
  <c r="AF102" i="3"/>
  <c r="AW102" i="3" s="1"/>
  <c r="AF101" i="3"/>
  <c r="AW101" i="3" s="1"/>
  <c r="AF100" i="3"/>
  <c r="AF99" i="3"/>
  <c r="AF98" i="3"/>
  <c r="AW98" i="3" s="1"/>
  <c r="AF97" i="3"/>
  <c r="AW97" i="3" s="1"/>
  <c r="AF96" i="3"/>
  <c r="AF95" i="3"/>
  <c r="AF94" i="3"/>
  <c r="AW94" i="3" s="1"/>
  <c r="AF93" i="3"/>
  <c r="AF92" i="3"/>
  <c r="Y58" i="1"/>
  <c r="Z58" i="1" s="1"/>
  <c r="Y57" i="1"/>
  <c r="Z57" i="1" s="1"/>
  <c r="Y56" i="1"/>
  <c r="Z56" i="1" s="1"/>
  <c r="Y55" i="1"/>
  <c r="Z55" i="1" s="1"/>
  <c r="Y54" i="1"/>
  <c r="Z54" i="1" s="1"/>
  <c r="Y53" i="1"/>
  <c r="Z53" i="1" s="1"/>
  <c r="Y48" i="1"/>
  <c r="Z48" i="1" s="1"/>
  <c r="Y47" i="1"/>
  <c r="Z47" i="1" s="1"/>
  <c r="Y46" i="1"/>
  <c r="Z46" i="1" s="1"/>
  <c r="Y45" i="1"/>
  <c r="Z45" i="1" s="1"/>
  <c r="Y44" i="1"/>
  <c r="Z44" i="1" s="1"/>
  <c r="Y43" i="1"/>
  <c r="Z43" i="1" s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58" i="1"/>
  <c r="Q58" i="1" s="1"/>
  <c r="P57" i="1"/>
  <c r="Q57" i="1" s="1"/>
  <c r="P56" i="1"/>
  <c r="Q56" i="1" s="1"/>
  <c r="P55" i="1"/>
  <c r="Q55" i="1" s="1"/>
  <c r="P54" i="1"/>
  <c r="Q54" i="1" s="1"/>
  <c r="P53" i="1"/>
  <c r="Q53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B66" i="1"/>
  <c r="Z150" i="8" l="1"/>
  <c r="J34" i="10" s="1"/>
  <c r="Z151" i="8"/>
  <c r="K34" i="10" s="1"/>
  <c r="L56" i="8"/>
  <c r="J7" i="10" s="1"/>
  <c r="Y23" i="10" s="1"/>
  <c r="L57" i="8"/>
  <c r="K7" i="10" s="1"/>
  <c r="Q109" i="8"/>
  <c r="Z101" i="8"/>
  <c r="Z109" i="8" s="1"/>
  <c r="K20" i="10" s="1"/>
  <c r="Z99" i="8"/>
  <c r="J19" i="10" s="1"/>
  <c r="L45" i="8"/>
  <c r="J9" i="10" s="1"/>
  <c r="L46" i="8"/>
  <c r="K9" i="10" s="1"/>
  <c r="Z142" i="8"/>
  <c r="K31" i="10" s="1"/>
  <c r="Z100" i="8"/>
  <c r="K19" i="10" s="1"/>
  <c r="L9" i="8"/>
  <c r="L37" i="8"/>
  <c r="K6" i="10" s="1"/>
  <c r="L36" i="8"/>
  <c r="J6" i="10" s="1"/>
  <c r="Z141" i="8"/>
  <c r="J31" i="10" s="1"/>
  <c r="R109" i="8"/>
  <c r="Q142" i="8"/>
  <c r="R142" i="8"/>
  <c r="Q100" i="8"/>
  <c r="Q151" i="8"/>
  <c r="R182" i="8"/>
  <c r="R108" i="8"/>
  <c r="R150" i="8"/>
  <c r="R99" i="8"/>
  <c r="Q99" i="8"/>
  <c r="Q141" i="8"/>
  <c r="Q108" i="8"/>
  <c r="R141" i="8"/>
  <c r="Q150" i="8"/>
  <c r="Q115" i="8"/>
  <c r="Z115" i="8" s="1"/>
  <c r="AW95" i="3"/>
  <c r="Q125" i="8"/>
  <c r="Z125" i="8" s="1"/>
  <c r="AW103" i="3"/>
  <c r="R113" i="8"/>
  <c r="AX93" i="3"/>
  <c r="R123" i="8"/>
  <c r="AX101" i="3"/>
  <c r="Q116" i="8"/>
  <c r="Z116" i="8" s="1"/>
  <c r="AW96" i="3"/>
  <c r="R116" i="8"/>
  <c r="AX96" i="3"/>
  <c r="R126" i="8"/>
  <c r="AX104" i="3"/>
  <c r="R125" i="8"/>
  <c r="AX103" i="3"/>
  <c r="Q121" i="8"/>
  <c r="Z121" i="8" s="1"/>
  <c r="AW99" i="3"/>
  <c r="R117" i="8"/>
  <c r="AX97" i="3"/>
  <c r="R127" i="8"/>
  <c r="AX105" i="3"/>
  <c r="R122" i="8"/>
  <c r="AX100" i="3"/>
  <c r="Q126" i="8"/>
  <c r="Z126" i="8" s="1"/>
  <c r="AW104" i="3"/>
  <c r="R114" i="8"/>
  <c r="AX94" i="3"/>
  <c r="R124" i="8"/>
  <c r="AX102" i="3"/>
  <c r="Q127" i="8"/>
  <c r="Z127" i="8" s="1"/>
  <c r="AW105" i="3"/>
  <c r="R115" i="8"/>
  <c r="AX95" i="3"/>
  <c r="Q122" i="8"/>
  <c r="Z122" i="8" s="1"/>
  <c r="AW100" i="3"/>
  <c r="R118" i="8"/>
  <c r="AX98" i="3"/>
  <c r="R151" i="8"/>
  <c r="R100" i="8"/>
  <c r="Q112" i="8"/>
  <c r="Z112" i="8" s="1"/>
  <c r="AW92" i="3"/>
  <c r="Q113" i="8"/>
  <c r="Z113" i="8" s="1"/>
  <c r="AW93" i="3"/>
  <c r="R121" i="8"/>
  <c r="AX99" i="3"/>
  <c r="Q182" i="8"/>
  <c r="G204" i="8"/>
  <c r="F204" i="8"/>
  <c r="AY84" i="3"/>
  <c r="Y102" i="8" s="1"/>
  <c r="S102" i="8"/>
  <c r="V161" i="8"/>
  <c r="H252" i="8"/>
  <c r="H253" i="8"/>
  <c r="H17" i="8"/>
  <c r="H16" i="8"/>
  <c r="AY85" i="3"/>
  <c r="Y103" i="8" s="1"/>
  <c r="S103" i="8"/>
  <c r="AY121" i="3"/>
  <c r="Y147" i="8" s="1"/>
  <c r="S147" i="8"/>
  <c r="H46" i="8"/>
  <c r="H45" i="8"/>
  <c r="D16" i="8"/>
  <c r="D17" i="8"/>
  <c r="AY78" i="3"/>
  <c r="Y94" i="8" s="1"/>
  <c r="S94" i="8"/>
  <c r="AY86" i="3"/>
  <c r="Y104" i="8" s="1"/>
  <c r="S104" i="8"/>
  <c r="AY142" i="3"/>
  <c r="Y174" i="8" s="1"/>
  <c r="S174" i="8"/>
  <c r="AY150" i="3"/>
  <c r="Y184" i="8" s="1"/>
  <c r="S184" i="8"/>
  <c r="V142" i="8"/>
  <c r="V141" i="8"/>
  <c r="H161" i="8"/>
  <c r="H232" i="8"/>
  <c r="H233" i="8"/>
  <c r="D46" i="8"/>
  <c r="D45" i="8"/>
  <c r="V99" i="8"/>
  <c r="V100" i="8"/>
  <c r="AY77" i="3"/>
  <c r="Y93" i="8" s="1"/>
  <c r="S93" i="8"/>
  <c r="AY113" i="3"/>
  <c r="Y137" i="8" s="1"/>
  <c r="S137" i="8"/>
  <c r="AY149" i="3"/>
  <c r="Y183" i="8" s="1"/>
  <c r="S183" i="8"/>
  <c r="V151" i="8"/>
  <c r="V150" i="8"/>
  <c r="H243" i="8"/>
  <c r="H244" i="8"/>
  <c r="AY79" i="3"/>
  <c r="Y95" i="8" s="1"/>
  <c r="S95" i="8"/>
  <c r="AY87" i="3"/>
  <c r="Y105" i="8" s="1"/>
  <c r="S105" i="8"/>
  <c r="AY115" i="3"/>
  <c r="Y139" i="8" s="1"/>
  <c r="S139" i="8"/>
  <c r="AY123" i="3"/>
  <c r="Y149" i="8" s="1"/>
  <c r="S149" i="8"/>
  <c r="S171" i="8"/>
  <c r="S170" i="8"/>
  <c r="V89" i="8"/>
  <c r="V88" i="8"/>
  <c r="H151" i="8"/>
  <c r="H150" i="8"/>
  <c r="H223" i="8"/>
  <c r="K50" i="3"/>
  <c r="C60" i="8"/>
  <c r="L60" i="8" s="1"/>
  <c r="C45" i="8"/>
  <c r="C46" i="8"/>
  <c r="K22" i="3"/>
  <c r="C24" i="8"/>
  <c r="L24" i="8" s="1"/>
  <c r="H26" i="8"/>
  <c r="H25" i="8"/>
  <c r="K14" i="3"/>
  <c r="C14" i="8"/>
  <c r="L14" i="8" s="1"/>
  <c r="D65" i="8"/>
  <c r="D66" i="8"/>
  <c r="C37" i="8"/>
  <c r="C36" i="8"/>
  <c r="AY131" i="3"/>
  <c r="Y159" i="8" s="1"/>
  <c r="S159" i="8"/>
  <c r="AY80" i="3"/>
  <c r="Y96" i="8" s="1"/>
  <c r="S96" i="8"/>
  <c r="V79" i="8"/>
  <c r="V80" i="8"/>
  <c r="H213" i="8"/>
  <c r="H212" i="8"/>
  <c r="Y97" i="8"/>
  <c r="S97" i="8"/>
  <c r="AY89" i="3"/>
  <c r="Y107" i="8" s="1"/>
  <c r="S107" i="8"/>
  <c r="S89" i="8"/>
  <c r="S88" i="8"/>
  <c r="V190" i="8"/>
  <c r="V191" i="8"/>
  <c r="H89" i="8"/>
  <c r="H88" i="8"/>
  <c r="H203" i="8"/>
  <c r="D56" i="8"/>
  <c r="D57" i="8"/>
  <c r="AY76" i="3"/>
  <c r="Y92" i="8" s="1"/>
  <c r="S92" i="8"/>
  <c r="AY88" i="3"/>
  <c r="Y106" i="8" s="1"/>
  <c r="S106" i="8"/>
  <c r="AY126" i="3"/>
  <c r="Y154" i="8" s="1"/>
  <c r="S154" i="8"/>
  <c r="H141" i="8"/>
  <c r="H142" i="8"/>
  <c r="D26" i="8"/>
  <c r="D25" i="8"/>
  <c r="AY82" i="3"/>
  <c r="Y98" i="8" s="1"/>
  <c r="S98" i="8"/>
  <c r="S80" i="8"/>
  <c r="S79" i="8"/>
  <c r="V181" i="8"/>
  <c r="H80" i="8"/>
  <c r="H79" i="8"/>
  <c r="H190" i="8"/>
  <c r="H191" i="8"/>
  <c r="C56" i="8"/>
  <c r="C57" i="8"/>
  <c r="H37" i="8"/>
  <c r="H36" i="8"/>
  <c r="AY130" i="3"/>
  <c r="Y158" i="8" s="1"/>
  <c r="S158" i="8"/>
  <c r="H224" i="8"/>
  <c r="H56" i="8"/>
  <c r="H57" i="8"/>
  <c r="H99" i="8"/>
  <c r="H100" i="8"/>
  <c r="AY83" i="3"/>
  <c r="Y101" i="8" s="1"/>
  <c r="S101" i="8"/>
  <c r="V108" i="8"/>
  <c r="V109" i="8"/>
  <c r="V170" i="8"/>
  <c r="V171" i="8"/>
  <c r="H181" i="8"/>
  <c r="K54" i="3"/>
  <c r="C64" i="8"/>
  <c r="H65" i="8"/>
  <c r="H66" i="8"/>
  <c r="D37" i="8"/>
  <c r="D36" i="8"/>
  <c r="K18" i="3"/>
  <c r="C20" i="8"/>
  <c r="L20" i="8" s="1"/>
  <c r="L25" i="8" s="1"/>
  <c r="J8" i="10" s="1"/>
  <c r="K10" i="3"/>
  <c r="C10" i="8"/>
  <c r="H109" i="8"/>
  <c r="H108" i="8"/>
  <c r="U119" i="8"/>
  <c r="G129" i="8"/>
  <c r="G128" i="8"/>
  <c r="G119" i="8"/>
  <c r="H171" i="8"/>
  <c r="H170" i="8"/>
  <c r="AY69" i="3"/>
  <c r="Y83" i="8" s="1"/>
  <c r="AY61" i="3"/>
  <c r="Y73" i="8" s="1"/>
  <c r="AY64" i="3"/>
  <c r="Y76" i="8" s="1"/>
  <c r="AY72" i="3"/>
  <c r="Y86" i="8" s="1"/>
  <c r="AY60" i="3"/>
  <c r="Y72" i="8" s="1"/>
  <c r="AY68" i="3"/>
  <c r="Y82" i="8" s="1"/>
  <c r="AY73" i="3"/>
  <c r="Y87" i="8" s="1"/>
  <c r="AY65" i="3"/>
  <c r="Y77" i="8" s="1"/>
  <c r="AY151" i="3"/>
  <c r="Y185" i="8" s="1"/>
  <c r="AY144" i="3"/>
  <c r="Y176" i="8" s="1"/>
  <c r="AY152" i="3"/>
  <c r="Y186" i="8" s="1"/>
  <c r="AY148" i="3"/>
  <c r="Y180" i="8" s="1"/>
  <c r="AY143" i="3"/>
  <c r="Y175" i="8" s="1"/>
  <c r="AY146" i="3"/>
  <c r="Y178" i="8" s="1"/>
  <c r="AY154" i="3"/>
  <c r="Y188" i="8" s="1"/>
  <c r="AY145" i="3"/>
  <c r="Y177" i="8" s="1"/>
  <c r="AY153" i="3"/>
  <c r="Y187" i="8" s="1"/>
  <c r="AY147" i="3"/>
  <c r="Y179" i="8" s="1"/>
  <c r="AY155" i="3"/>
  <c r="Y189" i="8" s="1"/>
  <c r="AY139" i="3"/>
  <c r="Y169" i="8" s="1"/>
  <c r="AY132" i="3"/>
  <c r="Y160" i="8" s="1"/>
  <c r="AY133" i="3"/>
  <c r="Y163" i="8" s="1"/>
  <c r="AY138" i="3"/>
  <c r="Y168" i="8" s="1"/>
  <c r="AY134" i="3"/>
  <c r="Y164" i="8" s="1"/>
  <c r="AY127" i="3"/>
  <c r="Y155" i="8" s="1"/>
  <c r="AY135" i="3"/>
  <c r="Y165" i="8" s="1"/>
  <c r="AY128" i="3"/>
  <c r="Y156" i="8" s="1"/>
  <c r="AY136" i="3"/>
  <c r="Y166" i="8" s="1"/>
  <c r="AY129" i="3"/>
  <c r="Y157" i="8" s="1"/>
  <c r="AY137" i="3"/>
  <c r="Y167" i="8" s="1"/>
  <c r="K46" i="3"/>
  <c r="K42" i="3"/>
  <c r="AY116" i="3"/>
  <c r="Y140" i="8" s="1"/>
  <c r="AY110" i="3"/>
  <c r="Y134" i="8" s="1"/>
  <c r="AY118" i="3"/>
  <c r="Y144" i="8" s="1"/>
  <c r="AY114" i="3"/>
  <c r="Y138" i="8" s="1"/>
  <c r="AY122" i="3"/>
  <c r="Y148" i="8" s="1"/>
  <c r="AY117" i="3"/>
  <c r="Y143" i="8" s="1"/>
  <c r="AY111" i="3"/>
  <c r="Y135" i="8" s="1"/>
  <c r="AY119" i="3"/>
  <c r="Y145" i="8" s="1"/>
  <c r="AY112" i="3"/>
  <c r="Y136" i="8" s="1"/>
  <c r="AY120" i="3"/>
  <c r="Y146" i="8" s="1"/>
  <c r="Y75" i="8"/>
  <c r="AY71" i="3"/>
  <c r="Y85" i="8" s="1"/>
  <c r="K53" i="3"/>
  <c r="K45" i="3"/>
  <c r="K17" i="3"/>
  <c r="K9" i="3"/>
  <c r="K47" i="3"/>
  <c r="K19" i="3"/>
  <c r="K11" i="3"/>
  <c r="AY66" i="3"/>
  <c r="Y78" i="8" s="1"/>
  <c r="K52" i="3"/>
  <c r="K44" i="3"/>
  <c r="K16" i="3"/>
  <c r="AY67" i="3"/>
  <c r="Y81" i="8" s="1"/>
  <c r="K49" i="3"/>
  <c r="K41" i="3"/>
  <c r="K21" i="3"/>
  <c r="K13" i="3"/>
  <c r="K51" i="3"/>
  <c r="K43" i="3"/>
  <c r="K15" i="3"/>
  <c r="AY62" i="3"/>
  <c r="Y74" i="8" s="1"/>
  <c r="AY70" i="3"/>
  <c r="Y84" i="8" s="1"/>
  <c r="K48" i="3"/>
  <c r="K20" i="3"/>
  <c r="K12" i="3"/>
  <c r="K25" i="3"/>
  <c r="K35" i="3"/>
  <c r="K31" i="3"/>
  <c r="K30" i="3"/>
  <c r="K29" i="3"/>
  <c r="K28" i="3"/>
  <c r="K27" i="3"/>
  <c r="K26" i="3"/>
  <c r="K33" i="3"/>
  <c r="K36" i="3"/>
  <c r="K38" i="3"/>
  <c r="K32" i="3"/>
  <c r="K37" i="3"/>
  <c r="K34" i="3"/>
  <c r="AV94" i="3"/>
  <c r="V114" i="8" s="1"/>
  <c r="AV102" i="3"/>
  <c r="V124" i="8" s="1"/>
  <c r="V99" i="3"/>
  <c r="H121" i="8" s="1"/>
  <c r="AK101" i="3"/>
  <c r="AV92" i="3"/>
  <c r="V112" i="8" s="1"/>
  <c r="AV100" i="3"/>
  <c r="V122" i="8" s="1"/>
  <c r="V97" i="3"/>
  <c r="H117" i="8" s="1"/>
  <c r="V105" i="3"/>
  <c r="H127" i="8" s="1"/>
  <c r="V101" i="3"/>
  <c r="H123" i="8" s="1"/>
  <c r="AK94" i="3"/>
  <c r="AK102" i="3"/>
  <c r="AK92" i="3"/>
  <c r="V92" i="3"/>
  <c r="H112" i="8" s="1"/>
  <c r="V93" i="3"/>
  <c r="H113" i="8" s="1"/>
  <c r="AK97" i="3"/>
  <c r="AK105" i="3"/>
  <c r="V94" i="3"/>
  <c r="H114" i="8" s="1"/>
  <c r="V100" i="3"/>
  <c r="H122" i="8" s="1"/>
  <c r="V95" i="3"/>
  <c r="H115" i="8" s="1"/>
  <c r="V102" i="3"/>
  <c r="Q124" i="8"/>
  <c r="Z124" i="8" s="1"/>
  <c r="Q117" i="8"/>
  <c r="Z117" i="8" s="1"/>
  <c r="AV99" i="3"/>
  <c r="V121" i="8" s="1"/>
  <c r="V96" i="3"/>
  <c r="V103" i="3"/>
  <c r="H125" i="8" s="1"/>
  <c r="F127" i="8"/>
  <c r="F121" i="8"/>
  <c r="F117" i="8"/>
  <c r="Q114" i="8"/>
  <c r="Z114" i="8" s="1"/>
  <c r="R112" i="8"/>
  <c r="AK98" i="3"/>
  <c r="T124" i="8"/>
  <c r="T122" i="8"/>
  <c r="T114" i="8"/>
  <c r="T112" i="8"/>
  <c r="V98" i="3"/>
  <c r="V104" i="3"/>
  <c r="Q123" i="8"/>
  <c r="Z123" i="8" s="1"/>
  <c r="AK100" i="3"/>
  <c r="Q118" i="8"/>
  <c r="Z118" i="8" s="1"/>
  <c r="U121" i="8"/>
  <c r="AV103" i="3"/>
  <c r="V125" i="8" s="1"/>
  <c r="AV97" i="3"/>
  <c r="V117" i="8" s="1"/>
  <c r="AK104" i="3"/>
  <c r="AV98" i="3"/>
  <c r="V118" i="8" s="1"/>
  <c r="AV95" i="3"/>
  <c r="V115" i="8" s="1"/>
  <c r="AV96" i="3"/>
  <c r="V116" i="8" s="1"/>
  <c r="AV105" i="3"/>
  <c r="AV104" i="3"/>
  <c r="V126" i="8" s="1"/>
  <c r="AK99" i="3"/>
  <c r="AV93" i="3"/>
  <c r="V113" i="8" s="1"/>
  <c r="AV101" i="3"/>
  <c r="V123" i="8" s="1"/>
  <c r="AK95" i="3"/>
  <c r="AK103" i="3"/>
  <c r="AK93" i="3"/>
  <c r="AK96" i="3"/>
  <c r="Z108" i="8" l="1"/>
  <c r="J22" i="10" s="1"/>
  <c r="H162" i="8"/>
  <c r="L26" i="8"/>
  <c r="K8" i="10" s="1"/>
  <c r="C16" i="8"/>
  <c r="L10" i="8"/>
  <c r="L16" i="8" s="1"/>
  <c r="J5" i="10" s="1"/>
  <c r="R129" i="8"/>
  <c r="Z120" i="8"/>
  <c r="K22" i="10" s="1"/>
  <c r="Z119" i="8"/>
  <c r="J20" i="10" s="1"/>
  <c r="Y25" i="10" s="1"/>
  <c r="Z129" i="8"/>
  <c r="K23" i="10" s="1"/>
  <c r="Z128" i="8"/>
  <c r="J23" i="10" s="1"/>
  <c r="Y31" i="10" s="1"/>
  <c r="C17" i="8"/>
  <c r="C65" i="8"/>
  <c r="L64" i="8"/>
  <c r="L65" i="8" s="1"/>
  <c r="J10" i="10" s="1"/>
  <c r="Y29" i="10" s="1"/>
  <c r="F119" i="8"/>
  <c r="P6" i="8"/>
  <c r="Y109" i="8"/>
  <c r="Y108" i="8"/>
  <c r="H22" i="10" s="1"/>
  <c r="Q13" i="10" s="1"/>
  <c r="V162" i="8"/>
  <c r="R6" i="8"/>
  <c r="C66" i="8"/>
  <c r="G120" i="8"/>
  <c r="R128" i="8"/>
  <c r="S150" i="8"/>
  <c r="S141" i="8"/>
  <c r="Q128" i="8"/>
  <c r="C26" i="8"/>
  <c r="H182" i="8"/>
  <c r="H204" i="8"/>
  <c r="Y21" i="3"/>
  <c r="K23" i="8" s="1"/>
  <c r="E23" i="8"/>
  <c r="Y50" i="3"/>
  <c r="K60" i="8" s="1"/>
  <c r="E60" i="8"/>
  <c r="Y28" i="3"/>
  <c r="K32" i="8" s="1"/>
  <c r="E32" i="8"/>
  <c r="Y37" i="3"/>
  <c r="K43" i="8" s="1"/>
  <c r="E43" i="8"/>
  <c r="Y29" i="3"/>
  <c r="K33" i="8" s="1"/>
  <c r="E33" i="8"/>
  <c r="Y49" i="3"/>
  <c r="K59" i="8" s="1"/>
  <c r="E59" i="8"/>
  <c r="Y47" i="3"/>
  <c r="K55" i="8" s="1"/>
  <c r="E55" i="8"/>
  <c r="C25" i="8"/>
  <c r="S181" i="8"/>
  <c r="Y100" i="8"/>
  <c r="Y99" i="8"/>
  <c r="K14" i="8"/>
  <c r="E14" i="8"/>
  <c r="Y48" i="3"/>
  <c r="K58" i="8" s="1"/>
  <c r="E58" i="8"/>
  <c r="Y141" i="8"/>
  <c r="Y142" i="8"/>
  <c r="Y18" i="3"/>
  <c r="K20" i="8" s="1"/>
  <c r="E20" i="8"/>
  <c r="Y32" i="3"/>
  <c r="K38" i="8" s="1"/>
  <c r="E38" i="8"/>
  <c r="E34" i="8"/>
  <c r="Y30" i="3"/>
  <c r="K34" i="8" s="1"/>
  <c r="Y89" i="8"/>
  <c r="Y88" i="8"/>
  <c r="Y9" i="3"/>
  <c r="K9" i="8" s="1"/>
  <c r="E9" i="8"/>
  <c r="Y42" i="3"/>
  <c r="K50" i="8" s="1"/>
  <c r="E50" i="8"/>
  <c r="S142" i="8"/>
  <c r="S161" i="8"/>
  <c r="S162" i="8" s="1"/>
  <c r="Y181" i="8"/>
  <c r="Y182" i="8" s="1"/>
  <c r="Y27" i="3"/>
  <c r="K31" i="8" s="1"/>
  <c r="E31" i="8"/>
  <c r="Y19" i="3"/>
  <c r="K21" i="8" s="1"/>
  <c r="E21" i="8"/>
  <c r="Q119" i="8"/>
  <c r="Q120" i="8" s="1"/>
  <c r="Y16" i="3"/>
  <c r="K18" i="8" s="1"/>
  <c r="E18" i="8"/>
  <c r="Y161" i="8"/>
  <c r="Y162" i="8" s="1"/>
  <c r="Y22" i="3"/>
  <c r="K24" i="8" s="1"/>
  <c r="E24" i="8"/>
  <c r="Y35" i="3"/>
  <c r="K41" i="8" s="1"/>
  <c r="E41" i="8"/>
  <c r="K53" i="8"/>
  <c r="E53" i="8"/>
  <c r="Y171" i="8"/>
  <c r="Y170" i="8"/>
  <c r="S151" i="8"/>
  <c r="Y20" i="3"/>
  <c r="K22" i="8" s="1"/>
  <c r="E22" i="8"/>
  <c r="Y34" i="3"/>
  <c r="K40" i="8" s="1"/>
  <c r="E40" i="8"/>
  <c r="Y31" i="3"/>
  <c r="K35" i="8" s="1"/>
  <c r="E35" i="8"/>
  <c r="Y36" i="3"/>
  <c r="K42" i="8" s="1"/>
  <c r="E42" i="8"/>
  <c r="Y44" i="3"/>
  <c r="K52" i="8" s="1"/>
  <c r="E52" i="8"/>
  <c r="Y150" i="8"/>
  <c r="Y151" i="8"/>
  <c r="T119" i="8"/>
  <c r="T120" i="8" s="1"/>
  <c r="Y33" i="3"/>
  <c r="K39" i="8" s="1"/>
  <c r="E39" i="8"/>
  <c r="Y25" i="3"/>
  <c r="K29" i="8" s="1"/>
  <c r="E29" i="8"/>
  <c r="Y51" i="3"/>
  <c r="K61" i="8" s="1"/>
  <c r="E61" i="8"/>
  <c r="Y52" i="3"/>
  <c r="K62" i="8" s="1"/>
  <c r="E62" i="8"/>
  <c r="Y53" i="3"/>
  <c r="K63" i="8" s="1"/>
  <c r="E63" i="8"/>
  <c r="Y80" i="8"/>
  <c r="Y79" i="8"/>
  <c r="S108" i="8"/>
  <c r="S109" i="8"/>
  <c r="S191" i="8"/>
  <c r="S190" i="8"/>
  <c r="Y11" i="3"/>
  <c r="K11" i="8" s="1"/>
  <c r="E11" i="8"/>
  <c r="T129" i="8"/>
  <c r="Y41" i="3"/>
  <c r="K49" i="8" s="1"/>
  <c r="E49" i="8"/>
  <c r="Y38" i="3"/>
  <c r="K44" i="8" s="1"/>
  <c r="E44" i="8"/>
  <c r="Y15" i="3"/>
  <c r="K15" i="8" s="1"/>
  <c r="E15" i="8"/>
  <c r="Y17" i="3"/>
  <c r="K19" i="8" s="1"/>
  <c r="E19" i="8"/>
  <c r="Y46" i="3"/>
  <c r="K54" i="8" s="1"/>
  <c r="E54" i="8"/>
  <c r="Y43" i="3"/>
  <c r="K51" i="8" s="1"/>
  <c r="E51" i="8"/>
  <c r="Y26" i="3"/>
  <c r="K30" i="8" s="1"/>
  <c r="E30" i="8"/>
  <c r="Y12" i="3"/>
  <c r="K12" i="8" s="1"/>
  <c r="E12" i="8"/>
  <c r="Y13" i="3"/>
  <c r="K13" i="8" s="1"/>
  <c r="E13" i="8"/>
  <c r="Y10" i="3"/>
  <c r="K10" i="8" s="1"/>
  <c r="E10" i="8"/>
  <c r="Y54" i="3"/>
  <c r="K64" i="8" s="1"/>
  <c r="E64" i="8"/>
  <c r="V182" i="8"/>
  <c r="S100" i="8"/>
  <c r="S99" i="8"/>
  <c r="Y190" i="8"/>
  <c r="Y191" i="8"/>
  <c r="T128" i="8"/>
  <c r="Q129" i="8"/>
  <c r="F120" i="8"/>
  <c r="R119" i="8"/>
  <c r="U120" i="8"/>
  <c r="U129" i="8"/>
  <c r="U128" i="8"/>
  <c r="V119" i="8"/>
  <c r="F129" i="8"/>
  <c r="F128" i="8"/>
  <c r="AY99" i="3"/>
  <c r="Y121" i="8" s="1"/>
  <c r="AY98" i="3"/>
  <c r="Y118" i="8" s="1"/>
  <c r="AY95" i="3"/>
  <c r="Y115" i="8" s="1"/>
  <c r="AY103" i="3"/>
  <c r="Y125" i="8" s="1"/>
  <c r="S118" i="8"/>
  <c r="S117" i="8"/>
  <c r="AY97" i="3"/>
  <c r="Y117" i="8" s="1"/>
  <c r="S116" i="8"/>
  <c r="AY96" i="3"/>
  <c r="Y116" i="8" s="1"/>
  <c r="S114" i="8"/>
  <c r="AY94" i="3"/>
  <c r="Y114" i="8" s="1"/>
  <c r="S113" i="8"/>
  <c r="AY93" i="3"/>
  <c r="Y113" i="8" s="1"/>
  <c r="S112" i="8"/>
  <c r="AY92" i="3"/>
  <c r="Y112" i="8" s="1"/>
  <c r="S122" i="8"/>
  <c r="AY100" i="3"/>
  <c r="Y122" i="8" s="1"/>
  <c r="S127" i="8"/>
  <c r="AY105" i="3"/>
  <c r="Y127" i="8" s="1"/>
  <c r="S126" i="8"/>
  <c r="AY104" i="3"/>
  <c r="Y126" i="8" s="1"/>
  <c r="S123" i="8"/>
  <c r="AY101" i="3"/>
  <c r="Y123" i="8" s="1"/>
  <c r="S124" i="8"/>
  <c r="AY102" i="3"/>
  <c r="Y124" i="8" s="1"/>
  <c r="H126" i="8"/>
  <c r="H116" i="8"/>
  <c r="H118" i="8"/>
  <c r="H124" i="8"/>
  <c r="S121" i="8"/>
  <c r="V127" i="8"/>
  <c r="V129" i="8" s="1"/>
  <c r="S125" i="8"/>
  <c r="S115" i="8"/>
  <c r="J205" i="3"/>
  <c r="D251" i="8" s="1"/>
  <c r="J204" i="3"/>
  <c r="D250" i="8" s="1"/>
  <c r="J203" i="3"/>
  <c r="D249" i="8" s="1"/>
  <c r="J202" i="3"/>
  <c r="D248" i="8" s="1"/>
  <c r="J201" i="3"/>
  <c r="D247" i="8" s="1"/>
  <c r="J200" i="3"/>
  <c r="D246" i="8" s="1"/>
  <c r="J199" i="3"/>
  <c r="D245" i="8" s="1"/>
  <c r="J198" i="3"/>
  <c r="D242" i="8" s="1"/>
  <c r="J197" i="3"/>
  <c r="D241" i="8" s="1"/>
  <c r="J196" i="3"/>
  <c r="D240" i="8" s="1"/>
  <c r="J195" i="3"/>
  <c r="D239" i="8" s="1"/>
  <c r="J194" i="3"/>
  <c r="D238" i="8" s="1"/>
  <c r="J193" i="3"/>
  <c r="D237" i="8" s="1"/>
  <c r="J192" i="3"/>
  <c r="D236" i="8" s="1"/>
  <c r="J189" i="3"/>
  <c r="D231" i="8" s="1"/>
  <c r="J188" i="3"/>
  <c r="D230" i="8" s="1"/>
  <c r="J187" i="3"/>
  <c r="D229" i="8" s="1"/>
  <c r="J186" i="3"/>
  <c r="D228" i="8" s="1"/>
  <c r="J185" i="3"/>
  <c r="D227" i="8" s="1"/>
  <c r="J184" i="3"/>
  <c r="D226" i="8" s="1"/>
  <c r="J183" i="3"/>
  <c r="D225" i="8" s="1"/>
  <c r="J182" i="3"/>
  <c r="D222" i="8" s="1"/>
  <c r="J181" i="3"/>
  <c r="D221" i="8" s="1"/>
  <c r="J180" i="3"/>
  <c r="D220" i="8" s="1"/>
  <c r="J179" i="3"/>
  <c r="D219" i="8" s="1"/>
  <c r="J178" i="3"/>
  <c r="D218" i="8" s="1"/>
  <c r="J177" i="3"/>
  <c r="D217" i="8" s="1"/>
  <c r="J176" i="3"/>
  <c r="D216" i="8" s="1"/>
  <c r="J173" i="3"/>
  <c r="D211" i="8" s="1"/>
  <c r="J172" i="3"/>
  <c r="D210" i="8" s="1"/>
  <c r="J171" i="3"/>
  <c r="D209" i="8" s="1"/>
  <c r="J170" i="3"/>
  <c r="D208" i="8" s="1"/>
  <c r="J169" i="3"/>
  <c r="D207" i="8" s="1"/>
  <c r="J168" i="3"/>
  <c r="D206" i="8" s="1"/>
  <c r="J167" i="3"/>
  <c r="D205" i="8" s="1"/>
  <c r="J166" i="3"/>
  <c r="D202" i="8" s="1"/>
  <c r="J165" i="3"/>
  <c r="D201" i="8" s="1"/>
  <c r="J164" i="3"/>
  <c r="D200" i="8" s="1"/>
  <c r="J163" i="3"/>
  <c r="D199" i="8" s="1"/>
  <c r="J162" i="3"/>
  <c r="D198" i="8" s="1"/>
  <c r="J161" i="3"/>
  <c r="D197" i="8" s="1"/>
  <c r="J160" i="3"/>
  <c r="D196" i="8" s="1"/>
  <c r="J155" i="3"/>
  <c r="D189" i="8" s="1"/>
  <c r="J154" i="3"/>
  <c r="D188" i="8" s="1"/>
  <c r="J153" i="3"/>
  <c r="D187" i="8" s="1"/>
  <c r="J152" i="3"/>
  <c r="D186" i="8" s="1"/>
  <c r="J151" i="3"/>
  <c r="D185" i="8" s="1"/>
  <c r="J150" i="3"/>
  <c r="D184" i="8" s="1"/>
  <c r="J149" i="3"/>
  <c r="D183" i="8" s="1"/>
  <c r="J148" i="3"/>
  <c r="D180" i="8" s="1"/>
  <c r="J147" i="3"/>
  <c r="D179" i="8" s="1"/>
  <c r="J146" i="3"/>
  <c r="D178" i="8" s="1"/>
  <c r="J145" i="3"/>
  <c r="D177" i="8" s="1"/>
  <c r="J144" i="3"/>
  <c r="D176" i="8" s="1"/>
  <c r="J143" i="3"/>
  <c r="D175" i="8" s="1"/>
  <c r="J142" i="3"/>
  <c r="D174" i="8" s="1"/>
  <c r="J139" i="3"/>
  <c r="D169" i="8" s="1"/>
  <c r="J138" i="3"/>
  <c r="D168" i="8" s="1"/>
  <c r="J137" i="3"/>
  <c r="D167" i="8" s="1"/>
  <c r="J136" i="3"/>
  <c r="D166" i="8" s="1"/>
  <c r="J135" i="3"/>
  <c r="D165" i="8" s="1"/>
  <c r="J134" i="3"/>
  <c r="D164" i="8" s="1"/>
  <c r="J133" i="3"/>
  <c r="D163" i="8" s="1"/>
  <c r="J132" i="3"/>
  <c r="D160" i="8" s="1"/>
  <c r="J131" i="3"/>
  <c r="D159" i="8" s="1"/>
  <c r="J130" i="3"/>
  <c r="D158" i="8" s="1"/>
  <c r="J129" i="3"/>
  <c r="D157" i="8" s="1"/>
  <c r="J128" i="3"/>
  <c r="D156" i="8" s="1"/>
  <c r="J127" i="3"/>
  <c r="D155" i="8" s="1"/>
  <c r="J126" i="3"/>
  <c r="D154" i="8" s="1"/>
  <c r="J123" i="3"/>
  <c r="D149" i="8" s="1"/>
  <c r="J122" i="3"/>
  <c r="D148" i="8" s="1"/>
  <c r="J121" i="3"/>
  <c r="D147" i="8" s="1"/>
  <c r="J120" i="3"/>
  <c r="D146" i="8" s="1"/>
  <c r="J119" i="3"/>
  <c r="D145" i="8" s="1"/>
  <c r="J118" i="3"/>
  <c r="D144" i="8" s="1"/>
  <c r="J117" i="3"/>
  <c r="D143" i="8" s="1"/>
  <c r="J116" i="3"/>
  <c r="D140" i="8" s="1"/>
  <c r="J115" i="3"/>
  <c r="D139" i="8" s="1"/>
  <c r="J114" i="3"/>
  <c r="D138" i="8" s="1"/>
  <c r="J113" i="3"/>
  <c r="D137" i="8" s="1"/>
  <c r="J112" i="3"/>
  <c r="D136" i="8" s="1"/>
  <c r="J111" i="3"/>
  <c r="D135" i="8" s="1"/>
  <c r="J110" i="3"/>
  <c r="D134" i="8" s="1"/>
  <c r="J105" i="3"/>
  <c r="D127" i="8" s="1"/>
  <c r="J104" i="3"/>
  <c r="D126" i="8" s="1"/>
  <c r="J103" i="3"/>
  <c r="D125" i="8" s="1"/>
  <c r="J102" i="3"/>
  <c r="D124" i="8" s="1"/>
  <c r="J101" i="3"/>
  <c r="D123" i="8" s="1"/>
  <c r="J100" i="3"/>
  <c r="D122" i="8" s="1"/>
  <c r="J99" i="3"/>
  <c r="D121" i="8" s="1"/>
  <c r="J98" i="3"/>
  <c r="D118" i="8" s="1"/>
  <c r="J97" i="3"/>
  <c r="D117" i="8" s="1"/>
  <c r="J96" i="3"/>
  <c r="D116" i="8" s="1"/>
  <c r="J95" i="3"/>
  <c r="D115" i="8" s="1"/>
  <c r="J94" i="3"/>
  <c r="D114" i="8" s="1"/>
  <c r="J93" i="3"/>
  <c r="D113" i="8" s="1"/>
  <c r="J92" i="3"/>
  <c r="D112" i="8" s="1"/>
  <c r="J89" i="3"/>
  <c r="D107" i="8" s="1"/>
  <c r="J88" i="3"/>
  <c r="D106" i="8" s="1"/>
  <c r="J87" i="3"/>
  <c r="D105" i="8" s="1"/>
  <c r="J86" i="3"/>
  <c r="D104" i="8" s="1"/>
  <c r="J85" i="3"/>
  <c r="D103" i="8" s="1"/>
  <c r="J84" i="3"/>
  <c r="D102" i="8" s="1"/>
  <c r="J83" i="3"/>
  <c r="D101" i="8" s="1"/>
  <c r="J82" i="3"/>
  <c r="D98" i="8" s="1"/>
  <c r="J81" i="3"/>
  <c r="D97" i="8" s="1"/>
  <c r="J80" i="3"/>
  <c r="D96" i="8" s="1"/>
  <c r="J79" i="3"/>
  <c r="D95" i="8" s="1"/>
  <c r="J78" i="3"/>
  <c r="D94" i="8" s="1"/>
  <c r="J77" i="3"/>
  <c r="D93" i="8" s="1"/>
  <c r="J76" i="3"/>
  <c r="D92" i="8" s="1"/>
  <c r="J73" i="3"/>
  <c r="D87" i="8" s="1"/>
  <c r="J72" i="3"/>
  <c r="D86" i="8" s="1"/>
  <c r="J71" i="3"/>
  <c r="D85" i="8" s="1"/>
  <c r="J70" i="3"/>
  <c r="D84" i="8" s="1"/>
  <c r="J69" i="3"/>
  <c r="D83" i="8" s="1"/>
  <c r="J68" i="3"/>
  <c r="D82" i="8" s="1"/>
  <c r="J67" i="3"/>
  <c r="D81" i="8" s="1"/>
  <c r="J66" i="3"/>
  <c r="D78" i="8" s="1"/>
  <c r="J65" i="3"/>
  <c r="D77" i="8" s="1"/>
  <c r="J64" i="3"/>
  <c r="D76" i="8" s="1"/>
  <c r="J63" i="3"/>
  <c r="D75" i="8" s="1"/>
  <c r="J62" i="3"/>
  <c r="D74" i="8" s="1"/>
  <c r="J61" i="3"/>
  <c r="D73" i="8" s="1"/>
  <c r="J60" i="3"/>
  <c r="D72" i="8" s="1"/>
  <c r="G21" i="6"/>
  <c r="B21" i="6" s="1"/>
  <c r="G36" i="6"/>
  <c r="B36" i="6" s="1"/>
  <c r="G39" i="6"/>
  <c r="B39" i="6" s="1"/>
  <c r="G22" i="6"/>
  <c r="B22" i="6" s="1"/>
  <c r="G37" i="6"/>
  <c r="B37" i="6" s="1"/>
  <c r="G40" i="6"/>
  <c r="B40" i="6" s="1"/>
  <c r="G19" i="6"/>
  <c r="B19" i="6" s="1"/>
  <c r="G18" i="6"/>
  <c r="B18" i="6" s="1"/>
  <c r="G20" i="6"/>
  <c r="B20" i="6" s="1"/>
  <c r="G35" i="6"/>
  <c r="B35" i="6" s="1"/>
  <c r="G38" i="6"/>
  <c r="B38" i="6" s="1"/>
  <c r="G17" i="6"/>
  <c r="B17" i="6" s="1"/>
  <c r="B67" i="1"/>
  <c r="B68" i="1"/>
  <c r="B69" i="1"/>
  <c r="B65" i="1"/>
  <c r="B63" i="1"/>
  <c r="B62" i="1"/>
  <c r="J115" i="4"/>
  <c r="I115" i="4"/>
  <c r="H115" i="4"/>
  <c r="J114" i="4"/>
  <c r="I114" i="4"/>
  <c r="H114" i="4"/>
  <c r="J113" i="4"/>
  <c r="I113" i="4"/>
  <c r="H113" i="4"/>
  <c r="J112" i="4"/>
  <c r="I112" i="4"/>
  <c r="H112" i="4"/>
  <c r="J111" i="4"/>
  <c r="I111" i="4"/>
  <c r="H111" i="4"/>
  <c r="J110" i="4"/>
  <c r="I110" i="4"/>
  <c r="H110" i="4"/>
  <c r="J109" i="4"/>
  <c r="I109" i="4"/>
  <c r="H109" i="4"/>
  <c r="J108" i="4"/>
  <c r="I108" i="4"/>
  <c r="H108" i="4"/>
  <c r="J107" i="4"/>
  <c r="I107" i="4"/>
  <c r="H107" i="4"/>
  <c r="J106" i="4"/>
  <c r="I106" i="4"/>
  <c r="H106" i="4"/>
  <c r="J105" i="4"/>
  <c r="I105" i="4"/>
  <c r="H105" i="4"/>
  <c r="J104" i="4"/>
  <c r="I104" i="4"/>
  <c r="H104" i="4"/>
  <c r="J103" i="4"/>
  <c r="I103" i="4"/>
  <c r="H103" i="4"/>
  <c r="J102" i="4"/>
  <c r="I102" i="4"/>
  <c r="H102" i="4"/>
  <c r="J101" i="4"/>
  <c r="I101" i="4"/>
  <c r="H101" i="4"/>
  <c r="J100" i="4"/>
  <c r="I100" i="4"/>
  <c r="H100" i="4"/>
  <c r="J99" i="4"/>
  <c r="I99" i="4"/>
  <c r="H99" i="4"/>
  <c r="J98" i="4"/>
  <c r="I98" i="4"/>
  <c r="H98" i="4"/>
  <c r="J95" i="4"/>
  <c r="I95" i="4"/>
  <c r="H95" i="4"/>
  <c r="J94" i="4"/>
  <c r="I94" i="4"/>
  <c r="H94" i="4"/>
  <c r="J93" i="4"/>
  <c r="I93" i="4"/>
  <c r="H93" i="4"/>
  <c r="J92" i="4"/>
  <c r="I92" i="4"/>
  <c r="H92" i="4"/>
  <c r="J91" i="4"/>
  <c r="I91" i="4"/>
  <c r="H91" i="4"/>
  <c r="J90" i="4"/>
  <c r="I90" i="4"/>
  <c r="H90" i="4"/>
  <c r="J89" i="4"/>
  <c r="I89" i="4"/>
  <c r="H89" i="4"/>
  <c r="J88" i="4"/>
  <c r="I88" i="4"/>
  <c r="H88" i="4"/>
  <c r="J87" i="4"/>
  <c r="I87" i="4"/>
  <c r="H87" i="4"/>
  <c r="J86" i="4"/>
  <c r="I86" i="4"/>
  <c r="H86" i="4"/>
  <c r="J85" i="4"/>
  <c r="I85" i="4"/>
  <c r="H85" i="4"/>
  <c r="J84" i="4"/>
  <c r="I84" i="4"/>
  <c r="H84" i="4"/>
  <c r="J83" i="4"/>
  <c r="I83" i="4"/>
  <c r="H83" i="4"/>
  <c r="J82" i="4"/>
  <c r="I82" i="4"/>
  <c r="H82" i="4"/>
  <c r="J81" i="4"/>
  <c r="I81" i="4"/>
  <c r="H81" i="4"/>
  <c r="J80" i="4"/>
  <c r="I80" i="4"/>
  <c r="H80" i="4"/>
  <c r="J79" i="4"/>
  <c r="I79" i="4"/>
  <c r="H79" i="4"/>
  <c r="J78" i="4"/>
  <c r="I78" i="4"/>
  <c r="H78" i="4"/>
  <c r="J137" i="4"/>
  <c r="I137" i="4"/>
  <c r="H137" i="4"/>
  <c r="J136" i="4"/>
  <c r="I136" i="4"/>
  <c r="H136" i="4"/>
  <c r="J135" i="4"/>
  <c r="I135" i="4"/>
  <c r="H135" i="4"/>
  <c r="J134" i="4"/>
  <c r="I134" i="4"/>
  <c r="H134" i="4"/>
  <c r="J133" i="4"/>
  <c r="I133" i="4"/>
  <c r="H133" i="4"/>
  <c r="J132" i="4"/>
  <c r="I132" i="4"/>
  <c r="H132" i="4"/>
  <c r="J131" i="4"/>
  <c r="I131" i="4"/>
  <c r="H131" i="4"/>
  <c r="J130" i="4"/>
  <c r="I130" i="4"/>
  <c r="H130" i="4"/>
  <c r="J129" i="4"/>
  <c r="I129" i="4"/>
  <c r="H129" i="4"/>
  <c r="J128" i="4"/>
  <c r="I128" i="4"/>
  <c r="H128" i="4"/>
  <c r="J127" i="4"/>
  <c r="I127" i="4"/>
  <c r="H127" i="4"/>
  <c r="J126" i="4"/>
  <c r="I126" i="4"/>
  <c r="H126" i="4"/>
  <c r="J125" i="4"/>
  <c r="I125" i="4"/>
  <c r="H125" i="4"/>
  <c r="J124" i="4"/>
  <c r="I124" i="4"/>
  <c r="H124" i="4"/>
  <c r="J123" i="4"/>
  <c r="I123" i="4"/>
  <c r="H123" i="4"/>
  <c r="J122" i="4"/>
  <c r="I122" i="4"/>
  <c r="H122" i="4"/>
  <c r="J121" i="4"/>
  <c r="I121" i="4"/>
  <c r="H121" i="4"/>
  <c r="J120" i="4"/>
  <c r="I120" i="4"/>
  <c r="H120" i="4"/>
  <c r="J73" i="4"/>
  <c r="I73" i="4"/>
  <c r="H73" i="4"/>
  <c r="J72" i="4"/>
  <c r="I72" i="4"/>
  <c r="H72" i="4"/>
  <c r="J71" i="4"/>
  <c r="I71" i="4"/>
  <c r="H71" i="4"/>
  <c r="J70" i="4"/>
  <c r="I70" i="4"/>
  <c r="H70" i="4"/>
  <c r="J69" i="4"/>
  <c r="I69" i="4"/>
  <c r="H69" i="4"/>
  <c r="J68" i="4"/>
  <c r="I68" i="4"/>
  <c r="H68" i="4"/>
  <c r="J67" i="4"/>
  <c r="I67" i="4"/>
  <c r="H67" i="4"/>
  <c r="J66" i="4"/>
  <c r="I66" i="4"/>
  <c r="H66" i="4"/>
  <c r="J65" i="4"/>
  <c r="I65" i="4"/>
  <c r="H65" i="4"/>
  <c r="J64" i="4"/>
  <c r="I64" i="4"/>
  <c r="H64" i="4"/>
  <c r="J63" i="4"/>
  <c r="I63" i="4"/>
  <c r="H63" i="4"/>
  <c r="J62" i="4"/>
  <c r="I62" i="4"/>
  <c r="H62" i="4"/>
  <c r="J61" i="4"/>
  <c r="I61" i="4"/>
  <c r="H61" i="4"/>
  <c r="J60" i="4"/>
  <c r="I60" i="4"/>
  <c r="H60" i="4"/>
  <c r="J59" i="4"/>
  <c r="I59" i="4"/>
  <c r="H59" i="4"/>
  <c r="J58" i="4"/>
  <c r="I58" i="4"/>
  <c r="H58" i="4"/>
  <c r="J57" i="4"/>
  <c r="I57" i="4"/>
  <c r="H57" i="4"/>
  <c r="J56" i="4"/>
  <c r="I56" i="4"/>
  <c r="H56" i="4"/>
  <c r="H41" i="4"/>
  <c r="J53" i="4"/>
  <c r="I53" i="4"/>
  <c r="H53" i="4"/>
  <c r="J52" i="4"/>
  <c r="I52" i="4"/>
  <c r="H52" i="4"/>
  <c r="J51" i="4"/>
  <c r="I51" i="4"/>
  <c r="H51" i="4"/>
  <c r="J50" i="4"/>
  <c r="I50" i="4"/>
  <c r="H50" i="4"/>
  <c r="J49" i="4"/>
  <c r="I49" i="4"/>
  <c r="H49" i="4"/>
  <c r="J48" i="4"/>
  <c r="I48" i="4"/>
  <c r="H48" i="4"/>
  <c r="J47" i="4"/>
  <c r="I47" i="4"/>
  <c r="H47" i="4"/>
  <c r="J46" i="4"/>
  <c r="I46" i="4"/>
  <c r="H46" i="4"/>
  <c r="J45" i="4"/>
  <c r="I45" i="4"/>
  <c r="H45" i="4"/>
  <c r="J44" i="4"/>
  <c r="I44" i="4"/>
  <c r="H44" i="4"/>
  <c r="J43" i="4"/>
  <c r="I43" i="4"/>
  <c r="H43" i="4"/>
  <c r="J42" i="4"/>
  <c r="I42" i="4"/>
  <c r="H42" i="4"/>
  <c r="J41" i="4"/>
  <c r="I41" i="4"/>
  <c r="J40" i="4"/>
  <c r="I40" i="4"/>
  <c r="H40" i="4"/>
  <c r="J39" i="4"/>
  <c r="I39" i="4"/>
  <c r="H39" i="4"/>
  <c r="J38" i="4"/>
  <c r="I38" i="4"/>
  <c r="H38" i="4"/>
  <c r="J37" i="4"/>
  <c r="I37" i="4"/>
  <c r="H37" i="4"/>
  <c r="J36" i="4"/>
  <c r="I36" i="4"/>
  <c r="H36" i="4"/>
  <c r="L17" i="8" l="1"/>
  <c r="K5" i="10" s="1"/>
  <c r="L66" i="8"/>
  <c r="K10" i="10" s="1"/>
  <c r="R120" i="8"/>
  <c r="S182" i="8"/>
  <c r="H119" i="8"/>
  <c r="I32" i="10"/>
  <c r="D190" i="8"/>
  <c r="D191" i="8"/>
  <c r="I34" i="10"/>
  <c r="I21" i="10"/>
  <c r="P13" i="10" s="1"/>
  <c r="D100" i="8"/>
  <c r="D99" i="8"/>
  <c r="H34" i="10"/>
  <c r="E65" i="8"/>
  <c r="E66" i="8"/>
  <c r="D252" i="8"/>
  <c r="D253" i="8"/>
  <c r="K66" i="8"/>
  <c r="K65" i="8"/>
  <c r="D80" i="8"/>
  <c r="D79" i="8"/>
  <c r="D161" i="8"/>
  <c r="D244" i="8"/>
  <c r="D243" i="8"/>
  <c r="H18" i="10"/>
  <c r="O7" i="10" s="1"/>
  <c r="E37" i="8"/>
  <c r="E45" i="8"/>
  <c r="E46" i="8"/>
  <c r="H31" i="10"/>
  <c r="D171" i="8"/>
  <c r="D170" i="8"/>
  <c r="K56" i="8"/>
  <c r="K57" i="8"/>
  <c r="D151" i="8"/>
  <c r="D150" i="8"/>
  <c r="D233" i="8"/>
  <c r="D232" i="8"/>
  <c r="I20" i="10"/>
  <c r="T7" i="10" s="1"/>
  <c r="I18" i="10"/>
  <c r="P7" i="10" s="1"/>
  <c r="K37" i="8"/>
  <c r="K36" i="8"/>
  <c r="K45" i="8"/>
  <c r="K46" i="8"/>
  <c r="D88" i="8"/>
  <c r="D89" i="8"/>
  <c r="D142" i="8"/>
  <c r="D141" i="8"/>
  <c r="D223" i="8"/>
  <c r="D224" i="8"/>
  <c r="H35" i="10"/>
  <c r="E17" i="8"/>
  <c r="E16" i="8"/>
  <c r="H19" i="10"/>
  <c r="Q7" i="10" s="1"/>
  <c r="K26" i="8"/>
  <c r="K25" i="8"/>
  <c r="D181" i="8"/>
  <c r="D213" i="8"/>
  <c r="D212" i="8"/>
  <c r="I36" i="10"/>
  <c r="I35" i="10"/>
  <c r="H32" i="10"/>
  <c r="I33" i="10"/>
  <c r="K17" i="8"/>
  <c r="K16" i="8"/>
  <c r="I19" i="10"/>
  <c r="R7" i="10" s="1"/>
  <c r="D108" i="8"/>
  <c r="D109" i="8"/>
  <c r="E56" i="8"/>
  <c r="E57" i="8"/>
  <c r="E36" i="8"/>
  <c r="D203" i="8"/>
  <c r="D204" i="8" s="1"/>
  <c r="H36" i="10"/>
  <c r="E26" i="8"/>
  <c r="E25" i="8"/>
  <c r="H33" i="10"/>
  <c r="H21" i="10"/>
  <c r="O13" i="10" s="1"/>
  <c r="I31" i="10"/>
  <c r="H129" i="8"/>
  <c r="V128" i="8"/>
  <c r="S129" i="8"/>
  <c r="S128" i="8"/>
  <c r="Y119" i="8"/>
  <c r="H20" i="10" s="1"/>
  <c r="S7" i="10" s="1"/>
  <c r="H128" i="8"/>
  <c r="Y128" i="8"/>
  <c r="H23" i="10" s="1"/>
  <c r="Y129" i="8"/>
  <c r="S119" i="8"/>
  <c r="D129" i="8"/>
  <c r="D128" i="8"/>
  <c r="V120" i="8"/>
  <c r="D119" i="8"/>
  <c r="J58" i="12"/>
  <c r="J81" i="12"/>
  <c r="H105" i="12"/>
  <c r="H187" i="12"/>
  <c r="I114" i="12"/>
  <c r="H147" i="12"/>
  <c r="H173" i="12"/>
  <c r="H59" i="12"/>
  <c r="J75" i="12"/>
  <c r="J100" i="12"/>
  <c r="H192" i="12"/>
  <c r="I119" i="12"/>
  <c r="H136" i="12"/>
  <c r="H166" i="12"/>
  <c r="J49" i="12"/>
  <c r="I73" i="12"/>
  <c r="J105" i="12"/>
  <c r="H197" i="12"/>
  <c r="H115" i="12"/>
  <c r="I136" i="12"/>
  <c r="J147" i="12"/>
  <c r="H171" i="12"/>
  <c r="H50" i="12"/>
  <c r="J54" i="12"/>
  <c r="J59" i="12"/>
  <c r="I64" i="12"/>
  <c r="H69" i="12"/>
  <c r="J73" i="12"/>
  <c r="H80" i="12"/>
  <c r="J82" i="12"/>
  <c r="I87" i="12"/>
  <c r="H92" i="12"/>
  <c r="J96" i="12"/>
  <c r="I101" i="12"/>
  <c r="H106" i="12"/>
  <c r="J180" i="12"/>
  <c r="I185" i="12"/>
  <c r="H190" i="12"/>
  <c r="J192" i="12"/>
  <c r="I197" i="12"/>
  <c r="H202" i="12"/>
  <c r="J206" i="12"/>
  <c r="I115" i="12"/>
  <c r="H120" i="12"/>
  <c r="J124" i="12"/>
  <c r="I129" i="12"/>
  <c r="H134" i="12"/>
  <c r="J136" i="12"/>
  <c r="I141" i="12"/>
  <c r="H148" i="12"/>
  <c r="J152" i="12"/>
  <c r="I157" i="12"/>
  <c r="H162" i="12"/>
  <c r="J166" i="12"/>
  <c r="I171" i="12"/>
  <c r="H49" i="12"/>
  <c r="H68" i="12"/>
  <c r="H91" i="12"/>
  <c r="J107" i="12"/>
  <c r="H201" i="12"/>
  <c r="H131" i="12"/>
  <c r="J151" i="12"/>
  <c r="J163" i="12"/>
  <c r="I49" i="12"/>
  <c r="H73" i="12"/>
  <c r="H96" i="12"/>
  <c r="I187" i="12"/>
  <c r="I201" i="12"/>
  <c r="J126" i="12"/>
  <c r="J140" i="12"/>
  <c r="I161" i="12"/>
  <c r="I59" i="12"/>
  <c r="I82" i="12"/>
  <c r="H101" i="12"/>
  <c r="I192" i="12"/>
  <c r="J119" i="12"/>
  <c r="H157" i="12"/>
  <c r="Q38" i="4"/>
  <c r="I50" i="12"/>
  <c r="I55" i="12"/>
  <c r="H60" i="12"/>
  <c r="J64" i="12"/>
  <c r="Q49" i="4"/>
  <c r="I69" i="12"/>
  <c r="H74" i="12"/>
  <c r="Q56" i="4"/>
  <c r="I80" i="12"/>
  <c r="H85" i="12"/>
  <c r="J87" i="12"/>
  <c r="Q64" i="4"/>
  <c r="I92" i="12"/>
  <c r="H97" i="12"/>
  <c r="J101" i="12"/>
  <c r="Q72" i="4"/>
  <c r="I106" i="12"/>
  <c r="H181" i="12"/>
  <c r="J185" i="12"/>
  <c r="I190" i="12"/>
  <c r="H195" i="12"/>
  <c r="J197" i="12"/>
  <c r="I202" i="12"/>
  <c r="H207" i="12"/>
  <c r="J115" i="12"/>
  <c r="I120" i="12"/>
  <c r="H125" i="12"/>
  <c r="J129" i="12"/>
  <c r="I134" i="12"/>
  <c r="H139" i="12"/>
  <c r="J141" i="12"/>
  <c r="I148" i="12"/>
  <c r="H153" i="12"/>
  <c r="J157" i="12"/>
  <c r="I162" i="12"/>
  <c r="H167" i="12"/>
  <c r="J171" i="12"/>
  <c r="I63" i="12"/>
  <c r="I86" i="12"/>
  <c r="I182" i="12"/>
  <c r="J205" i="12"/>
  <c r="I126" i="12"/>
  <c r="I140" i="12"/>
  <c r="H161" i="12"/>
  <c r="J63" i="12"/>
  <c r="J86" i="12"/>
  <c r="H180" i="12"/>
  <c r="H206" i="12"/>
  <c r="I131" i="12"/>
  <c r="J156" i="12"/>
  <c r="I173" i="12"/>
  <c r="J68" i="12"/>
  <c r="H87" i="12"/>
  <c r="I180" i="12"/>
  <c r="J201" i="12"/>
  <c r="J131" i="12"/>
  <c r="I166" i="12"/>
  <c r="H48" i="12"/>
  <c r="J50" i="12"/>
  <c r="J55" i="12"/>
  <c r="I60" i="12"/>
  <c r="H65" i="12"/>
  <c r="J69" i="12"/>
  <c r="I74" i="12"/>
  <c r="J80" i="12"/>
  <c r="I85" i="12"/>
  <c r="H90" i="12"/>
  <c r="J92" i="12"/>
  <c r="I97" i="12"/>
  <c r="L70" i="4"/>
  <c r="H102" i="12"/>
  <c r="J106" i="12"/>
  <c r="I181" i="12"/>
  <c r="H186" i="12"/>
  <c r="J190" i="12"/>
  <c r="I195" i="12"/>
  <c r="H200" i="12"/>
  <c r="J202" i="12"/>
  <c r="I207" i="12"/>
  <c r="H116" i="12"/>
  <c r="J120" i="12"/>
  <c r="I125" i="12"/>
  <c r="H130" i="12"/>
  <c r="J134" i="12"/>
  <c r="I139" i="12"/>
  <c r="H146" i="12"/>
  <c r="J148" i="12"/>
  <c r="I153" i="12"/>
  <c r="H158" i="12"/>
  <c r="J162" i="12"/>
  <c r="I167" i="12"/>
  <c r="H172" i="12"/>
  <c r="J70" i="12"/>
  <c r="J95" i="12"/>
  <c r="I196" i="12"/>
  <c r="J121" i="12"/>
  <c r="I156" i="12"/>
  <c r="H54" i="12"/>
  <c r="H82" i="12"/>
  <c r="J182" i="12"/>
  <c r="J114" i="12"/>
  <c r="H152" i="12"/>
  <c r="H64" i="12"/>
  <c r="J91" i="12"/>
  <c r="J187" i="12"/>
  <c r="H129" i="12"/>
  <c r="J161" i="12"/>
  <c r="I48" i="12"/>
  <c r="H53" i="12"/>
  <c r="H58" i="12"/>
  <c r="J60" i="12"/>
  <c r="I65" i="12"/>
  <c r="H70" i="12"/>
  <c r="J74" i="12"/>
  <c r="H81" i="12"/>
  <c r="J85" i="12"/>
  <c r="I90" i="12"/>
  <c r="H95" i="12"/>
  <c r="J97" i="12"/>
  <c r="I102" i="12"/>
  <c r="H107" i="12"/>
  <c r="J181" i="12"/>
  <c r="I186" i="12"/>
  <c r="H191" i="12"/>
  <c r="J195" i="12"/>
  <c r="I200" i="12"/>
  <c r="H205" i="12"/>
  <c r="J207" i="12"/>
  <c r="I116" i="12"/>
  <c r="H121" i="12"/>
  <c r="J125" i="12"/>
  <c r="I130" i="12"/>
  <c r="H135" i="12"/>
  <c r="J139" i="12"/>
  <c r="I146" i="12"/>
  <c r="H151" i="12"/>
  <c r="J153" i="12"/>
  <c r="I158" i="12"/>
  <c r="H163" i="12"/>
  <c r="J167" i="12"/>
  <c r="I172" i="12"/>
  <c r="J53" i="12"/>
  <c r="I75" i="12"/>
  <c r="I100" i="12"/>
  <c r="J191" i="12"/>
  <c r="H119" i="12"/>
  <c r="J135" i="12"/>
  <c r="I168" i="12"/>
  <c r="I68" i="12"/>
  <c r="I91" i="12"/>
  <c r="I105" i="12"/>
  <c r="J196" i="12"/>
  <c r="H124" i="12"/>
  <c r="I147" i="12"/>
  <c r="J168" i="12"/>
  <c r="I54" i="12"/>
  <c r="H55" i="12"/>
  <c r="I96" i="12"/>
  <c r="H185" i="12"/>
  <c r="I206" i="12"/>
  <c r="I124" i="12"/>
  <c r="H141" i="12"/>
  <c r="I152" i="12"/>
  <c r="J173" i="12"/>
  <c r="J48" i="12"/>
  <c r="I53" i="12"/>
  <c r="I58" i="12"/>
  <c r="H63" i="12"/>
  <c r="J65" i="12"/>
  <c r="I70" i="12"/>
  <c r="H75" i="12"/>
  <c r="I81" i="12"/>
  <c r="H86" i="12"/>
  <c r="J90" i="12"/>
  <c r="I95" i="12"/>
  <c r="H100" i="12"/>
  <c r="J102" i="12"/>
  <c r="I107" i="12"/>
  <c r="H182" i="12"/>
  <c r="J186" i="12"/>
  <c r="I191" i="12"/>
  <c r="H196" i="12"/>
  <c r="J200" i="12"/>
  <c r="I205" i="12"/>
  <c r="H114" i="12"/>
  <c r="J116" i="12"/>
  <c r="I121" i="12"/>
  <c r="H126" i="12"/>
  <c r="J130" i="12"/>
  <c r="I135" i="12"/>
  <c r="H140" i="12"/>
  <c r="J146" i="12"/>
  <c r="I151" i="12"/>
  <c r="H156" i="12"/>
  <c r="J158" i="12"/>
  <c r="I163" i="12"/>
  <c r="H168" i="12"/>
  <c r="J172" i="12"/>
  <c r="Q52" i="4"/>
  <c r="Q67" i="4"/>
  <c r="K126" i="4"/>
  <c r="Q85" i="4"/>
  <c r="Q42" i="4"/>
  <c r="Q50" i="4"/>
  <c r="Q65" i="4"/>
  <c r="Q73" i="4"/>
  <c r="Q127" i="4"/>
  <c r="Q135" i="4"/>
  <c r="Q83" i="4"/>
  <c r="Q91" i="4"/>
  <c r="Q101" i="4"/>
  <c r="Q109" i="4"/>
  <c r="Q59" i="4"/>
  <c r="K90" i="4"/>
  <c r="Q39" i="4"/>
  <c r="Q57" i="4"/>
  <c r="Q44" i="4"/>
  <c r="Q137" i="4"/>
  <c r="Q121" i="4"/>
  <c r="Q93" i="4"/>
  <c r="Q61" i="4"/>
  <c r="Q69" i="4"/>
  <c r="Q123" i="4"/>
  <c r="Q131" i="4"/>
  <c r="K136" i="4"/>
  <c r="Q87" i="4"/>
  <c r="Q95" i="4"/>
  <c r="Q41" i="4"/>
  <c r="Q36" i="4"/>
  <c r="Q70" i="4"/>
  <c r="Q98" i="4"/>
  <c r="Q114" i="4"/>
  <c r="Q53" i="4"/>
  <c r="Q68" i="4"/>
  <c r="Q48" i="4"/>
  <c r="Q133" i="4"/>
  <c r="Q40" i="4"/>
  <c r="Q43" i="4"/>
  <c r="Q51" i="4"/>
  <c r="Q58" i="4"/>
  <c r="Q66" i="4"/>
  <c r="Q120" i="4"/>
  <c r="Q128" i="4"/>
  <c r="Q136" i="4"/>
  <c r="L79" i="4"/>
  <c r="K84" i="4"/>
  <c r="Q84" i="4"/>
  <c r="Q92" i="4"/>
  <c r="K102" i="4"/>
  <c r="Q102" i="4"/>
  <c r="K110" i="4"/>
  <c r="Q110" i="4"/>
  <c r="Q86" i="4"/>
  <c r="Q104" i="4"/>
  <c r="Q46" i="4"/>
  <c r="K79" i="4"/>
  <c r="Q79" i="4"/>
  <c r="Q105" i="4"/>
  <c r="Q113" i="4"/>
  <c r="Q45" i="4"/>
  <c r="Q60" i="4"/>
  <c r="Q122" i="4"/>
  <c r="K101" i="4"/>
  <c r="Q63" i="4"/>
  <c r="Q99" i="4"/>
  <c r="Q115" i="4"/>
  <c r="Q126" i="4"/>
  <c r="Q134" i="4"/>
  <c r="Q82" i="4"/>
  <c r="Q90" i="4"/>
  <c r="Q100" i="4"/>
  <c r="Q108" i="4"/>
  <c r="K113" i="4"/>
  <c r="Q78" i="4"/>
  <c r="Q112" i="4"/>
  <c r="Q71" i="4"/>
  <c r="Q89" i="4"/>
  <c r="L129" i="4"/>
  <c r="Q129" i="4"/>
  <c r="Q103" i="4"/>
  <c r="Q111" i="4"/>
  <c r="Q130" i="4"/>
  <c r="Q94" i="4"/>
  <c r="Q37" i="4"/>
  <c r="Q125" i="4"/>
  <c r="Q81" i="4"/>
  <c r="Q107" i="4"/>
  <c r="Q47" i="4"/>
  <c r="Q62" i="4"/>
  <c r="Q124" i="4"/>
  <c r="Q132" i="4"/>
  <c r="K80" i="4"/>
  <c r="Q80" i="4"/>
  <c r="L83" i="4"/>
  <c r="Q88" i="4"/>
  <c r="L101" i="4"/>
  <c r="Q106" i="4"/>
  <c r="K104" i="4"/>
  <c r="K112" i="4"/>
  <c r="K94" i="4"/>
  <c r="L132" i="4"/>
  <c r="L114" i="4"/>
  <c r="K86" i="4"/>
  <c r="L68" i="4"/>
  <c r="K132" i="4"/>
  <c r="K135" i="4"/>
  <c r="K103" i="4"/>
  <c r="L59" i="4"/>
  <c r="L61" i="4"/>
  <c r="L65" i="4"/>
  <c r="L108" i="4"/>
  <c r="L82" i="4"/>
  <c r="L128" i="4"/>
  <c r="L123" i="4"/>
  <c r="K131" i="4"/>
  <c r="L126" i="4"/>
  <c r="K120" i="4"/>
  <c r="K72" i="4"/>
  <c r="K68" i="4"/>
  <c r="K67" i="4"/>
  <c r="K63" i="4"/>
  <c r="L64" i="4"/>
  <c r="K64" i="4"/>
  <c r="L60" i="4"/>
  <c r="L58" i="4"/>
  <c r="K58" i="4"/>
  <c r="P58" i="4" s="1"/>
  <c r="L57" i="4"/>
  <c r="L62" i="4"/>
  <c r="K66" i="4"/>
  <c r="K71" i="4"/>
  <c r="L73" i="4"/>
  <c r="L122" i="4"/>
  <c r="L86" i="4"/>
  <c r="K88" i="4"/>
  <c r="L104" i="4"/>
  <c r="K106" i="4"/>
  <c r="K108" i="4"/>
  <c r="K62" i="4"/>
  <c r="L69" i="4"/>
  <c r="L71" i="4"/>
  <c r="K82" i="4"/>
  <c r="L95" i="4"/>
  <c r="L100" i="4"/>
  <c r="K95" i="4"/>
  <c r="K60" i="4"/>
  <c r="L78" i="4"/>
  <c r="K91" i="4"/>
  <c r="K100" i="4"/>
  <c r="K111" i="4"/>
  <c r="L113" i="4"/>
  <c r="L67" i="4"/>
  <c r="K78" i="4"/>
  <c r="L91" i="4"/>
  <c r="L94" i="4"/>
  <c r="K98" i="4"/>
  <c r="K109" i="4"/>
  <c r="K56" i="4"/>
  <c r="K87" i="4"/>
  <c r="K105" i="4"/>
  <c r="L109" i="4"/>
  <c r="L112" i="4"/>
  <c r="L56" i="4"/>
  <c r="K59" i="4"/>
  <c r="L63" i="4"/>
  <c r="L66" i="4"/>
  <c r="K70" i="4"/>
  <c r="L72" i="4"/>
  <c r="L134" i="4"/>
  <c r="K83" i="4"/>
  <c r="L87" i="4"/>
  <c r="L90" i="4"/>
  <c r="K92" i="4"/>
  <c r="L105" i="4"/>
  <c r="K114" i="4"/>
  <c r="L121" i="4"/>
  <c r="L137" i="4"/>
  <c r="K128" i="4"/>
  <c r="L135" i="4"/>
  <c r="K124" i="4"/>
  <c r="K122" i="4"/>
  <c r="L124" i="4"/>
  <c r="K127" i="4"/>
  <c r="L131" i="4"/>
  <c r="K130" i="4"/>
  <c r="L120" i="4"/>
  <c r="K123" i="4"/>
  <c r="L127" i="4"/>
  <c r="L130" i="4"/>
  <c r="K134" i="4"/>
  <c r="L136" i="4"/>
  <c r="L88" i="4"/>
  <c r="L92" i="4"/>
  <c r="L98" i="4"/>
  <c r="K81" i="4"/>
  <c r="K85" i="4"/>
  <c r="K89" i="4"/>
  <c r="K93" i="4"/>
  <c r="K99" i="4"/>
  <c r="K107" i="4"/>
  <c r="K115" i="4"/>
  <c r="L84" i="4"/>
  <c r="L102" i="4"/>
  <c r="L106" i="4"/>
  <c r="L110" i="4"/>
  <c r="L81" i="4"/>
  <c r="L85" i="4"/>
  <c r="L89" i="4"/>
  <c r="L93" i="4"/>
  <c r="L99" i="4"/>
  <c r="L103" i="4"/>
  <c r="L107" i="4"/>
  <c r="L111" i="4"/>
  <c r="L115" i="4"/>
  <c r="L80" i="4"/>
  <c r="K121" i="4"/>
  <c r="K125" i="4"/>
  <c r="K129" i="4"/>
  <c r="K133" i="4"/>
  <c r="K137" i="4"/>
  <c r="L125" i="4"/>
  <c r="L133" i="4"/>
  <c r="N68" i="4"/>
  <c r="K57" i="4"/>
  <c r="K61" i="4"/>
  <c r="K65" i="4"/>
  <c r="K69" i="4"/>
  <c r="K73" i="4"/>
  <c r="P72" i="4"/>
  <c r="J31" i="4"/>
  <c r="I31" i="4"/>
  <c r="H31" i="4"/>
  <c r="J30" i="4"/>
  <c r="I30" i="4"/>
  <c r="H30" i="4"/>
  <c r="J29" i="4"/>
  <c r="I29" i="4"/>
  <c r="H29" i="4"/>
  <c r="J28" i="4"/>
  <c r="J36" i="12" s="1"/>
  <c r="I28" i="4"/>
  <c r="I36" i="12" s="1"/>
  <c r="H28" i="4"/>
  <c r="H36" i="12" s="1"/>
  <c r="J27" i="4"/>
  <c r="J35" i="12" s="1"/>
  <c r="I27" i="4"/>
  <c r="I35" i="12" s="1"/>
  <c r="H27" i="4"/>
  <c r="H35" i="12" s="1"/>
  <c r="J26" i="4"/>
  <c r="J34" i="12" s="1"/>
  <c r="I26" i="4"/>
  <c r="I34" i="12" s="1"/>
  <c r="H26" i="4"/>
  <c r="H34" i="12" s="1"/>
  <c r="J25" i="4"/>
  <c r="J31" i="12" s="1"/>
  <c r="I25" i="4"/>
  <c r="I31" i="12" s="1"/>
  <c r="H25" i="4"/>
  <c r="H31" i="12" s="1"/>
  <c r="J24" i="4"/>
  <c r="J30" i="12" s="1"/>
  <c r="I24" i="4"/>
  <c r="I30" i="12" s="1"/>
  <c r="H24" i="4"/>
  <c r="H30" i="12" s="1"/>
  <c r="J23" i="4"/>
  <c r="J29" i="12" s="1"/>
  <c r="I23" i="4"/>
  <c r="I29" i="12" s="1"/>
  <c r="H23" i="4"/>
  <c r="H29" i="12" s="1"/>
  <c r="J22" i="4"/>
  <c r="J26" i="12" s="1"/>
  <c r="I22" i="4"/>
  <c r="I26" i="12" s="1"/>
  <c r="H22" i="4"/>
  <c r="H26" i="12" s="1"/>
  <c r="J21" i="4"/>
  <c r="J25" i="12" s="1"/>
  <c r="I21" i="4"/>
  <c r="I25" i="12" s="1"/>
  <c r="H21" i="4"/>
  <c r="H25" i="12" s="1"/>
  <c r="J20" i="4"/>
  <c r="J24" i="12" s="1"/>
  <c r="I20" i="4"/>
  <c r="I24" i="12" s="1"/>
  <c r="H20" i="4"/>
  <c r="H24" i="12" s="1"/>
  <c r="J19" i="4"/>
  <c r="J21" i="12" s="1"/>
  <c r="I19" i="4"/>
  <c r="I21" i="12" s="1"/>
  <c r="H19" i="4"/>
  <c r="J18" i="4"/>
  <c r="J20" i="12" s="1"/>
  <c r="I18" i="4"/>
  <c r="I20" i="12" s="1"/>
  <c r="H18" i="4"/>
  <c r="H20" i="12" s="1"/>
  <c r="J17" i="4"/>
  <c r="J19" i="12" s="1"/>
  <c r="I17" i="4"/>
  <c r="I19" i="12" s="1"/>
  <c r="H17" i="4"/>
  <c r="H19" i="12" s="1"/>
  <c r="H16" i="4"/>
  <c r="H16" i="12" s="1"/>
  <c r="I16" i="4"/>
  <c r="I16" i="12" s="1"/>
  <c r="J16" i="4"/>
  <c r="J16" i="12" s="1"/>
  <c r="J15" i="4"/>
  <c r="J15" i="12" s="1"/>
  <c r="I15" i="4"/>
  <c r="I15" i="12" s="1"/>
  <c r="H15" i="4"/>
  <c r="H15" i="12" s="1"/>
  <c r="J14" i="4"/>
  <c r="J14" i="12" s="1"/>
  <c r="I14" i="4"/>
  <c r="I14" i="12" s="1"/>
  <c r="H14" i="4"/>
  <c r="H14" i="12" s="1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3" i="3"/>
  <c r="C149" i="8" s="1"/>
  <c r="L149" i="8" s="1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L155" i="2"/>
  <c r="L188" i="19" s="1"/>
  <c r="J155" i="2"/>
  <c r="J188" i="19" s="1"/>
  <c r="G155" i="2"/>
  <c r="G188" i="19" s="1"/>
  <c r="E155" i="2"/>
  <c r="E188" i="19" s="1"/>
  <c r="L154" i="2"/>
  <c r="L187" i="19" s="1"/>
  <c r="J154" i="2"/>
  <c r="J187" i="19" s="1"/>
  <c r="G154" i="2"/>
  <c r="G187" i="19" s="1"/>
  <c r="E154" i="2"/>
  <c r="E187" i="19" s="1"/>
  <c r="L153" i="2"/>
  <c r="L186" i="19" s="1"/>
  <c r="J153" i="2"/>
  <c r="J186" i="19" s="1"/>
  <c r="G153" i="2"/>
  <c r="G186" i="19" s="1"/>
  <c r="E153" i="2"/>
  <c r="E186" i="19" s="1"/>
  <c r="L152" i="2"/>
  <c r="L185" i="19" s="1"/>
  <c r="J152" i="2"/>
  <c r="J185" i="19" s="1"/>
  <c r="G152" i="2"/>
  <c r="G185" i="19" s="1"/>
  <c r="E152" i="2"/>
  <c r="E185" i="19" s="1"/>
  <c r="L151" i="2"/>
  <c r="L184" i="19" s="1"/>
  <c r="J151" i="2"/>
  <c r="J184" i="19" s="1"/>
  <c r="G151" i="2"/>
  <c r="G184" i="19" s="1"/>
  <c r="E151" i="2"/>
  <c r="E184" i="19" s="1"/>
  <c r="L150" i="2"/>
  <c r="L183" i="19" s="1"/>
  <c r="J150" i="2"/>
  <c r="J183" i="19" s="1"/>
  <c r="G150" i="2"/>
  <c r="G183" i="19" s="1"/>
  <c r="E150" i="2"/>
  <c r="E183" i="19" s="1"/>
  <c r="L149" i="2"/>
  <c r="L182" i="19" s="1"/>
  <c r="J149" i="2"/>
  <c r="J182" i="19" s="1"/>
  <c r="G149" i="2"/>
  <c r="G182" i="19" s="1"/>
  <c r="E149" i="2"/>
  <c r="E182" i="19" s="1"/>
  <c r="L148" i="2"/>
  <c r="L179" i="19" s="1"/>
  <c r="J148" i="2"/>
  <c r="J179" i="19" s="1"/>
  <c r="G148" i="2"/>
  <c r="G179" i="19" s="1"/>
  <c r="E148" i="2"/>
  <c r="E179" i="19" s="1"/>
  <c r="L147" i="2"/>
  <c r="L178" i="19" s="1"/>
  <c r="J147" i="2"/>
  <c r="J178" i="19" s="1"/>
  <c r="G147" i="2"/>
  <c r="G178" i="19" s="1"/>
  <c r="E147" i="2"/>
  <c r="E178" i="19" s="1"/>
  <c r="L146" i="2"/>
  <c r="L177" i="19" s="1"/>
  <c r="J146" i="2"/>
  <c r="J177" i="19" s="1"/>
  <c r="G146" i="2"/>
  <c r="G177" i="19" s="1"/>
  <c r="E146" i="2"/>
  <c r="E177" i="19" s="1"/>
  <c r="L145" i="2"/>
  <c r="L176" i="19" s="1"/>
  <c r="J145" i="2"/>
  <c r="J176" i="19" s="1"/>
  <c r="G145" i="2"/>
  <c r="G176" i="19" s="1"/>
  <c r="E145" i="2"/>
  <c r="E176" i="19" s="1"/>
  <c r="L144" i="2"/>
  <c r="L175" i="19" s="1"/>
  <c r="J144" i="2"/>
  <c r="J175" i="19" s="1"/>
  <c r="G144" i="2"/>
  <c r="G175" i="19" s="1"/>
  <c r="E144" i="2"/>
  <c r="E175" i="19" s="1"/>
  <c r="L143" i="2"/>
  <c r="L174" i="19" s="1"/>
  <c r="J143" i="2"/>
  <c r="J174" i="19" s="1"/>
  <c r="G143" i="2"/>
  <c r="G174" i="19" s="1"/>
  <c r="E143" i="2"/>
  <c r="E174" i="19" s="1"/>
  <c r="L142" i="2"/>
  <c r="L173" i="19" s="1"/>
  <c r="J142" i="2"/>
  <c r="J173" i="19" s="1"/>
  <c r="G142" i="2"/>
  <c r="G173" i="19" s="1"/>
  <c r="E142" i="2"/>
  <c r="E173" i="19" s="1"/>
  <c r="L139" i="2"/>
  <c r="L168" i="19" s="1"/>
  <c r="J139" i="2"/>
  <c r="J168" i="19" s="1"/>
  <c r="G139" i="2"/>
  <c r="G168" i="19" s="1"/>
  <c r="E139" i="2"/>
  <c r="E168" i="19" s="1"/>
  <c r="L138" i="2"/>
  <c r="L167" i="19" s="1"/>
  <c r="J138" i="2"/>
  <c r="J167" i="19" s="1"/>
  <c r="G138" i="2"/>
  <c r="G167" i="19" s="1"/>
  <c r="E138" i="2"/>
  <c r="E167" i="19" s="1"/>
  <c r="L137" i="2"/>
  <c r="L166" i="19" s="1"/>
  <c r="J137" i="2"/>
  <c r="J166" i="19" s="1"/>
  <c r="G137" i="2"/>
  <c r="G166" i="19" s="1"/>
  <c r="E137" i="2"/>
  <c r="E166" i="19" s="1"/>
  <c r="L136" i="2"/>
  <c r="L165" i="19" s="1"/>
  <c r="J136" i="2"/>
  <c r="J165" i="19" s="1"/>
  <c r="G136" i="2"/>
  <c r="G165" i="19" s="1"/>
  <c r="E136" i="2"/>
  <c r="E165" i="19" s="1"/>
  <c r="L135" i="2"/>
  <c r="L164" i="19" s="1"/>
  <c r="J135" i="2"/>
  <c r="J164" i="19" s="1"/>
  <c r="G135" i="2"/>
  <c r="G164" i="19" s="1"/>
  <c r="E135" i="2"/>
  <c r="E164" i="19" s="1"/>
  <c r="L134" i="2"/>
  <c r="L163" i="19" s="1"/>
  <c r="J134" i="2"/>
  <c r="J163" i="19" s="1"/>
  <c r="G134" i="2"/>
  <c r="G163" i="19" s="1"/>
  <c r="E134" i="2"/>
  <c r="E163" i="19" s="1"/>
  <c r="L133" i="2"/>
  <c r="L162" i="19" s="1"/>
  <c r="J133" i="2"/>
  <c r="J162" i="19" s="1"/>
  <c r="G133" i="2"/>
  <c r="G162" i="19" s="1"/>
  <c r="E133" i="2"/>
  <c r="E162" i="19" s="1"/>
  <c r="L132" i="2"/>
  <c r="L159" i="19" s="1"/>
  <c r="J132" i="2"/>
  <c r="J159" i="19" s="1"/>
  <c r="G132" i="2"/>
  <c r="G159" i="19" s="1"/>
  <c r="E132" i="2"/>
  <c r="E159" i="19" s="1"/>
  <c r="L131" i="2"/>
  <c r="L158" i="19" s="1"/>
  <c r="J131" i="2"/>
  <c r="J158" i="19" s="1"/>
  <c r="G131" i="2"/>
  <c r="G158" i="19" s="1"/>
  <c r="E131" i="2"/>
  <c r="E158" i="19" s="1"/>
  <c r="L130" i="2"/>
  <c r="L157" i="19" s="1"/>
  <c r="J130" i="2"/>
  <c r="J157" i="19" s="1"/>
  <c r="G130" i="2"/>
  <c r="G157" i="19" s="1"/>
  <c r="E130" i="2"/>
  <c r="E157" i="19" s="1"/>
  <c r="L129" i="2"/>
  <c r="L156" i="19" s="1"/>
  <c r="J129" i="2"/>
  <c r="J156" i="19" s="1"/>
  <c r="G129" i="2"/>
  <c r="G156" i="19" s="1"/>
  <c r="E129" i="2"/>
  <c r="E156" i="19" s="1"/>
  <c r="L128" i="2"/>
  <c r="L155" i="19" s="1"/>
  <c r="J128" i="2"/>
  <c r="J155" i="19" s="1"/>
  <c r="G128" i="2"/>
  <c r="G155" i="19" s="1"/>
  <c r="E128" i="2"/>
  <c r="E155" i="19" s="1"/>
  <c r="L127" i="2"/>
  <c r="L154" i="19" s="1"/>
  <c r="J127" i="2"/>
  <c r="J154" i="19" s="1"/>
  <c r="G127" i="2"/>
  <c r="G154" i="19" s="1"/>
  <c r="E127" i="2"/>
  <c r="E154" i="19" s="1"/>
  <c r="L126" i="2"/>
  <c r="L153" i="19" s="1"/>
  <c r="J126" i="2"/>
  <c r="J153" i="19" s="1"/>
  <c r="G126" i="2"/>
  <c r="G153" i="19" s="1"/>
  <c r="E126" i="2"/>
  <c r="E153" i="19" s="1"/>
  <c r="L123" i="2"/>
  <c r="L148" i="19" s="1"/>
  <c r="J123" i="2"/>
  <c r="J148" i="19" s="1"/>
  <c r="G123" i="2"/>
  <c r="G148" i="19" s="1"/>
  <c r="E123" i="2"/>
  <c r="E148" i="19" s="1"/>
  <c r="L122" i="2"/>
  <c r="L147" i="19" s="1"/>
  <c r="J122" i="2"/>
  <c r="J147" i="19" s="1"/>
  <c r="G122" i="2"/>
  <c r="G147" i="19" s="1"/>
  <c r="E122" i="2"/>
  <c r="E147" i="19" s="1"/>
  <c r="L121" i="2"/>
  <c r="L146" i="19" s="1"/>
  <c r="J121" i="2"/>
  <c r="J146" i="19" s="1"/>
  <c r="G121" i="2"/>
  <c r="G146" i="19" s="1"/>
  <c r="E121" i="2"/>
  <c r="E146" i="19" s="1"/>
  <c r="L120" i="2"/>
  <c r="L145" i="19" s="1"/>
  <c r="J120" i="2"/>
  <c r="J145" i="19" s="1"/>
  <c r="G120" i="2"/>
  <c r="G145" i="19" s="1"/>
  <c r="E120" i="2"/>
  <c r="E145" i="19" s="1"/>
  <c r="L119" i="2"/>
  <c r="L144" i="19" s="1"/>
  <c r="J119" i="2"/>
  <c r="J144" i="19" s="1"/>
  <c r="G119" i="2"/>
  <c r="G144" i="19" s="1"/>
  <c r="E119" i="2"/>
  <c r="E144" i="19" s="1"/>
  <c r="L118" i="2"/>
  <c r="L143" i="19" s="1"/>
  <c r="J118" i="2"/>
  <c r="J143" i="19" s="1"/>
  <c r="G118" i="2"/>
  <c r="G143" i="19" s="1"/>
  <c r="E118" i="2"/>
  <c r="E143" i="19" s="1"/>
  <c r="L117" i="2"/>
  <c r="L142" i="19" s="1"/>
  <c r="J117" i="2"/>
  <c r="J142" i="19" s="1"/>
  <c r="G117" i="2"/>
  <c r="G142" i="19" s="1"/>
  <c r="E117" i="2"/>
  <c r="E142" i="19" s="1"/>
  <c r="L116" i="2"/>
  <c r="L139" i="19" s="1"/>
  <c r="J116" i="2"/>
  <c r="J139" i="19" s="1"/>
  <c r="G116" i="2"/>
  <c r="G139" i="19" s="1"/>
  <c r="E116" i="2"/>
  <c r="E139" i="19" s="1"/>
  <c r="L115" i="2"/>
  <c r="L138" i="19" s="1"/>
  <c r="J115" i="2"/>
  <c r="J138" i="19" s="1"/>
  <c r="G115" i="2"/>
  <c r="G138" i="19" s="1"/>
  <c r="E115" i="2"/>
  <c r="E138" i="19" s="1"/>
  <c r="L114" i="2"/>
  <c r="L137" i="19" s="1"/>
  <c r="J114" i="2"/>
  <c r="J137" i="19" s="1"/>
  <c r="G114" i="2"/>
  <c r="G137" i="19" s="1"/>
  <c r="E114" i="2"/>
  <c r="E137" i="19" s="1"/>
  <c r="L113" i="2"/>
  <c r="L136" i="19" s="1"/>
  <c r="J113" i="2"/>
  <c r="J136" i="19" s="1"/>
  <c r="G113" i="2"/>
  <c r="G136" i="19" s="1"/>
  <c r="E113" i="2"/>
  <c r="E136" i="19" s="1"/>
  <c r="L112" i="2"/>
  <c r="L135" i="19" s="1"/>
  <c r="J112" i="2"/>
  <c r="J135" i="19" s="1"/>
  <c r="G112" i="2"/>
  <c r="G135" i="19" s="1"/>
  <c r="E112" i="2"/>
  <c r="E135" i="19" s="1"/>
  <c r="L111" i="2"/>
  <c r="L134" i="19" s="1"/>
  <c r="J111" i="2"/>
  <c r="J134" i="19" s="1"/>
  <c r="G111" i="2"/>
  <c r="G134" i="19" s="1"/>
  <c r="E111" i="2"/>
  <c r="E134" i="19" s="1"/>
  <c r="L110" i="2"/>
  <c r="L133" i="19" s="1"/>
  <c r="J110" i="2"/>
  <c r="J133" i="19" s="1"/>
  <c r="G110" i="2"/>
  <c r="G133" i="19" s="1"/>
  <c r="E110" i="2"/>
  <c r="E133" i="19" s="1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L54" i="2"/>
  <c r="L64" i="19" s="1"/>
  <c r="J54" i="2"/>
  <c r="J64" i="19" s="1"/>
  <c r="L104" i="2"/>
  <c r="L126" i="19" s="1"/>
  <c r="J104" i="2"/>
  <c r="J126" i="19" s="1"/>
  <c r="G104" i="2"/>
  <c r="G126" i="19" s="1"/>
  <c r="E104" i="2"/>
  <c r="E126" i="19" s="1"/>
  <c r="E54" i="2"/>
  <c r="E64" i="19" s="1"/>
  <c r="L53" i="2"/>
  <c r="L63" i="19" s="1"/>
  <c r="J53" i="2"/>
  <c r="J63" i="19" s="1"/>
  <c r="L103" i="2"/>
  <c r="L125" i="19" s="1"/>
  <c r="J103" i="2"/>
  <c r="J125" i="19" s="1"/>
  <c r="G103" i="2"/>
  <c r="G125" i="19" s="1"/>
  <c r="E103" i="2"/>
  <c r="E125" i="19" s="1"/>
  <c r="G53" i="2"/>
  <c r="G63" i="19" s="1"/>
  <c r="E53" i="2"/>
  <c r="E63" i="19" s="1"/>
  <c r="L52" i="2"/>
  <c r="L62" i="19" s="1"/>
  <c r="J52" i="2"/>
  <c r="J62" i="19" s="1"/>
  <c r="L102" i="2"/>
  <c r="L124" i="19" s="1"/>
  <c r="J102" i="2"/>
  <c r="J124" i="19" s="1"/>
  <c r="G102" i="2"/>
  <c r="G124" i="19" s="1"/>
  <c r="E102" i="2"/>
  <c r="E124" i="19" s="1"/>
  <c r="G52" i="2"/>
  <c r="G62" i="19" s="1"/>
  <c r="E52" i="2"/>
  <c r="E62" i="19" s="1"/>
  <c r="L51" i="2"/>
  <c r="L61" i="19" s="1"/>
  <c r="J51" i="2"/>
  <c r="J61" i="19" s="1"/>
  <c r="L101" i="2"/>
  <c r="L123" i="19" s="1"/>
  <c r="J101" i="2"/>
  <c r="J123" i="19" s="1"/>
  <c r="G101" i="2"/>
  <c r="G123" i="19" s="1"/>
  <c r="E101" i="2"/>
  <c r="E123" i="19" s="1"/>
  <c r="G51" i="2"/>
  <c r="G61" i="19" s="1"/>
  <c r="E51" i="2"/>
  <c r="E61" i="19" s="1"/>
  <c r="L50" i="2"/>
  <c r="L60" i="19" s="1"/>
  <c r="J50" i="2"/>
  <c r="J60" i="19" s="1"/>
  <c r="L100" i="2"/>
  <c r="L122" i="19" s="1"/>
  <c r="J100" i="2"/>
  <c r="J122" i="19" s="1"/>
  <c r="G100" i="2"/>
  <c r="G122" i="19" s="1"/>
  <c r="E100" i="2"/>
  <c r="E122" i="19" s="1"/>
  <c r="G50" i="2"/>
  <c r="G60" i="19" s="1"/>
  <c r="E50" i="2"/>
  <c r="E60" i="19" s="1"/>
  <c r="L49" i="2"/>
  <c r="L59" i="19" s="1"/>
  <c r="J49" i="2"/>
  <c r="J59" i="19" s="1"/>
  <c r="L99" i="2"/>
  <c r="L121" i="19" s="1"/>
  <c r="J99" i="2"/>
  <c r="J121" i="19" s="1"/>
  <c r="G99" i="2"/>
  <c r="G121" i="19" s="1"/>
  <c r="E99" i="2"/>
  <c r="E121" i="19" s="1"/>
  <c r="G49" i="2"/>
  <c r="G59" i="19" s="1"/>
  <c r="E49" i="2"/>
  <c r="E59" i="19" s="1"/>
  <c r="L48" i="2"/>
  <c r="L58" i="19" s="1"/>
  <c r="J48" i="2"/>
  <c r="J58" i="19" s="1"/>
  <c r="L98" i="2"/>
  <c r="L120" i="19" s="1"/>
  <c r="J98" i="2"/>
  <c r="J120" i="19" s="1"/>
  <c r="G98" i="2"/>
  <c r="G120" i="19" s="1"/>
  <c r="E98" i="2"/>
  <c r="E120" i="19" s="1"/>
  <c r="G48" i="2"/>
  <c r="G58" i="19" s="1"/>
  <c r="E48" i="2"/>
  <c r="E58" i="19" s="1"/>
  <c r="L47" i="2"/>
  <c r="L55" i="19" s="1"/>
  <c r="J47" i="2"/>
  <c r="J55" i="19" s="1"/>
  <c r="L97" i="2"/>
  <c r="L117" i="19" s="1"/>
  <c r="J97" i="2"/>
  <c r="J117" i="19" s="1"/>
  <c r="G97" i="2"/>
  <c r="G117" i="19" s="1"/>
  <c r="E97" i="2"/>
  <c r="E117" i="19" s="1"/>
  <c r="G47" i="2"/>
  <c r="G55" i="19" s="1"/>
  <c r="E47" i="2"/>
  <c r="E55" i="19" s="1"/>
  <c r="L46" i="2"/>
  <c r="L54" i="19" s="1"/>
  <c r="J46" i="2"/>
  <c r="J54" i="19" s="1"/>
  <c r="L96" i="2"/>
  <c r="L116" i="19" s="1"/>
  <c r="J96" i="2"/>
  <c r="J116" i="19" s="1"/>
  <c r="G96" i="2"/>
  <c r="G116" i="19" s="1"/>
  <c r="E96" i="2"/>
  <c r="E116" i="19" s="1"/>
  <c r="G46" i="2"/>
  <c r="G54" i="19" s="1"/>
  <c r="E46" i="2"/>
  <c r="E54" i="19" s="1"/>
  <c r="L45" i="2"/>
  <c r="L53" i="19" s="1"/>
  <c r="J45" i="2"/>
  <c r="J53" i="19" s="1"/>
  <c r="L95" i="2"/>
  <c r="L115" i="19" s="1"/>
  <c r="J95" i="2"/>
  <c r="J115" i="19" s="1"/>
  <c r="G95" i="2"/>
  <c r="G115" i="19" s="1"/>
  <c r="E95" i="2"/>
  <c r="E115" i="19" s="1"/>
  <c r="G45" i="2"/>
  <c r="G53" i="19" s="1"/>
  <c r="E45" i="2"/>
  <c r="E53" i="19" s="1"/>
  <c r="L44" i="2"/>
  <c r="L52" i="19" s="1"/>
  <c r="J44" i="2"/>
  <c r="J52" i="19" s="1"/>
  <c r="L94" i="2"/>
  <c r="L114" i="19" s="1"/>
  <c r="J94" i="2"/>
  <c r="J114" i="19" s="1"/>
  <c r="G94" i="2"/>
  <c r="G114" i="19" s="1"/>
  <c r="E94" i="2"/>
  <c r="E114" i="19" s="1"/>
  <c r="G44" i="2"/>
  <c r="G52" i="19" s="1"/>
  <c r="E44" i="2"/>
  <c r="E52" i="19" s="1"/>
  <c r="L43" i="2"/>
  <c r="L51" i="19" s="1"/>
  <c r="J43" i="2"/>
  <c r="J51" i="19" s="1"/>
  <c r="L93" i="2"/>
  <c r="L113" i="19" s="1"/>
  <c r="J93" i="2"/>
  <c r="J113" i="19" s="1"/>
  <c r="G93" i="2"/>
  <c r="G113" i="19" s="1"/>
  <c r="E93" i="2"/>
  <c r="E113" i="19" s="1"/>
  <c r="G43" i="2"/>
  <c r="G51" i="19" s="1"/>
  <c r="E43" i="2"/>
  <c r="E51" i="19" s="1"/>
  <c r="L42" i="2"/>
  <c r="L50" i="19" s="1"/>
  <c r="J42" i="2"/>
  <c r="J50" i="19" s="1"/>
  <c r="L92" i="2"/>
  <c r="L112" i="19" s="1"/>
  <c r="J92" i="2"/>
  <c r="J112" i="19" s="1"/>
  <c r="G92" i="2"/>
  <c r="G112" i="19" s="1"/>
  <c r="E92" i="2"/>
  <c r="E112" i="19" s="1"/>
  <c r="G42" i="2"/>
  <c r="G50" i="19" s="1"/>
  <c r="E42" i="2"/>
  <c r="E50" i="19" s="1"/>
  <c r="L41" i="2"/>
  <c r="L49" i="19" s="1"/>
  <c r="J41" i="2"/>
  <c r="J49" i="19" s="1"/>
  <c r="L91" i="2"/>
  <c r="L111" i="19" s="1"/>
  <c r="J91" i="2"/>
  <c r="J111" i="19" s="1"/>
  <c r="G91" i="2"/>
  <c r="G111" i="19" s="1"/>
  <c r="E91" i="2"/>
  <c r="E111" i="19" s="1"/>
  <c r="G41" i="2"/>
  <c r="G49" i="19" s="1"/>
  <c r="E41" i="2"/>
  <c r="E49" i="19" s="1"/>
  <c r="L15" i="2"/>
  <c r="L15" i="19" s="1"/>
  <c r="L14" i="2"/>
  <c r="L14" i="19" s="1"/>
  <c r="L13" i="2"/>
  <c r="L13" i="19" s="1"/>
  <c r="L12" i="2"/>
  <c r="L12" i="19" s="1"/>
  <c r="L11" i="2"/>
  <c r="L11" i="19" s="1"/>
  <c r="L10" i="2"/>
  <c r="L10" i="19" s="1"/>
  <c r="L9" i="2"/>
  <c r="L9" i="19" s="1"/>
  <c r="L65" i="2"/>
  <c r="L77" i="19" s="1"/>
  <c r="L64" i="2"/>
  <c r="L76" i="19" s="1"/>
  <c r="L63" i="2"/>
  <c r="L75" i="19" s="1"/>
  <c r="L62" i="2"/>
  <c r="L74" i="19" s="1"/>
  <c r="L61" i="2"/>
  <c r="L73" i="19" s="1"/>
  <c r="L60" i="2"/>
  <c r="L72" i="19" s="1"/>
  <c r="L59" i="2"/>
  <c r="L71" i="19" s="1"/>
  <c r="G65" i="2"/>
  <c r="G77" i="19" s="1"/>
  <c r="G64" i="2"/>
  <c r="G76" i="19" s="1"/>
  <c r="G63" i="2"/>
  <c r="G75" i="19" s="1"/>
  <c r="G62" i="2"/>
  <c r="G74" i="19" s="1"/>
  <c r="G61" i="2"/>
  <c r="G73" i="19" s="1"/>
  <c r="G60" i="2"/>
  <c r="G72" i="19" s="1"/>
  <c r="G59" i="2"/>
  <c r="G71" i="19" s="1"/>
  <c r="J15" i="2"/>
  <c r="J15" i="19" s="1"/>
  <c r="J14" i="2"/>
  <c r="J14" i="19" s="1"/>
  <c r="J13" i="2"/>
  <c r="J13" i="19" s="1"/>
  <c r="J12" i="2"/>
  <c r="J12" i="19" s="1"/>
  <c r="J11" i="2"/>
  <c r="J11" i="19" s="1"/>
  <c r="J10" i="2"/>
  <c r="J10" i="19" s="1"/>
  <c r="J9" i="2"/>
  <c r="J9" i="19" s="1"/>
  <c r="J65" i="2"/>
  <c r="J77" i="19" s="1"/>
  <c r="J64" i="2"/>
  <c r="J76" i="19" s="1"/>
  <c r="J63" i="2"/>
  <c r="J75" i="19" s="1"/>
  <c r="J62" i="2"/>
  <c r="J74" i="19" s="1"/>
  <c r="J61" i="2"/>
  <c r="J73" i="19" s="1"/>
  <c r="J60" i="2"/>
  <c r="J72" i="19" s="1"/>
  <c r="J59" i="2"/>
  <c r="J71" i="19" s="1"/>
  <c r="E65" i="2"/>
  <c r="E77" i="19" s="1"/>
  <c r="E64" i="2"/>
  <c r="E76" i="19" s="1"/>
  <c r="E63" i="2"/>
  <c r="E75" i="19" s="1"/>
  <c r="E62" i="2"/>
  <c r="E74" i="19" s="1"/>
  <c r="E61" i="2"/>
  <c r="E73" i="19" s="1"/>
  <c r="E60" i="2"/>
  <c r="E72" i="19" s="1"/>
  <c r="E59" i="2"/>
  <c r="E71" i="19" s="1"/>
  <c r="E12" i="2"/>
  <c r="E12" i="19" s="1"/>
  <c r="L38" i="2"/>
  <c r="L44" i="19" s="1"/>
  <c r="J38" i="2"/>
  <c r="J44" i="19" s="1"/>
  <c r="L37" i="2"/>
  <c r="L43" i="19" s="1"/>
  <c r="J37" i="2"/>
  <c r="J43" i="19" s="1"/>
  <c r="L36" i="2"/>
  <c r="L42" i="19" s="1"/>
  <c r="J36" i="2"/>
  <c r="J42" i="19" s="1"/>
  <c r="L35" i="2"/>
  <c r="L41" i="19" s="1"/>
  <c r="J35" i="2"/>
  <c r="J41" i="19" s="1"/>
  <c r="L34" i="2"/>
  <c r="L40" i="19" s="1"/>
  <c r="J34" i="2"/>
  <c r="J40" i="19" s="1"/>
  <c r="L33" i="2"/>
  <c r="L39" i="19" s="1"/>
  <c r="J33" i="2"/>
  <c r="J39" i="19" s="1"/>
  <c r="L32" i="2"/>
  <c r="L38" i="19" s="1"/>
  <c r="J32" i="2"/>
  <c r="J38" i="19" s="1"/>
  <c r="L31" i="2"/>
  <c r="L35" i="19" s="1"/>
  <c r="J31" i="2"/>
  <c r="J35" i="19" s="1"/>
  <c r="L30" i="2"/>
  <c r="L34" i="19" s="1"/>
  <c r="J30" i="2"/>
  <c r="J34" i="19" s="1"/>
  <c r="L29" i="2"/>
  <c r="L33" i="19" s="1"/>
  <c r="J29" i="2"/>
  <c r="J33" i="19" s="1"/>
  <c r="L28" i="2"/>
  <c r="L32" i="19" s="1"/>
  <c r="J28" i="2"/>
  <c r="J32" i="19" s="1"/>
  <c r="L27" i="2"/>
  <c r="L31" i="19" s="1"/>
  <c r="J27" i="2"/>
  <c r="J31" i="19" s="1"/>
  <c r="L26" i="2"/>
  <c r="L30" i="19" s="1"/>
  <c r="J26" i="2"/>
  <c r="J30" i="19" s="1"/>
  <c r="L25" i="2"/>
  <c r="L29" i="19" s="1"/>
  <c r="J25" i="2"/>
  <c r="J29" i="19" s="1"/>
  <c r="L22" i="2"/>
  <c r="L24" i="19" s="1"/>
  <c r="J22" i="2"/>
  <c r="J24" i="19" s="1"/>
  <c r="L21" i="2"/>
  <c r="L23" i="19" s="1"/>
  <c r="J21" i="2"/>
  <c r="J23" i="19" s="1"/>
  <c r="L20" i="2"/>
  <c r="L22" i="19" s="1"/>
  <c r="J20" i="2"/>
  <c r="J22" i="19" s="1"/>
  <c r="L19" i="2"/>
  <c r="L21" i="19" s="1"/>
  <c r="J19" i="2"/>
  <c r="J21" i="19" s="1"/>
  <c r="L18" i="2"/>
  <c r="L20" i="19" s="1"/>
  <c r="J18" i="2"/>
  <c r="J20" i="19" s="1"/>
  <c r="L17" i="2"/>
  <c r="L19" i="19" s="1"/>
  <c r="J17" i="2"/>
  <c r="J19" i="19" s="1"/>
  <c r="L16" i="2"/>
  <c r="L18" i="19" s="1"/>
  <c r="J16" i="2"/>
  <c r="J18" i="19" s="1"/>
  <c r="H120" i="8" l="1"/>
  <c r="P15" i="10"/>
  <c r="S15" i="10"/>
  <c r="Q15" i="10"/>
  <c r="T9" i="10"/>
  <c r="R9" i="10"/>
  <c r="S13" i="10"/>
  <c r="P9" i="10"/>
  <c r="Q9" i="10"/>
  <c r="O9" i="10"/>
  <c r="O15" i="10"/>
  <c r="R15" i="10"/>
  <c r="S9" i="10"/>
  <c r="T15" i="10"/>
  <c r="E118" i="19"/>
  <c r="E119" i="19"/>
  <c r="E128" i="19"/>
  <c r="E127" i="19"/>
  <c r="G119" i="19"/>
  <c r="G118" i="19"/>
  <c r="G128" i="19"/>
  <c r="G127" i="19"/>
  <c r="L119" i="19"/>
  <c r="L118" i="19"/>
  <c r="L128" i="19"/>
  <c r="L127" i="19"/>
  <c r="J119" i="19"/>
  <c r="J118" i="19"/>
  <c r="J127" i="19"/>
  <c r="J128" i="19"/>
  <c r="G79" i="19"/>
  <c r="G78" i="19"/>
  <c r="J78" i="19"/>
  <c r="J79" i="19"/>
  <c r="E78" i="19"/>
  <c r="E79" i="19"/>
  <c r="L79" i="19"/>
  <c r="L78" i="19"/>
  <c r="L46" i="19"/>
  <c r="L45" i="19"/>
  <c r="L37" i="19"/>
  <c r="L36" i="19"/>
  <c r="J57" i="19"/>
  <c r="J56" i="19"/>
  <c r="J65" i="19"/>
  <c r="J66" i="19"/>
  <c r="J46" i="19"/>
  <c r="J45" i="19"/>
  <c r="L57" i="19"/>
  <c r="L56" i="19"/>
  <c r="L66" i="19"/>
  <c r="L65" i="19"/>
  <c r="E56" i="19"/>
  <c r="E57" i="19"/>
  <c r="E66" i="19"/>
  <c r="E65" i="19"/>
  <c r="J36" i="19"/>
  <c r="J37" i="19"/>
  <c r="G57" i="19"/>
  <c r="G56" i="19"/>
  <c r="G66" i="19"/>
  <c r="G65" i="19"/>
  <c r="L26" i="19"/>
  <c r="L25" i="19"/>
  <c r="J26" i="19"/>
  <c r="J25" i="19"/>
  <c r="J16" i="19"/>
  <c r="J17" i="19"/>
  <c r="L17" i="19"/>
  <c r="L16" i="19"/>
  <c r="H21" i="12"/>
  <c r="H22" i="12" s="1"/>
  <c r="Q19" i="4"/>
  <c r="K88" i="3"/>
  <c r="C106" i="8"/>
  <c r="L106" i="8" s="1"/>
  <c r="K168" i="3"/>
  <c r="C206" i="8"/>
  <c r="L206" i="8" s="1"/>
  <c r="K204" i="3"/>
  <c r="C250" i="8"/>
  <c r="L250" i="8" s="1"/>
  <c r="K152" i="3"/>
  <c r="C186" i="8"/>
  <c r="L186" i="8" s="1"/>
  <c r="K89" i="3"/>
  <c r="C107" i="8"/>
  <c r="L107" i="8" s="1"/>
  <c r="K197" i="3"/>
  <c r="C241" i="8"/>
  <c r="L241" i="8" s="1"/>
  <c r="K135" i="3"/>
  <c r="C165" i="8"/>
  <c r="L165" i="8" s="1"/>
  <c r="H8" i="10"/>
  <c r="O11" i="10" s="1"/>
  <c r="K162" i="3"/>
  <c r="C198" i="8"/>
  <c r="L198" i="8" s="1"/>
  <c r="K110" i="3"/>
  <c r="C134" i="8"/>
  <c r="L134" i="8" s="1"/>
  <c r="K154" i="3"/>
  <c r="C188" i="8"/>
  <c r="L188" i="8" s="1"/>
  <c r="K65" i="3"/>
  <c r="C77" i="8"/>
  <c r="L77" i="8" s="1"/>
  <c r="K73" i="3"/>
  <c r="C87" i="8"/>
  <c r="L87" i="8" s="1"/>
  <c r="K83" i="3"/>
  <c r="C101" i="8"/>
  <c r="L101" i="8" s="1"/>
  <c r="K163" i="3"/>
  <c r="C199" i="8"/>
  <c r="L199" i="8" s="1"/>
  <c r="K171" i="3"/>
  <c r="C209" i="8"/>
  <c r="L209" i="8" s="1"/>
  <c r="K181" i="3"/>
  <c r="C221" i="8"/>
  <c r="L221" i="8" s="1"/>
  <c r="K189" i="3"/>
  <c r="C231" i="8"/>
  <c r="L231" i="8" s="1"/>
  <c r="K199" i="3"/>
  <c r="C245" i="8"/>
  <c r="L245" i="8" s="1"/>
  <c r="K111" i="3"/>
  <c r="C135" i="8"/>
  <c r="L135" i="8" s="1"/>
  <c r="K119" i="3"/>
  <c r="C145" i="8"/>
  <c r="L145" i="8" s="1"/>
  <c r="K129" i="3"/>
  <c r="C157" i="8"/>
  <c r="L157" i="8" s="1"/>
  <c r="K137" i="3"/>
  <c r="C167" i="8"/>
  <c r="L167" i="8" s="1"/>
  <c r="K147" i="3"/>
  <c r="C179" i="8"/>
  <c r="L179" i="8" s="1"/>
  <c r="K155" i="3"/>
  <c r="C189" i="8"/>
  <c r="L189" i="8" s="1"/>
  <c r="H5" i="10"/>
  <c r="O5" i="10" s="1"/>
  <c r="I7" i="10"/>
  <c r="D162" i="8"/>
  <c r="K80" i="3"/>
  <c r="C96" i="8"/>
  <c r="L96" i="8" s="1"/>
  <c r="K116" i="3"/>
  <c r="C140" i="8"/>
  <c r="L140" i="8" s="1"/>
  <c r="K63" i="3"/>
  <c r="C75" i="8"/>
  <c r="L75" i="8" s="1"/>
  <c r="K169" i="3"/>
  <c r="C207" i="8"/>
  <c r="L207" i="8" s="1"/>
  <c r="K117" i="3"/>
  <c r="C143" i="8"/>
  <c r="L143" i="8" s="1"/>
  <c r="K64" i="3"/>
  <c r="C76" i="8"/>
  <c r="L76" i="8" s="1"/>
  <c r="K170" i="3"/>
  <c r="C208" i="8"/>
  <c r="L208" i="8" s="1"/>
  <c r="K66" i="3"/>
  <c r="C78" i="8"/>
  <c r="L78" i="8" s="1"/>
  <c r="K76" i="3"/>
  <c r="C92" i="8"/>
  <c r="L92" i="8" s="1"/>
  <c r="K84" i="3"/>
  <c r="C102" i="8"/>
  <c r="L102" i="8" s="1"/>
  <c r="K164" i="3"/>
  <c r="C200" i="8"/>
  <c r="L200" i="8" s="1"/>
  <c r="K172" i="3"/>
  <c r="C210" i="8"/>
  <c r="L210" i="8" s="1"/>
  <c r="K182" i="3"/>
  <c r="C222" i="8"/>
  <c r="L222" i="8" s="1"/>
  <c r="K192" i="3"/>
  <c r="C236" i="8"/>
  <c r="L236" i="8" s="1"/>
  <c r="K200" i="3"/>
  <c r="C246" i="8"/>
  <c r="L246" i="8" s="1"/>
  <c r="K112" i="3"/>
  <c r="C136" i="8"/>
  <c r="L136" i="8" s="1"/>
  <c r="K120" i="3"/>
  <c r="C146" i="8"/>
  <c r="L146" i="8" s="1"/>
  <c r="K130" i="3"/>
  <c r="C158" i="8"/>
  <c r="L158" i="8" s="1"/>
  <c r="K138" i="3"/>
  <c r="C168" i="8"/>
  <c r="L168" i="8" s="1"/>
  <c r="K148" i="3"/>
  <c r="C180" i="8"/>
  <c r="L180" i="8" s="1"/>
  <c r="I5" i="10"/>
  <c r="H7" i="10"/>
  <c r="S5" i="10" s="1"/>
  <c r="K70" i="3"/>
  <c r="C84" i="8"/>
  <c r="L84" i="8" s="1"/>
  <c r="K160" i="3"/>
  <c r="C196" i="8"/>
  <c r="L196" i="8" s="1"/>
  <c r="K186" i="3"/>
  <c r="C228" i="8"/>
  <c r="L228" i="8" s="1"/>
  <c r="K126" i="3"/>
  <c r="C154" i="8"/>
  <c r="L154" i="8" s="1"/>
  <c r="K71" i="3"/>
  <c r="C85" i="8"/>
  <c r="L85" i="8" s="1"/>
  <c r="K179" i="3"/>
  <c r="C219" i="8"/>
  <c r="L219" i="8" s="1"/>
  <c r="K127" i="3"/>
  <c r="C155" i="8"/>
  <c r="L155" i="8" s="1"/>
  <c r="K72" i="3"/>
  <c r="C86" i="8"/>
  <c r="L86" i="8" s="1"/>
  <c r="K188" i="3"/>
  <c r="C230" i="8"/>
  <c r="L230" i="8" s="1"/>
  <c r="K128" i="3"/>
  <c r="C156" i="8"/>
  <c r="L156" i="8" s="1"/>
  <c r="I8" i="10"/>
  <c r="I6" i="10"/>
  <c r="K67" i="3"/>
  <c r="C81" i="8"/>
  <c r="L81" i="8" s="1"/>
  <c r="K77" i="3"/>
  <c r="C93" i="8"/>
  <c r="L93" i="8" s="1"/>
  <c r="K85" i="3"/>
  <c r="C103" i="8"/>
  <c r="L103" i="8" s="1"/>
  <c r="K165" i="3"/>
  <c r="C201" i="8"/>
  <c r="L201" i="8" s="1"/>
  <c r="K173" i="3"/>
  <c r="C211" i="8"/>
  <c r="L211" i="8" s="1"/>
  <c r="K183" i="3"/>
  <c r="C225" i="8"/>
  <c r="L225" i="8" s="1"/>
  <c r="K193" i="3"/>
  <c r="C237" i="8"/>
  <c r="L237" i="8" s="1"/>
  <c r="K201" i="3"/>
  <c r="C247" i="8"/>
  <c r="L247" i="8" s="1"/>
  <c r="K113" i="3"/>
  <c r="C137" i="8"/>
  <c r="L137" i="8" s="1"/>
  <c r="K121" i="3"/>
  <c r="C147" i="8"/>
  <c r="L147" i="8" s="1"/>
  <c r="K131" i="3"/>
  <c r="C159" i="8"/>
  <c r="L159" i="8" s="1"/>
  <c r="K139" i="3"/>
  <c r="C169" i="8"/>
  <c r="L169" i="8" s="1"/>
  <c r="K149" i="3"/>
  <c r="C183" i="8"/>
  <c r="L183" i="8" s="1"/>
  <c r="K62" i="3"/>
  <c r="C74" i="8"/>
  <c r="L74" i="8" s="1"/>
  <c r="K178" i="3"/>
  <c r="C218" i="8"/>
  <c r="L218" i="8" s="1"/>
  <c r="K134" i="3"/>
  <c r="C164" i="8"/>
  <c r="L164" i="8" s="1"/>
  <c r="H9" i="10"/>
  <c r="Q11" i="10" s="1"/>
  <c r="K187" i="3"/>
  <c r="C229" i="8"/>
  <c r="L229" i="8" s="1"/>
  <c r="K145" i="3"/>
  <c r="C177" i="8"/>
  <c r="L177" i="8" s="1"/>
  <c r="K198" i="3"/>
  <c r="C242" i="8"/>
  <c r="L242" i="8" s="1"/>
  <c r="K146" i="3"/>
  <c r="C178" i="8"/>
  <c r="L178" i="8" s="1"/>
  <c r="K60" i="3"/>
  <c r="C72" i="8"/>
  <c r="L72" i="8" s="1"/>
  <c r="K68" i="3"/>
  <c r="C82" i="8"/>
  <c r="L82" i="8" s="1"/>
  <c r="K78" i="3"/>
  <c r="C94" i="8"/>
  <c r="L94" i="8" s="1"/>
  <c r="K86" i="3"/>
  <c r="C104" i="8"/>
  <c r="L104" i="8" s="1"/>
  <c r="K166" i="3"/>
  <c r="C202" i="8"/>
  <c r="L202" i="8" s="1"/>
  <c r="K176" i="3"/>
  <c r="C216" i="8"/>
  <c r="L216" i="8" s="1"/>
  <c r="K184" i="3"/>
  <c r="C226" i="8"/>
  <c r="L226" i="8" s="1"/>
  <c r="K194" i="3"/>
  <c r="C238" i="8"/>
  <c r="L238" i="8" s="1"/>
  <c r="K202" i="3"/>
  <c r="C248" i="8"/>
  <c r="L248" i="8" s="1"/>
  <c r="K114" i="3"/>
  <c r="C138" i="8"/>
  <c r="L138" i="8" s="1"/>
  <c r="K122" i="3"/>
  <c r="C148" i="8"/>
  <c r="L148" i="8" s="1"/>
  <c r="K132" i="3"/>
  <c r="C160" i="8"/>
  <c r="L160" i="8" s="1"/>
  <c r="K142" i="3"/>
  <c r="C174" i="8"/>
  <c r="L174" i="8" s="1"/>
  <c r="K150" i="3"/>
  <c r="C184" i="8"/>
  <c r="L184" i="8" s="1"/>
  <c r="H10" i="10"/>
  <c r="S11" i="10" s="1"/>
  <c r="K196" i="3"/>
  <c r="C240" i="8"/>
  <c r="L240" i="8" s="1"/>
  <c r="K144" i="3"/>
  <c r="C176" i="8"/>
  <c r="L176" i="8" s="1"/>
  <c r="K81" i="3"/>
  <c r="C97" i="8"/>
  <c r="L97" i="8" s="1"/>
  <c r="K161" i="3"/>
  <c r="C197" i="8"/>
  <c r="L197" i="8" s="1"/>
  <c r="K205" i="3"/>
  <c r="C251" i="8"/>
  <c r="L251" i="8" s="1"/>
  <c r="K153" i="3"/>
  <c r="C187" i="8"/>
  <c r="L187" i="8" s="1"/>
  <c r="H6" i="10"/>
  <c r="Q5" i="10" s="1"/>
  <c r="K82" i="3"/>
  <c r="C98" i="8"/>
  <c r="L98" i="8" s="1"/>
  <c r="K180" i="3"/>
  <c r="C220" i="8"/>
  <c r="L220" i="8" s="1"/>
  <c r="K118" i="3"/>
  <c r="C144" i="8"/>
  <c r="L144" i="8" s="1"/>
  <c r="K136" i="3"/>
  <c r="C166" i="8"/>
  <c r="L166" i="8" s="1"/>
  <c r="K61" i="3"/>
  <c r="C73" i="8"/>
  <c r="L73" i="8" s="1"/>
  <c r="K69" i="3"/>
  <c r="C83" i="8"/>
  <c r="L83" i="8" s="1"/>
  <c r="K79" i="3"/>
  <c r="C95" i="8"/>
  <c r="L95" i="8" s="1"/>
  <c r="K87" i="3"/>
  <c r="C105" i="8"/>
  <c r="L105" i="8" s="1"/>
  <c r="K167" i="3"/>
  <c r="C205" i="8"/>
  <c r="L205" i="8" s="1"/>
  <c r="K177" i="3"/>
  <c r="C217" i="8"/>
  <c r="L217" i="8" s="1"/>
  <c r="K185" i="3"/>
  <c r="C227" i="8"/>
  <c r="L227" i="8" s="1"/>
  <c r="K195" i="3"/>
  <c r="C239" i="8"/>
  <c r="L239" i="8" s="1"/>
  <c r="K203" i="3"/>
  <c r="K115" i="3"/>
  <c r="C139" i="8"/>
  <c r="L139" i="8" s="1"/>
  <c r="K133" i="3"/>
  <c r="C163" i="8"/>
  <c r="L163" i="8" s="1"/>
  <c r="K143" i="3"/>
  <c r="C175" i="8"/>
  <c r="L175" i="8" s="1"/>
  <c r="K151" i="3"/>
  <c r="C185" i="8"/>
  <c r="L185" i="8" s="1"/>
  <c r="D182" i="8"/>
  <c r="I9" i="10"/>
  <c r="I10" i="10"/>
  <c r="S120" i="8"/>
  <c r="D120" i="8"/>
  <c r="Y120" i="8"/>
  <c r="I23" i="10"/>
  <c r="P38" i="4"/>
  <c r="K50" i="12"/>
  <c r="N42" i="4"/>
  <c r="K58" i="12"/>
  <c r="P46" i="4"/>
  <c r="K64" i="12"/>
  <c r="N50" i="4"/>
  <c r="K70" i="12"/>
  <c r="H18" i="12"/>
  <c r="H17" i="12"/>
  <c r="H40" i="12"/>
  <c r="P69" i="4"/>
  <c r="K101" i="12"/>
  <c r="K207" i="12"/>
  <c r="L167" i="12"/>
  <c r="L166" i="12"/>
  <c r="K131" i="12"/>
  <c r="L196" i="12"/>
  <c r="N122" i="4"/>
  <c r="K182" i="12"/>
  <c r="K136" i="12"/>
  <c r="L91" i="12"/>
  <c r="K163" i="12"/>
  <c r="K148" i="12"/>
  <c r="L105" i="12"/>
  <c r="L182" i="12"/>
  <c r="L86" i="12"/>
  <c r="M126" i="4"/>
  <c r="L190" i="12"/>
  <c r="L85" i="12"/>
  <c r="N94" i="4"/>
  <c r="K140" i="12"/>
  <c r="K116" i="12"/>
  <c r="Q49" i="12"/>
  <c r="R49" i="12" s="1"/>
  <c r="Q105" i="12"/>
  <c r="R105" i="12" s="1"/>
  <c r="Q202" i="12"/>
  <c r="R202" i="12" s="1"/>
  <c r="Q63" i="12"/>
  <c r="R63" i="12" s="1"/>
  <c r="Q166" i="12"/>
  <c r="R166" i="12" s="1"/>
  <c r="Q206" i="12"/>
  <c r="R206" i="12" s="1"/>
  <c r="Q201" i="12"/>
  <c r="R201" i="12" s="1"/>
  <c r="Q55" i="12"/>
  <c r="R55" i="12" s="1"/>
  <c r="Q139" i="12"/>
  <c r="R139" i="12" s="1"/>
  <c r="Q163" i="12"/>
  <c r="R163" i="12" s="1"/>
  <c r="Q70" i="12"/>
  <c r="R70" i="12" s="1"/>
  <c r="I155" i="12"/>
  <c r="I154" i="12"/>
  <c r="H118" i="12"/>
  <c r="H117" i="12"/>
  <c r="J51" i="12"/>
  <c r="J52" i="12"/>
  <c r="I128" i="12"/>
  <c r="I127" i="12"/>
  <c r="H128" i="12"/>
  <c r="H127" i="12"/>
  <c r="I72" i="12"/>
  <c r="I71" i="12"/>
  <c r="J199" i="12"/>
  <c r="J198" i="12"/>
  <c r="I94" i="12"/>
  <c r="I93" i="12"/>
  <c r="H57" i="12"/>
  <c r="H56" i="12"/>
  <c r="J118" i="12"/>
  <c r="J117" i="12"/>
  <c r="I160" i="12"/>
  <c r="I159" i="12"/>
  <c r="I142" i="12"/>
  <c r="I143" i="12"/>
  <c r="H204" i="12"/>
  <c r="H203" i="12"/>
  <c r="Q92" i="12"/>
  <c r="R92" i="12" s="1"/>
  <c r="J123" i="12"/>
  <c r="J122" i="12"/>
  <c r="J183" i="12"/>
  <c r="J184" i="12"/>
  <c r="J76" i="12"/>
  <c r="J77" i="12"/>
  <c r="I76" i="12"/>
  <c r="I77" i="12"/>
  <c r="I123" i="12"/>
  <c r="I122" i="12"/>
  <c r="L50" i="12"/>
  <c r="L58" i="12"/>
  <c r="L64" i="12"/>
  <c r="L70" i="12"/>
  <c r="I18" i="12"/>
  <c r="I17" i="12"/>
  <c r="H23" i="12"/>
  <c r="I40" i="12"/>
  <c r="P65" i="4"/>
  <c r="K95" i="12"/>
  <c r="K201" i="12"/>
  <c r="L161" i="12"/>
  <c r="L158" i="12"/>
  <c r="K125" i="12"/>
  <c r="L191" i="12"/>
  <c r="P124" i="4"/>
  <c r="K186" i="12"/>
  <c r="L134" i="12"/>
  <c r="P59" i="4"/>
  <c r="K85" i="12"/>
  <c r="K146" i="12"/>
  <c r="K135" i="12"/>
  <c r="L101" i="12"/>
  <c r="L107" i="12"/>
  <c r="N64" i="4"/>
  <c r="K92" i="12"/>
  <c r="P131" i="4"/>
  <c r="K197" i="12"/>
  <c r="K153" i="12"/>
  <c r="K168" i="12"/>
  <c r="Q200" i="12"/>
  <c r="R200" i="12" s="1"/>
  <c r="Q140" i="12"/>
  <c r="R140" i="12" s="1"/>
  <c r="Q168" i="12"/>
  <c r="R168" i="12" s="1"/>
  <c r="Q190" i="12"/>
  <c r="R190" i="12" s="1"/>
  <c r="Q171" i="12"/>
  <c r="R171" i="12" s="1"/>
  <c r="K166" i="12"/>
  <c r="Q192" i="12"/>
  <c r="R192" i="12" s="1"/>
  <c r="Q68" i="12"/>
  <c r="R68" i="12" s="1"/>
  <c r="Q141" i="12"/>
  <c r="R141" i="12" s="1"/>
  <c r="R142" i="12" s="1"/>
  <c r="Q181" i="12"/>
  <c r="R181" i="12" s="1"/>
  <c r="Q151" i="12"/>
  <c r="R151" i="12" s="1"/>
  <c r="Q58" i="12"/>
  <c r="R58" i="12" s="1"/>
  <c r="J71" i="12"/>
  <c r="J72" i="12"/>
  <c r="H165" i="12"/>
  <c r="H164" i="12"/>
  <c r="J132" i="12"/>
  <c r="J133" i="12"/>
  <c r="I194" i="12"/>
  <c r="I193" i="12"/>
  <c r="Q106" i="12"/>
  <c r="R106" i="12" s="1"/>
  <c r="J18" i="12"/>
  <c r="J17" i="12"/>
  <c r="P129" i="4"/>
  <c r="K195" i="12"/>
  <c r="L152" i="12"/>
  <c r="L205" i="12"/>
  <c r="L140" i="12"/>
  <c r="L92" i="12"/>
  <c r="K156" i="12"/>
  <c r="Q114" i="12"/>
  <c r="R114" i="12" s="1"/>
  <c r="Q152" i="12"/>
  <c r="R152" i="12" s="1"/>
  <c r="Q129" i="12"/>
  <c r="R129" i="12" s="1"/>
  <c r="Q125" i="12"/>
  <c r="R125" i="12" s="1"/>
  <c r="I209" i="12"/>
  <c r="I208" i="12"/>
  <c r="H103" i="12"/>
  <c r="H104" i="12"/>
  <c r="H66" i="12"/>
  <c r="H67" i="12"/>
  <c r="I104" i="12"/>
  <c r="I103" i="12"/>
  <c r="H154" i="12"/>
  <c r="H155" i="12"/>
  <c r="J88" i="12"/>
  <c r="J89" i="12"/>
  <c r="I51" i="12"/>
  <c r="I52" i="12"/>
  <c r="H108" i="12"/>
  <c r="H109" i="12"/>
  <c r="L59" i="12"/>
  <c r="J22" i="12"/>
  <c r="J23" i="12"/>
  <c r="P125" i="4"/>
  <c r="K187" i="12"/>
  <c r="L180" i="12"/>
  <c r="P60" i="4"/>
  <c r="K86" i="12"/>
  <c r="L192" i="12"/>
  <c r="Q167" i="12"/>
  <c r="R167" i="12" s="1"/>
  <c r="Q115" i="12"/>
  <c r="R115" i="12" s="1"/>
  <c r="Q75" i="12"/>
  <c r="R75" i="12" s="1"/>
  <c r="Q121" i="12"/>
  <c r="R121" i="12" s="1"/>
  <c r="P36" i="4"/>
  <c r="K48" i="12"/>
  <c r="P40" i="4"/>
  <c r="K54" i="12"/>
  <c r="P44" i="4"/>
  <c r="K60" i="12"/>
  <c r="P48" i="4"/>
  <c r="K68" i="12"/>
  <c r="P52" i="4"/>
  <c r="K74" i="12"/>
  <c r="J27" i="12"/>
  <c r="J28" i="12"/>
  <c r="I33" i="12"/>
  <c r="I32" i="12"/>
  <c r="H38" i="12"/>
  <c r="H37" i="12"/>
  <c r="I41" i="12"/>
  <c r="P82" i="12"/>
  <c r="P121" i="4"/>
  <c r="K181" i="12"/>
  <c r="L139" i="12"/>
  <c r="K173" i="12"/>
  <c r="L136" i="12"/>
  <c r="P130" i="4"/>
  <c r="K196" i="12"/>
  <c r="L207" i="12"/>
  <c r="L202" i="12"/>
  <c r="L163" i="12"/>
  <c r="K114" i="12"/>
  <c r="K141" i="12"/>
  <c r="K158" i="12"/>
  <c r="L90" i="12"/>
  <c r="P67" i="4"/>
  <c r="K97" i="12"/>
  <c r="L120" i="12"/>
  <c r="L100" i="12"/>
  <c r="L151" i="12"/>
  <c r="Q65" i="12"/>
  <c r="R65" i="12" s="1"/>
  <c r="Q153" i="12"/>
  <c r="R153" i="12" s="1"/>
  <c r="Q162" i="12"/>
  <c r="R162" i="12" s="1"/>
  <c r="Q91" i="12"/>
  <c r="R91" i="12" s="1"/>
  <c r="K115" i="12"/>
  <c r="Q136" i="12"/>
  <c r="R136" i="12" s="1"/>
  <c r="Q82" i="12"/>
  <c r="R82" i="12" s="1"/>
  <c r="Q172" i="12"/>
  <c r="R172" i="12" s="1"/>
  <c r="Q197" i="12"/>
  <c r="R197" i="12" s="1"/>
  <c r="Q81" i="12"/>
  <c r="R81" i="12" s="1"/>
  <c r="Q205" i="12"/>
  <c r="R205" i="12" s="1"/>
  <c r="Q97" i="12"/>
  <c r="R97" i="12" s="1"/>
  <c r="J203" i="12"/>
  <c r="J204" i="12"/>
  <c r="I99" i="12"/>
  <c r="I98" i="12"/>
  <c r="I62" i="12"/>
  <c r="I61" i="12"/>
  <c r="H188" i="12"/>
  <c r="H189" i="12"/>
  <c r="I108" i="12"/>
  <c r="I109" i="12"/>
  <c r="I150" i="12"/>
  <c r="I149" i="12"/>
  <c r="H208" i="12"/>
  <c r="H209" i="12"/>
  <c r="J164" i="12"/>
  <c r="J165" i="12"/>
  <c r="J193" i="12"/>
  <c r="J194" i="12"/>
  <c r="Q69" i="12"/>
  <c r="R69" i="12" s="1"/>
  <c r="J155" i="12"/>
  <c r="J154" i="12"/>
  <c r="J169" i="12"/>
  <c r="J170" i="12"/>
  <c r="I132" i="12"/>
  <c r="I133" i="12"/>
  <c r="H194" i="12"/>
  <c r="H193" i="12"/>
  <c r="H174" i="12"/>
  <c r="H175" i="12"/>
  <c r="H169" i="12"/>
  <c r="H170" i="12"/>
  <c r="J103" i="12"/>
  <c r="J104" i="12"/>
  <c r="N47" i="4"/>
  <c r="K65" i="12"/>
  <c r="H28" i="12"/>
  <c r="H27" i="12"/>
  <c r="J40" i="12"/>
  <c r="P123" i="4"/>
  <c r="K185" i="12"/>
  <c r="P71" i="4"/>
  <c r="K105" i="12"/>
  <c r="Q186" i="12"/>
  <c r="R186" i="12" s="1"/>
  <c r="Q180" i="12"/>
  <c r="R180" i="12" s="1"/>
  <c r="I199" i="12"/>
  <c r="I198" i="12"/>
  <c r="I165" i="12"/>
  <c r="I164" i="12"/>
  <c r="I174" i="12"/>
  <c r="I175" i="12"/>
  <c r="H137" i="12"/>
  <c r="H138" i="12"/>
  <c r="L124" i="12"/>
  <c r="L168" i="12"/>
  <c r="K96" i="12"/>
  <c r="Q158" i="12"/>
  <c r="R158" i="12" s="1"/>
  <c r="Q147" i="12"/>
  <c r="R147" i="12" s="1"/>
  <c r="Q60" i="12"/>
  <c r="R60" i="12" s="1"/>
  <c r="L48" i="12"/>
  <c r="L54" i="12"/>
  <c r="L60" i="12"/>
  <c r="L68" i="12"/>
  <c r="L74" i="12"/>
  <c r="J33" i="12"/>
  <c r="J32" i="12"/>
  <c r="I37" i="12"/>
  <c r="I38" i="12"/>
  <c r="H39" i="12"/>
  <c r="J41" i="12"/>
  <c r="N100" i="12"/>
  <c r="L116" i="12"/>
  <c r="L131" i="12"/>
  <c r="K161" i="12"/>
  <c r="L130" i="12"/>
  <c r="L197" i="12"/>
  <c r="L181" i="12"/>
  <c r="L106" i="12"/>
  <c r="K157" i="12"/>
  <c r="L97" i="12"/>
  <c r="L148" i="12"/>
  <c r="L156" i="12"/>
  <c r="L81" i="12"/>
  <c r="P68" i="4"/>
  <c r="K100" i="12"/>
  <c r="L162" i="12"/>
  <c r="K126" i="12"/>
  <c r="Q130" i="12"/>
  <c r="R130" i="12" s="1"/>
  <c r="Q161" i="12"/>
  <c r="R161" i="12" s="1"/>
  <c r="Q195" i="12"/>
  <c r="R195" i="12" s="1"/>
  <c r="Q148" i="12"/>
  <c r="R148" i="12" s="1"/>
  <c r="K151" i="12"/>
  <c r="Q64" i="12"/>
  <c r="R64" i="12" s="1"/>
  <c r="Q124" i="12"/>
  <c r="R124" i="12" s="1"/>
  <c r="Q73" i="12"/>
  <c r="R73" i="12" s="1"/>
  <c r="Q146" i="12"/>
  <c r="R146" i="12" s="1"/>
  <c r="Q185" i="12"/>
  <c r="R185" i="12" s="1"/>
  <c r="Q53" i="12"/>
  <c r="R53" i="12" s="1"/>
  <c r="Q191" i="12"/>
  <c r="R191" i="12" s="1"/>
  <c r="Q74" i="12"/>
  <c r="R74" i="12" s="1"/>
  <c r="I88" i="12"/>
  <c r="I89" i="12"/>
  <c r="H52" i="12"/>
  <c r="H51" i="12"/>
  <c r="I183" i="12"/>
  <c r="I184" i="12"/>
  <c r="J160" i="12"/>
  <c r="J159" i="12"/>
  <c r="I66" i="12"/>
  <c r="I67" i="12"/>
  <c r="H142" i="12"/>
  <c r="H143" i="12"/>
  <c r="I83" i="12"/>
  <c r="I84" i="12"/>
  <c r="Q50" i="12"/>
  <c r="R50" i="12" s="1"/>
  <c r="N39" i="4"/>
  <c r="K53" i="12"/>
  <c r="I22" i="12"/>
  <c r="I23" i="12"/>
  <c r="L153" i="12"/>
  <c r="L129" i="12"/>
  <c r="K90" i="12"/>
  <c r="K205" i="12"/>
  <c r="Q173" i="12"/>
  <c r="R173" i="12" s="1"/>
  <c r="Q207" i="12"/>
  <c r="R207" i="12" s="1"/>
  <c r="L65" i="12"/>
  <c r="H33" i="12"/>
  <c r="H32" i="12"/>
  <c r="P57" i="4"/>
  <c r="K81" i="12"/>
  <c r="L146" i="12"/>
  <c r="K121" i="12"/>
  <c r="K162" i="12"/>
  <c r="K200" i="12"/>
  <c r="K152" i="12"/>
  <c r="H88" i="12"/>
  <c r="H89" i="12"/>
  <c r="P37" i="4"/>
  <c r="K49" i="12"/>
  <c r="P41" i="4"/>
  <c r="K55" i="12"/>
  <c r="N45" i="4"/>
  <c r="K63" i="12"/>
  <c r="P49" i="4"/>
  <c r="K69" i="12"/>
  <c r="P53" i="4"/>
  <c r="K75" i="12"/>
  <c r="J37" i="12"/>
  <c r="J38" i="12"/>
  <c r="I39" i="12"/>
  <c r="P106" i="12"/>
  <c r="L201" i="12"/>
  <c r="L173" i="12"/>
  <c r="L125" i="12"/>
  <c r="K147" i="12"/>
  <c r="L206" i="12"/>
  <c r="P127" i="4"/>
  <c r="K191" i="12"/>
  <c r="K172" i="12"/>
  <c r="P70" i="4"/>
  <c r="K102" i="12"/>
  <c r="K129" i="12"/>
  <c r="L171" i="12"/>
  <c r="L141" i="12"/>
  <c r="K130" i="12"/>
  <c r="K82" i="12"/>
  <c r="N72" i="4"/>
  <c r="K106" i="12"/>
  <c r="L95" i="12"/>
  <c r="L172" i="12"/>
  <c r="L121" i="12"/>
  <c r="Q119" i="12"/>
  <c r="R119" i="12" s="1"/>
  <c r="L195" i="12"/>
  <c r="Q134" i="12"/>
  <c r="R134" i="12" s="1"/>
  <c r="Q182" i="12"/>
  <c r="R182" i="12" s="1"/>
  <c r="Q156" i="12"/>
  <c r="R156" i="12" s="1"/>
  <c r="K124" i="12"/>
  <c r="Q59" i="12"/>
  <c r="R59" i="12" s="1"/>
  <c r="Q102" i="12"/>
  <c r="R102" i="12" s="1"/>
  <c r="Q101" i="12"/>
  <c r="R101" i="12" s="1"/>
  <c r="K134" i="12"/>
  <c r="Q107" i="12"/>
  <c r="R107" i="12" s="1"/>
  <c r="H160" i="12"/>
  <c r="H159" i="12"/>
  <c r="J93" i="12"/>
  <c r="J94" i="12"/>
  <c r="I57" i="12"/>
  <c r="I56" i="12"/>
  <c r="H122" i="12"/>
  <c r="H123" i="12"/>
  <c r="J57" i="12"/>
  <c r="J56" i="12"/>
  <c r="J143" i="12"/>
  <c r="J142" i="12"/>
  <c r="I204" i="12"/>
  <c r="I203" i="12"/>
  <c r="H99" i="12"/>
  <c r="H98" i="12"/>
  <c r="H61" i="12"/>
  <c r="H62" i="12"/>
  <c r="H132" i="12"/>
  <c r="H133" i="12"/>
  <c r="J98" i="12"/>
  <c r="J99" i="12"/>
  <c r="H150" i="12"/>
  <c r="H149" i="12"/>
  <c r="L102" i="12"/>
  <c r="H77" i="12"/>
  <c r="H76" i="12"/>
  <c r="H71" i="12"/>
  <c r="H72" i="12"/>
  <c r="J128" i="12"/>
  <c r="J127" i="12"/>
  <c r="I189" i="12"/>
  <c r="I188" i="12"/>
  <c r="H83" i="12"/>
  <c r="H84" i="12"/>
  <c r="J109" i="12"/>
  <c r="J108" i="12"/>
  <c r="I118" i="12"/>
  <c r="I117" i="12"/>
  <c r="J61" i="12"/>
  <c r="J62" i="12"/>
  <c r="K59" i="12"/>
  <c r="K73" i="12"/>
  <c r="P61" i="4"/>
  <c r="K87" i="12"/>
  <c r="K119" i="12"/>
  <c r="L80" i="12"/>
  <c r="L114" i="12"/>
  <c r="L185" i="12"/>
  <c r="Q196" i="12"/>
  <c r="R196" i="12" s="1"/>
  <c r="Q157" i="12"/>
  <c r="R157" i="12" s="1"/>
  <c r="R160" i="12" s="1"/>
  <c r="Q100" i="12"/>
  <c r="R100" i="12" s="1"/>
  <c r="Q135" i="12"/>
  <c r="R135" i="12" s="1"/>
  <c r="J149" i="12"/>
  <c r="J150" i="12"/>
  <c r="J137" i="12"/>
  <c r="J138" i="12"/>
  <c r="L53" i="12"/>
  <c r="L73" i="12"/>
  <c r="I28" i="12"/>
  <c r="I27" i="12"/>
  <c r="H41" i="12"/>
  <c r="L147" i="12"/>
  <c r="K192" i="12"/>
  <c r="L135" i="12"/>
  <c r="P63" i="4"/>
  <c r="K91" i="12"/>
  <c r="Q90" i="12"/>
  <c r="R90" i="12" s="1"/>
  <c r="K171" i="12"/>
  <c r="Q96" i="12"/>
  <c r="R96" i="12" s="1"/>
  <c r="K206" i="12"/>
  <c r="N126" i="4"/>
  <c r="K190" i="12"/>
  <c r="H94" i="12"/>
  <c r="H93" i="12"/>
  <c r="H183" i="12"/>
  <c r="H184" i="12"/>
  <c r="J189" i="12"/>
  <c r="J188" i="12"/>
  <c r="L49" i="12"/>
  <c r="L55" i="12"/>
  <c r="L63" i="12"/>
  <c r="L69" i="12"/>
  <c r="L75" i="12"/>
  <c r="J39" i="12"/>
  <c r="P73" i="4"/>
  <c r="K107" i="12"/>
  <c r="L187" i="12"/>
  <c r="P113" i="4"/>
  <c r="L119" i="12"/>
  <c r="K139" i="12"/>
  <c r="K202" i="12"/>
  <c r="L186" i="12"/>
  <c r="L157" i="12"/>
  <c r="L96" i="12"/>
  <c r="P56" i="4"/>
  <c r="K80" i="12"/>
  <c r="K167" i="12"/>
  <c r="K120" i="12"/>
  <c r="L126" i="12"/>
  <c r="L82" i="12"/>
  <c r="N120" i="4"/>
  <c r="K180" i="12"/>
  <c r="L87" i="12"/>
  <c r="L200" i="12"/>
  <c r="Q116" i="12"/>
  <c r="R116" i="12" s="1"/>
  <c r="Q187" i="12"/>
  <c r="R187" i="12" s="1"/>
  <c r="Q131" i="12"/>
  <c r="R131" i="12" s="1"/>
  <c r="Q120" i="12"/>
  <c r="R120" i="12" s="1"/>
  <c r="Q86" i="12"/>
  <c r="R86" i="12" s="1"/>
  <c r="Q126" i="12"/>
  <c r="R126" i="12" s="1"/>
  <c r="L115" i="12"/>
  <c r="Q54" i="12"/>
  <c r="R54" i="12" s="1"/>
  <c r="Q48" i="12"/>
  <c r="R48" i="12" s="1"/>
  <c r="Q87" i="12"/>
  <c r="R87" i="12" s="1"/>
  <c r="Q85" i="12"/>
  <c r="R85" i="12" s="1"/>
  <c r="Q95" i="12"/>
  <c r="R95" i="12" s="1"/>
  <c r="J83" i="12"/>
  <c r="J84" i="12"/>
  <c r="I169" i="12"/>
  <c r="I170" i="12"/>
  <c r="J66" i="12"/>
  <c r="J67" i="12"/>
  <c r="J209" i="12"/>
  <c r="J208" i="12"/>
  <c r="J174" i="12"/>
  <c r="J175" i="12"/>
  <c r="I138" i="12"/>
  <c r="I137" i="12"/>
  <c r="H198" i="12"/>
  <c r="H199" i="12"/>
  <c r="Q80" i="12"/>
  <c r="R80" i="12" s="1"/>
  <c r="P137" i="4"/>
  <c r="N136" i="4"/>
  <c r="P135" i="4"/>
  <c r="P134" i="4"/>
  <c r="P133" i="4"/>
  <c r="N132" i="4"/>
  <c r="N115" i="4"/>
  <c r="P114" i="4"/>
  <c r="N113" i="4"/>
  <c r="P112" i="4"/>
  <c r="N111" i="4"/>
  <c r="P111" i="4"/>
  <c r="N110" i="4"/>
  <c r="P110" i="4"/>
  <c r="P109" i="4"/>
  <c r="P108" i="4"/>
  <c r="N106" i="4"/>
  <c r="N105" i="4"/>
  <c r="P104" i="4"/>
  <c r="P103" i="4"/>
  <c r="P102" i="4"/>
  <c r="N101" i="4"/>
  <c r="P100" i="4"/>
  <c r="N98" i="4"/>
  <c r="P98" i="4"/>
  <c r="P95" i="4"/>
  <c r="P94" i="4"/>
  <c r="N93" i="4"/>
  <c r="P92" i="4"/>
  <c r="N91" i="4"/>
  <c r="P90" i="4"/>
  <c r="N90" i="4"/>
  <c r="N88" i="4"/>
  <c r="P88" i="4"/>
  <c r="N87" i="4"/>
  <c r="P87" i="4"/>
  <c r="P86" i="4"/>
  <c r="N85" i="4"/>
  <c r="N84" i="4"/>
  <c r="N83" i="4"/>
  <c r="P82" i="4"/>
  <c r="N80" i="4"/>
  <c r="P79" i="4"/>
  <c r="P78" i="4"/>
  <c r="R66" i="4"/>
  <c r="R61" i="4"/>
  <c r="O79" i="4"/>
  <c r="R105" i="4"/>
  <c r="R44" i="4"/>
  <c r="R48" i="4"/>
  <c r="R52" i="4"/>
  <c r="P126" i="4"/>
  <c r="P91" i="4"/>
  <c r="R63" i="4"/>
  <c r="O126" i="4"/>
  <c r="R85" i="4"/>
  <c r="R126" i="4"/>
  <c r="R81" i="4"/>
  <c r="N102" i="4"/>
  <c r="N67" i="4"/>
  <c r="R123" i="4"/>
  <c r="R100" i="4"/>
  <c r="R98" i="4"/>
  <c r="Q15" i="4"/>
  <c r="Q15" i="12" s="1"/>
  <c r="R15" i="12" s="1"/>
  <c r="P106" i="4"/>
  <c r="R64" i="4"/>
  <c r="R40" i="4"/>
  <c r="R107" i="4"/>
  <c r="N112" i="4"/>
  <c r="R127" i="4"/>
  <c r="N108" i="4"/>
  <c r="R36" i="4"/>
  <c r="R87" i="4"/>
  <c r="R108" i="4"/>
  <c r="K27" i="4"/>
  <c r="K35" i="12" s="1"/>
  <c r="Q30" i="4"/>
  <c r="P136" i="4"/>
  <c r="N135" i="4"/>
  <c r="N104" i="4"/>
  <c r="P84" i="4"/>
  <c r="O58" i="4"/>
  <c r="R65" i="4"/>
  <c r="R114" i="4"/>
  <c r="R83" i="4"/>
  <c r="R129" i="4"/>
  <c r="P122" i="4"/>
  <c r="R132" i="4"/>
  <c r="R70" i="4"/>
  <c r="R125" i="4"/>
  <c r="R89" i="4"/>
  <c r="R92" i="4"/>
  <c r="N114" i="4"/>
  <c r="O83" i="4"/>
  <c r="R69" i="4"/>
  <c r="R45" i="4"/>
  <c r="N58" i="4"/>
  <c r="M91" i="4"/>
  <c r="R91" i="4"/>
  <c r="R58" i="4"/>
  <c r="M88" i="4"/>
  <c r="R88" i="4"/>
  <c r="M79" i="4"/>
  <c r="R73" i="4"/>
  <c r="R60" i="4"/>
  <c r="R38" i="4"/>
  <c r="R42" i="4"/>
  <c r="R46" i="4"/>
  <c r="R50" i="4"/>
  <c r="P120" i="4"/>
  <c r="M103" i="4"/>
  <c r="R103" i="4"/>
  <c r="N79" i="4"/>
  <c r="M135" i="4"/>
  <c r="R135" i="4"/>
  <c r="R56" i="4"/>
  <c r="M67" i="4"/>
  <c r="R67" i="4"/>
  <c r="R59" i="4"/>
  <c r="R79" i="4"/>
  <c r="M124" i="4"/>
  <c r="R124" i="4"/>
  <c r="M94" i="4"/>
  <c r="R94" i="4"/>
  <c r="R37" i="4"/>
  <c r="R53" i="4"/>
  <c r="M130" i="4"/>
  <c r="R130" i="4"/>
  <c r="O120" i="4"/>
  <c r="P101" i="4"/>
  <c r="M112" i="4"/>
  <c r="R112" i="4"/>
  <c r="M113" i="4"/>
  <c r="R113" i="4"/>
  <c r="R39" i="4"/>
  <c r="R43" i="4"/>
  <c r="R47" i="4"/>
  <c r="R51" i="4"/>
  <c r="N137" i="4"/>
  <c r="N124" i="4"/>
  <c r="P80" i="4"/>
  <c r="M99" i="4"/>
  <c r="R99" i="4"/>
  <c r="M106" i="4"/>
  <c r="R106" i="4"/>
  <c r="O114" i="4"/>
  <c r="R137" i="4"/>
  <c r="R134" i="4"/>
  <c r="M109" i="4"/>
  <c r="R109" i="4"/>
  <c r="N103" i="4"/>
  <c r="M95" i="4"/>
  <c r="R95" i="4"/>
  <c r="O104" i="4"/>
  <c r="R104" i="4"/>
  <c r="R62" i="4"/>
  <c r="R128" i="4"/>
  <c r="M86" i="4"/>
  <c r="R86" i="4"/>
  <c r="R41" i="4"/>
  <c r="Q24" i="4"/>
  <c r="Q30" i="12" s="1"/>
  <c r="R30" i="12" s="1"/>
  <c r="M111" i="4"/>
  <c r="R111" i="4"/>
  <c r="R122" i="4"/>
  <c r="M110" i="4"/>
  <c r="R110" i="4"/>
  <c r="N86" i="4"/>
  <c r="M80" i="4"/>
  <c r="R80" i="4"/>
  <c r="M93" i="4"/>
  <c r="R93" i="4"/>
  <c r="M102" i="4"/>
  <c r="R102" i="4"/>
  <c r="M131" i="4"/>
  <c r="R131" i="4"/>
  <c r="R121" i="4"/>
  <c r="O72" i="4"/>
  <c r="R72" i="4"/>
  <c r="O101" i="4"/>
  <c r="M101" i="4"/>
  <c r="R57" i="4"/>
  <c r="R82" i="4"/>
  <c r="M84" i="4"/>
  <c r="R84" i="4"/>
  <c r="R49" i="4"/>
  <c r="M78" i="4"/>
  <c r="R78" i="4"/>
  <c r="M90" i="4"/>
  <c r="R90" i="4"/>
  <c r="M120" i="4"/>
  <c r="R120" i="4"/>
  <c r="N59" i="4"/>
  <c r="R133" i="4"/>
  <c r="N131" i="4"/>
  <c r="M115" i="4"/>
  <c r="R115" i="4"/>
  <c r="M136" i="4"/>
  <c r="R136" i="4"/>
  <c r="R71" i="4"/>
  <c r="R68" i="4"/>
  <c r="R101" i="4"/>
  <c r="M83" i="4"/>
  <c r="M132" i="4"/>
  <c r="O132" i="4"/>
  <c r="M87" i="4"/>
  <c r="L14" i="12"/>
  <c r="Q14" i="4"/>
  <c r="Q14" i="12" s="1"/>
  <c r="R14" i="12" s="1"/>
  <c r="P132" i="4"/>
  <c r="M89" i="4"/>
  <c r="M58" i="4"/>
  <c r="O66" i="4"/>
  <c r="M56" i="4"/>
  <c r="Q26" i="4"/>
  <c r="Q34" i="12" s="1"/>
  <c r="R34" i="12" s="1"/>
  <c r="O59" i="4"/>
  <c r="P83" i="4"/>
  <c r="O108" i="4"/>
  <c r="M134" i="4"/>
  <c r="M64" i="4"/>
  <c r="O92" i="4"/>
  <c r="O86" i="4"/>
  <c r="O98" i="4"/>
  <c r="O112" i="4"/>
  <c r="O113" i="4"/>
  <c r="O88" i="4"/>
  <c r="O95" i="4"/>
  <c r="O87" i="4"/>
  <c r="O84" i="4"/>
  <c r="O94" i="4"/>
  <c r="O136" i="4"/>
  <c r="M128" i="4"/>
  <c r="N130" i="4"/>
  <c r="M127" i="4"/>
  <c r="O123" i="4"/>
  <c r="M122" i="4"/>
  <c r="O122" i="4"/>
  <c r="O69" i="4"/>
  <c r="M68" i="4"/>
  <c r="O68" i="4"/>
  <c r="P66" i="4"/>
  <c r="N66" i="4"/>
  <c r="O63" i="4"/>
  <c r="M63" i="4"/>
  <c r="N63" i="4"/>
  <c r="P64" i="4"/>
  <c r="O64" i="4"/>
  <c r="O62" i="4"/>
  <c r="P62" i="4"/>
  <c r="M45" i="4"/>
  <c r="M42" i="4"/>
  <c r="N56" i="4"/>
  <c r="O56" i="4"/>
  <c r="K123" i="3"/>
  <c r="C127" i="8"/>
  <c r="L127" i="8" s="1"/>
  <c r="K105" i="3"/>
  <c r="Y105" i="3" s="1"/>
  <c r="K98" i="3"/>
  <c r="Y98" i="3" s="1"/>
  <c r="C118" i="8"/>
  <c r="L118" i="8" s="1"/>
  <c r="K104" i="3"/>
  <c r="Y104" i="3" s="1"/>
  <c r="C126" i="8"/>
  <c r="L126" i="8" s="1"/>
  <c r="C117" i="8"/>
  <c r="L117" i="8" s="1"/>
  <c r="K97" i="3"/>
  <c r="Y97" i="3" s="1"/>
  <c r="C121" i="8"/>
  <c r="L121" i="8" s="1"/>
  <c r="K99" i="3"/>
  <c r="Y99" i="3" s="1"/>
  <c r="K92" i="3"/>
  <c r="Y92" i="3" s="1"/>
  <c r="C112" i="8"/>
  <c r="L112" i="8" s="1"/>
  <c r="C122" i="8"/>
  <c r="L122" i="8" s="1"/>
  <c r="K100" i="3"/>
  <c r="Y100" i="3" s="1"/>
  <c r="K96" i="3"/>
  <c r="Y96" i="3" s="1"/>
  <c r="C116" i="8"/>
  <c r="L116" i="8" s="1"/>
  <c r="C113" i="8"/>
  <c r="L113" i="8" s="1"/>
  <c r="K93" i="3"/>
  <c r="Y93" i="3" s="1"/>
  <c r="C123" i="8"/>
  <c r="L123" i="8" s="1"/>
  <c r="K101" i="3"/>
  <c r="Y101" i="3" s="1"/>
  <c r="K94" i="3"/>
  <c r="Y94" i="3" s="1"/>
  <c r="C114" i="8"/>
  <c r="L114" i="8" s="1"/>
  <c r="K102" i="3"/>
  <c r="Y102" i="3" s="1"/>
  <c r="C124" i="8"/>
  <c r="L124" i="8" s="1"/>
  <c r="C115" i="8"/>
  <c r="L115" i="8" s="1"/>
  <c r="K95" i="3"/>
  <c r="Y95" i="3" s="1"/>
  <c r="C125" i="8"/>
  <c r="L125" i="8" s="1"/>
  <c r="K103" i="3"/>
  <c r="Y103" i="3" s="1"/>
  <c r="M47" i="4"/>
  <c r="P47" i="4"/>
  <c r="N71" i="4"/>
  <c r="M72" i="4"/>
  <c r="N62" i="4"/>
  <c r="N134" i="4"/>
  <c r="N100" i="4"/>
  <c r="P105" i="4"/>
  <c r="O82" i="4"/>
  <c r="N92" i="4"/>
  <c r="O90" i="4"/>
  <c r="M70" i="4"/>
  <c r="O100" i="4"/>
  <c r="O91" i="4"/>
  <c r="M60" i="4"/>
  <c r="L30" i="4"/>
  <c r="K30" i="4"/>
  <c r="O45" i="4"/>
  <c r="M50" i="4"/>
  <c r="N69" i="4"/>
  <c r="N70" i="4"/>
  <c r="O134" i="4"/>
  <c r="M114" i="4"/>
  <c r="M82" i="4"/>
  <c r="M62" i="4"/>
  <c r="O71" i="4"/>
  <c r="M53" i="4"/>
  <c r="Q31" i="4"/>
  <c r="O70" i="4"/>
  <c r="O60" i="4"/>
  <c r="O130" i="4"/>
  <c r="N128" i="4"/>
  <c r="M98" i="4"/>
  <c r="O78" i="4"/>
  <c r="M108" i="4"/>
  <c r="O109" i="4"/>
  <c r="O67" i="4"/>
  <c r="N60" i="4"/>
  <c r="O137" i="4"/>
  <c r="O128" i="4"/>
  <c r="M92" i="4"/>
  <c r="M104" i="4"/>
  <c r="O105" i="4"/>
  <c r="M44" i="4"/>
  <c r="Q29" i="4"/>
  <c r="M66" i="4"/>
  <c r="N82" i="4"/>
  <c r="N109" i="4"/>
  <c r="M100" i="4"/>
  <c r="M71" i="4"/>
  <c r="N127" i="4"/>
  <c r="M137" i="4"/>
  <c r="N78" i="4"/>
  <c r="O135" i="4"/>
  <c r="M105" i="4"/>
  <c r="M59" i="4"/>
  <c r="O127" i="4"/>
  <c r="M133" i="4"/>
  <c r="M121" i="4"/>
  <c r="O131" i="4"/>
  <c r="P128" i="4"/>
  <c r="N133" i="4"/>
  <c r="N123" i="4"/>
  <c r="M123" i="4"/>
  <c r="P107" i="4"/>
  <c r="O107" i="4"/>
  <c r="M107" i="4"/>
  <c r="M85" i="4"/>
  <c r="P99" i="4"/>
  <c r="O99" i="4"/>
  <c r="O81" i="4"/>
  <c r="P81" i="4"/>
  <c r="N107" i="4"/>
  <c r="N81" i="4"/>
  <c r="O106" i="4"/>
  <c r="O103" i="4"/>
  <c r="M81" i="4"/>
  <c r="P115" i="4"/>
  <c r="O115" i="4"/>
  <c r="P93" i="4"/>
  <c r="O93" i="4"/>
  <c r="O110" i="4"/>
  <c r="N99" i="4"/>
  <c r="P85" i="4"/>
  <c r="O85" i="4"/>
  <c r="O80" i="4"/>
  <c r="O102" i="4"/>
  <c r="O111" i="4"/>
  <c r="O89" i="4"/>
  <c r="P89" i="4"/>
  <c r="N89" i="4"/>
  <c r="M125" i="4"/>
  <c r="O129" i="4"/>
  <c r="N129" i="4"/>
  <c r="N125" i="4"/>
  <c r="M129" i="4"/>
  <c r="O133" i="4"/>
  <c r="N121" i="4"/>
  <c r="O125" i="4"/>
  <c r="O121" i="4"/>
  <c r="N73" i="4"/>
  <c r="M73" i="4"/>
  <c r="M69" i="4"/>
  <c r="M61" i="4"/>
  <c r="M57" i="4"/>
  <c r="M65" i="4"/>
  <c r="O65" i="4"/>
  <c r="N57" i="4"/>
  <c r="N65" i="4"/>
  <c r="O61" i="4"/>
  <c r="N61" i="4"/>
  <c r="O73" i="4"/>
  <c r="O57" i="4"/>
  <c r="M37" i="4"/>
  <c r="N37" i="4"/>
  <c r="N52" i="4"/>
  <c r="O37" i="4"/>
  <c r="O39" i="4"/>
  <c r="O44" i="4"/>
  <c r="O51" i="4"/>
  <c r="O53" i="4"/>
  <c r="O38" i="4"/>
  <c r="M49" i="4"/>
  <c r="N51" i="4"/>
  <c r="N53" i="4"/>
  <c r="O43" i="4"/>
  <c r="N38" i="4"/>
  <c r="N44" i="4"/>
  <c r="P45" i="4"/>
  <c r="Q27" i="4"/>
  <c r="Q35" i="12" s="1"/>
  <c r="R35" i="12" s="1"/>
  <c r="M36" i="4"/>
  <c r="M46" i="4"/>
  <c r="O47" i="4"/>
  <c r="N36" i="4"/>
  <c r="O36" i="4"/>
  <c r="M39" i="4"/>
  <c r="M41" i="4"/>
  <c r="N43" i="4"/>
  <c r="N46" i="4"/>
  <c r="M52" i="4"/>
  <c r="Q28" i="4"/>
  <c r="Q36" i="12" s="1"/>
  <c r="R36" i="12" s="1"/>
  <c r="O46" i="4"/>
  <c r="L27" i="4"/>
  <c r="L35" i="12" s="1"/>
  <c r="M38" i="4"/>
  <c r="P39" i="4"/>
  <c r="M48" i="4"/>
  <c r="O52" i="4"/>
  <c r="K26" i="4"/>
  <c r="K34" i="12" s="1"/>
  <c r="K31" i="4"/>
  <c r="L29" i="4"/>
  <c r="L31" i="4"/>
  <c r="K29" i="4"/>
  <c r="K28" i="4"/>
  <c r="K36" i="12" s="1"/>
  <c r="L28" i="4"/>
  <c r="L36" i="12" s="1"/>
  <c r="L26" i="4"/>
  <c r="L34" i="12" s="1"/>
  <c r="M40" i="4"/>
  <c r="N41" i="4"/>
  <c r="O42" i="4"/>
  <c r="P43" i="4"/>
  <c r="N49" i="4"/>
  <c r="O50" i="4"/>
  <c r="P51" i="4"/>
  <c r="N40" i="4"/>
  <c r="O41" i="4"/>
  <c r="P42" i="4"/>
  <c r="N48" i="4"/>
  <c r="O49" i="4"/>
  <c r="P50" i="4"/>
  <c r="O48" i="4"/>
  <c r="M43" i="4"/>
  <c r="M51" i="4"/>
  <c r="Q25" i="4"/>
  <c r="Q31" i="12" s="1"/>
  <c r="R31" i="12" s="1"/>
  <c r="L25" i="4"/>
  <c r="L31" i="12" s="1"/>
  <c r="K25" i="4"/>
  <c r="L24" i="4"/>
  <c r="L30" i="12" s="1"/>
  <c r="K24" i="4"/>
  <c r="Q23" i="4"/>
  <c r="Q29" i="12" s="1"/>
  <c r="R29" i="12" s="1"/>
  <c r="L23" i="4"/>
  <c r="L29" i="12" s="1"/>
  <c r="K23" i="4"/>
  <c r="K29" i="12" s="1"/>
  <c r="Q22" i="4"/>
  <c r="Q26" i="12" s="1"/>
  <c r="R26" i="12" s="1"/>
  <c r="L22" i="4"/>
  <c r="L26" i="12" s="1"/>
  <c r="K22" i="4"/>
  <c r="Q21" i="4"/>
  <c r="Q25" i="12" s="1"/>
  <c r="R25" i="12" s="1"/>
  <c r="L21" i="4"/>
  <c r="L25" i="12" s="1"/>
  <c r="K21" i="4"/>
  <c r="K25" i="12" s="1"/>
  <c r="Q20" i="4"/>
  <c r="Q24" i="12" s="1"/>
  <c r="R24" i="12" s="1"/>
  <c r="L20" i="4"/>
  <c r="L24" i="12" s="1"/>
  <c r="K20" i="4"/>
  <c r="Q21" i="12"/>
  <c r="R21" i="12" s="1"/>
  <c r="L19" i="4"/>
  <c r="L21" i="12" s="1"/>
  <c r="K19" i="4"/>
  <c r="Q18" i="4"/>
  <c r="Q20" i="12" s="1"/>
  <c r="R20" i="12" s="1"/>
  <c r="L18" i="4"/>
  <c r="L20" i="12" s="1"/>
  <c r="K18" i="4"/>
  <c r="K20" i="12" s="1"/>
  <c r="Q17" i="4"/>
  <c r="Q19" i="12" s="1"/>
  <c r="R19" i="12" s="1"/>
  <c r="L17" i="4"/>
  <c r="L19" i="12" s="1"/>
  <c r="K17" i="4"/>
  <c r="Q16" i="4"/>
  <c r="Q16" i="12" s="1"/>
  <c r="R16" i="12" s="1"/>
  <c r="L16" i="4"/>
  <c r="L16" i="12" s="1"/>
  <c r="K16" i="4"/>
  <c r="K15" i="4"/>
  <c r="K15" i="12" s="1"/>
  <c r="L88" i="2"/>
  <c r="L106" i="19" s="1"/>
  <c r="J88" i="2"/>
  <c r="J106" i="19" s="1"/>
  <c r="G88" i="2"/>
  <c r="G106" i="19" s="1"/>
  <c r="E88" i="2"/>
  <c r="E106" i="19" s="1"/>
  <c r="G38" i="2"/>
  <c r="G44" i="19" s="1"/>
  <c r="E38" i="2"/>
  <c r="E44" i="19" s="1"/>
  <c r="L87" i="2"/>
  <c r="L105" i="19" s="1"/>
  <c r="J87" i="2"/>
  <c r="J105" i="19" s="1"/>
  <c r="G87" i="2"/>
  <c r="G105" i="19" s="1"/>
  <c r="E87" i="2"/>
  <c r="E105" i="19" s="1"/>
  <c r="G37" i="2"/>
  <c r="G43" i="19" s="1"/>
  <c r="E37" i="2"/>
  <c r="E43" i="19" s="1"/>
  <c r="L86" i="2"/>
  <c r="L104" i="19" s="1"/>
  <c r="J86" i="2"/>
  <c r="J104" i="19" s="1"/>
  <c r="G86" i="2"/>
  <c r="G104" i="19" s="1"/>
  <c r="E86" i="2"/>
  <c r="E104" i="19" s="1"/>
  <c r="G36" i="2"/>
  <c r="G42" i="19" s="1"/>
  <c r="E36" i="2"/>
  <c r="E42" i="19" s="1"/>
  <c r="L85" i="2"/>
  <c r="L103" i="19" s="1"/>
  <c r="J85" i="2"/>
  <c r="J103" i="19" s="1"/>
  <c r="G85" i="2"/>
  <c r="G103" i="19" s="1"/>
  <c r="E85" i="2"/>
  <c r="E103" i="19" s="1"/>
  <c r="G35" i="2"/>
  <c r="G41" i="19" s="1"/>
  <c r="E35" i="2"/>
  <c r="E41" i="19" s="1"/>
  <c r="L84" i="2"/>
  <c r="L102" i="19" s="1"/>
  <c r="J84" i="2"/>
  <c r="J102" i="19" s="1"/>
  <c r="G84" i="2"/>
  <c r="G102" i="19" s="1"/>
  <c r="E84" i="2"/>
  <c r="E102" i="19" s="1"/>
  <c r="G34" i="2"/>
  <c r="G40" i="19" s="1"/>
  <c r="E34" i="2"/>
  <c r="E40" i="19" s="1"/>
  <c r="L83" i="2"/>
  <c r="L101" i="19" s="1"/>
  <c r="J83" i="2"/>
  <c r="J101" i="19" s="1"/>
  <c r="G83" i="2"/>
  <c r="G101" i="19" s="1"/>
  <c r="E83" i="2"/>
  <c r="E101" i="19" s="1"/>
  <c r="G33" i="2"/>
  <c r="G39" i="19" s="1"/>
  <c r="E33" i="2"/>
  <c r="E39" i="19" s="1"/>
  <c r="L82" i="2"/>
  <c r="L100" i="19" s="1"/>
  <c r="J82" i="2"/>
  <c r="J100" i="19" s="1"/>
  <c r="G82" i="2"/>
  <c r="G100" i="19" s="1"/>
  <c r="E82" i="2"/>
  <c r="E100" i="19" s="1"/>
  <c r="G32" i="2"/>
  <c r="G38" i="19" s="1"/>
  <c r="E32" i="2"/>
  <c r="E38" i="19" s="1"/>
  <c r="L81" i="2"/>
  <c r="L97" i="19" s="1"/>
  <c r="J81" i="2"/>
  <c r="J97" i="19" s="1"/>
  <c r="G81" i="2"/>
  <c r="G97" i="19" s="1"/>
  <c r="E81" i="2"/>
  <c r="E97" i="19" s="1"/>
  <c r="G31" i="2"/>
  <c r="G35" i="19" s="1"/>
  <c r="E31" i="2"/>
  <c r="E35" i="19" s="1"/>
  <c r="L80" i="2"/>
  <c r="L96" i="19" s="1"/>
  <c r="J80" i="2"/>
  <c r="J96" i="19" s="1"/>
  <c r="G80" i="2"/>
  <c r="G96" i="19" s="1"/>
  <c r="E80" i="2"/>
  <c r="E96" i="19" s="1"/>
  <c r="G30" i="2"/>
  <c r="G34" i="19" s="1"/>
  <c r="E30" i="2"/>
  <c r="E34" i="19" s="1"/>
  <c r="L79" i="2"/>
  <c r="L95" i="19" s="1"/>
  <c r="J79" i="2"/>
  <c r="J95" i="19" s="1"/>
  <c r="G79" i="2"/>
  <c r="G95" i="19" s="1"/>
  <c r="E79" i="2"/>
  <c r="E95" i="19" s="1"/>
  <c r="G29" i="2"/>
  <c r="G33" i="19" s="1"/>
  <c r="E29" i="2"/>
  <c r="E33" i="19" s="1"/>
  <c r="L78" i="2"/>
  <c r="L94" i="19" s="1"/>
  <c r="J78" i="2"/>
  <c r="J94" i="19" s="1"/>
  <c r="G78" i="2"/>
  <c r="G94" i="19" s="1"/>
  <c r="E78" i="2"/>
  <c r="E94" i="19" s="1"/>
  <c r="G28" i="2"/>
  <c r="G32" i="19" s="1"/>
  <c r="E28" i="2"/>
  <c r="E32" i="19" s="1"/>
  <c r="L77" i="2"/>
  <c r="L93" i="19" s="1"/>
  <c r="J77" i="2"/>
  <c r="J93" i="19" s="1"/>
  <c r="G77" i="2"/>
  <c r="G93" i="19" s="1"/>
  <c r="E77" i="2"/>
  <c r="E93" i="19" s="1"/>
  <c r="G27" i="2"/>
  <c r="G31" i="19" s="1"/>
  <c r="E27" i="2"/>
  <c r="E31" i="19" s="1"/>
  <c r="L76" i="2"/>
  <c r="L92" i="19" s="1"/>
  <c r="J76" i="2"/>
  <c r="J92" i="19" s="1"/>
  <c r="G76" i="2"/>
  <c r="G92" i="19" s="1"/>
  <c r="E76" i="2"/>
  <c r="E92" i="19" s="1"/>
  <c r="G26" i="2"/>
  <c r="G30" i="19" s="1"/>
  <c r="E26" i="2"/>
  <c r="E30" i="19" s="1"/>
  <c r="L75" i="2"/>
  <c r="L91" i="19" s="1"/>
  <c r="J75" i="2"/>
  <c r="J91" i="19" s="1"/>
  <c r="G75" i="2"/>
  <c r="G91" i="19" s="1"/>
  <c r="E75" i="2"/>
  <c r="E91" i="19" s="1"/>
  <c r="G25" i="2"/>
  <c r="G29" i="19" s="1"/>
  <c r="E25" i="2"/>
  <c r="E29" i="19" s="1"/>
  <c r="L72" i="2"/>
  <c r="L86" i="19" s="1"/>
  <c r="J72" i="2"/>
  <c r="J86" i="19" s="1"/>
  <c r="G72" i="2"/>
  <c r="G86" i="19" s="1"/>
  <c r="E72" i="2"/>
  <c r="E86" i="19" s="1"/>
  <c r="G22" i="2"/>
  <c r="G24" i="19" s="1"/>
  <c r="E22" i="2"/>
  <c r="E24" i="19" s="1"/>
  <c r="L71" i="2"/>
  <c r="L85" i="19" s="1"/>
  <c r="J71" i="2"/>
  <c r="J85" i="19" s="1"/>
  <c r="G71" i="2"/>
  <c r="G85" i="19" s="1"/>
  <c r="E71" i="2"/>
  <c r="E85" i="19" s="1"/>
  <c r="G21" i="2"/>
  <c r="G23" i="19" s="1"/>
  <c r="E21" i="2"/>
  <c r="E23" i="19" s="1"/>
  <c r="L70" i="2"/>
  <c r="L84" i="19" s="1"/>
  <c r="J70" i="2"/>
  <c r="J84" i="19" s="1"/>
  <c r="G70" i="2"/>
  <c r="G84" i="19" s="1"/>
  <c r="E70" i="2"/>
  <c r="E84" i="19" s="1"/>
  <c r="G20" i="2"/>
  <c r="G22" i="19" s="1"/>
  <c r="E20" i="2"/>
  <c r="E22" i="19" s="1"/>
  <c r="L69" i="2"/>
  <c r="L83" i="19" s="1"/>
  <c r="J69" i="2"/>
  <c r="J83" i="19" s="1"/>
  <c r="G69" i="2"/>
  <c r="G83" i="19" s="1"/>
  <c r="E69" i="2"/>
  <c r="E83" i="19" s="1"/>
  <c r="G19" i="2"/>
  <c r="G21" i="19" s="1"/>
  <c r="E19" i="2"/>
  <c r="E21" i="19" s="1"/>
  <c r="L68" i="2"/>
  <c r="L82" i="19" s="1"/>
  <c r="J68" i="2"/>
  <c r="J82" i="19" s="1"/>
  <c r="G68" i="2"/>
  <c r="G82" i="19" s="1"/>
  <c r="E68" i="2"/>
  <c r="E82" i="19" s="1"/>
  <c r="G18" i="2"/>
  <c r="G20" i="19" s="1"/>
  <c r="E18" i="2"/>
  <c r="E20" i="19" s="1"/>
  <c r="L67" i="2"/>
  <c r="L81" i="19" s="1"/>
  <c r="J67" i="2"/>
  <c r="J81" i="19" s="1"/>
  <c r="G67" i="2"/>
  <c r="G81" i="19" s="1"/>
  <c r="E67" i="2"/>
  <c r="E81" i="19" s="1"/>
  <c r="G17" i="2"/>
  <c r="G19" i="19" s="1"/>
  <c r="E17" i="2"/>
  <c r="E19" i="19" s="1"/>
  <c r="L66" i="2"/>
  <c r="L80" i="19" s="1"/>
  <c r="J66" i="2"/>
  <c r="J80" i="19" s="1"/>
  <c r="G66" i="2"/>
  <c r="G80" i="19" s="1"/>
  <c r="E66" i="2"/>
  <c r="E80" i="19" s="1"/>
  <c r="G16" i="2"/>
  <c r="G18" i="19" s="1"/>
  <c r="E16" i="2"/>
  <c r="E18" i="19" s="1"/>
  <c r="G15" i="2"/>
  <c r="G15" i="19" s="1"/>
  <c r="E15" i="2"/>
  <c r="E15" i="19" s="1"/>
  <c r="G14" i="2"/>
  <c r="G14" i="19" s="1"/>
  <c r="E14" i="2"/>
  <c r="E14" i="19" s="1"/>
  <c r="G13" i="2"/>
  <c r="G13" i="19" s="1"/>
  <c r="E13" i="2"/>
  <c r="E13" i="19" s="1"/>
  <c r="G12" i="2"/>
  <c r="G12" i="19" s="1"/>
  <c r="G11" i="2"/>
  <c r="G11" i="19" s="1"/>
  <c r="E11" i="2"/>
  <c r="E11" i="19" s="1"/>
  <c r="G10" i="2"/>
  <c r="G10" i="19" s="1"/>
  <c r="E10" i="2"/>
  <c r="E10" i="19" s="1"/>
  <c r="G9" i="2"/>
  <c r="G9" i="19" s="1"/>
  <c r="E9" i="2"/>
  <c r="E9" i="19" s="1"/>
  <c r="B3" i="2"/>
  <c r="G47" i="1"/>
  <c r="H47" i="1" s="1"/>
  <c r="G46" i="1"/>
  <c r="H46" i="1" s="1"/>
  <c r="G48" i="1"/>
  <c r="H48" i="1" s="1"/>
  <c r="G45" i="1"/>
  <c r="G44" i="1"/>
  <c r="H44" i="1" s="1"/>
  <c r="G43" i="1"/>
  <c r="H43" i="1" s="1"/>
  <c r="L99" i="8" l="1"/>
  <c r="J13" i="10" s="1"/>
  <c r="L243" i="8"/>
  <c r="J40" i="10" s="1"/>
  <c r="Y28" i="10" s="1"/>
  <c r="L253" i="8"/>
  <c r="K43" i="10" s="1"/>
  <c r="L212" i="8"/>
  <c r="J41" i="10" s="1"/>
  <c r="L79" i="8"/>
  <c r="J12" i="10" s="1"/>
  <c r="L171" i="8"/>
  <c r="K29" i="10" s="1"/>
  <c r="L170" i="8"/>
  <c r="J29" i="10" s="1"/>
  <c r="L232" i="8"/>
  <c r="J42" i="10" s="1"/>
  <c r="L150" i="8"/>
  <c r="J28" i="10" s="1"/>
  <c r="L252" i="8"/>
  <c r="J43" i="10" s="1"/>
  <c r="Y34" i="10" s="1"/>
  <c r="L213" i="8"/>
  <c r="K41" i="10" s="1"/>
  <c r="L233" i="8"/>
  <c r="K42" i="10" s="1"/>
  <c r="L88" i="8"/>
  <c r="J15" i="10" s="1"/>
  <c r="L161" i="8"/>
  <c r="J26" i="10" s="1"/>
  <c r="L244" i="8"/>
  <c r="K40" i="10" s="1"/>
  <c r="L141" i="8"/>
  <c r="J25" i="10" s="1"/>
  <c r="L129" i="8"/>
  <c r="K17" i="10" s="1"/>
  <c r="L128" i="8"/>
  <c r="J17" i="10" s="1"/>
  <c r="Y30" i="10" s="1"/>
  <c r="L109" i="8"/>
  <c r="K16" i="10" s="1"/>
  <c r="L108" i="8"/>
  <c r="J16" i="10" s="1"/>
  <c r="L204" i="8"/>
  <c r="K38" i="10" s="1"/>
  <c r="L224" i="8"/>
  <c r="K39" i="10" s="1"/>
  <c r="L120" i="8"/>
  <c r="K14" i="10" s="1"/>
  <c r="L182" i="8"/>
  <c r="K27" i="10" s="1"/>
  <c r="L203" i="8"/>
  <c r="J38" i="10" s="1"/>
  <c r="L80" i="8"/>
  <c r="K12" i="10" s="1"/>
  <c r="L119" i="8"/>
  <c r="J14" i="10" s="1"/>
  <c r="Y24" i="10" s="1"/>
  <c r="L223" i="8"/>
  <c r="J39" i="10" s="1"/>
  <c r="L142" i="8"/>
  <c r="K25" i="10" s="1"/>
  <c r="L181" i="8"/>
  <c r="J27" i="10" s="1"/>
  <c r="L191" i="8"/>
  <c r="K30" i="10" s="1"/>
  <c r="L190" i="8"/>
  <c r="J30" i="10" s="1"/>
  <c r="Y32" i="10" s="1"/>
  <c r="L89" i="8"/>
  <c r="K15" i="10" s="1"/>
  <c r="L162" i="8"/>
  <c r="K26" i="10" s="1"/>
  <c r="L100" i="8"/>
  <c r="K13" i="10" s="1"/>
  <c r="L151" i="8"/>
  <c r="K28" i="10" s="1"/>
  <c r="T13" i="10"/>
  <c r="P5" i="10"/>
  <c r="T11" i="10"/>
  <c r="R5" i="10"/>
  <c r="R11" i="10"/>
  <c r="P11" i="10"/>
  <c r="T5" i="10"/>
  <c r="G99" i="19"/>
  <c r="G98" i="19"/>
  <c r="L99" i="19"/>
  <c r="L98" i="19"/>
  <c r="G108" i="19"/>
  <c r="G107" i="19"/>
  <c r="J108" i="19"/>
  <c r="J107" i="19"/>
  <c r="E98" i="19"/>
  <c r="E99" i="19"/>
  <c r="L108" i="19"/>
  <c r="L107" i="19"/>
  <c r="E107" i="19"/>
  <c r="E108" i="19"/>
  <c r="J98" i="19"/>
  <c r="J99" i="19"/>
  <c r="J87" i="19"/>
  <c r="J88" i="19"/>
  <c r="L88" i="19"/>
  <c r="L87" i="19"/>
  <c r="E87" i="19"/>
  <c r="E88" i="19"/>
  <c r="G88" i="19"/>
  <c r="G87" i="19"/>
  <c r="G45" i="19"/>
  <c r="G46" i="19"/>
  <c r="G37" i="19"/>
  <c r="G36" i="19"/>
  <c r="E45" i="19"/>
  <c r="E46" i="19"/>
  <c r="E37" i="19"/>
  <c r="E36" i="19"/>
  <c r="E25" i="19"/>
  <c r="E26" i="19"/>
  <c r="G25" i="19"/>
  <c r="G26" i="19"/>
  <c r="E16" i="19"/>
  <c r="E17" i="19"/>
  <c r="G17" i="19"/>
  <c r="G16" i="19"/>
  <c r="R164" i="12"/>
  <c r="R72" i="12"/>
  <c r="R203" i="12"/>
  <c r="R51" i="12"/>
  <c r="R169" i="12"/>
  <c r="R138" i="12"/>
  <c r="R189" i="12"/>
  <c r="R188" i="12"/>
  <c r="R23" i="12"/>
  <c r="R22" i="12"/>
  <c r="R159" i="12"/>
  <c r="R150" i="12"/>
  <c r="R149" i="12"/>
  <c r="R208" i="12"/>
  <c r="R209" i="12"/>
  <c r="R165" i="12"/>
  <c r="R118" i="12"/>
  <c r="R117" i="12"/>
  <c r="R38" i="12"/>
  <c r="R37" i="12"/>
  <c r="L15" i="12"/>
  <c r="L17" i="12" s="1"/>
  <c r="R15" i="4"/>
  <c r="S15" i="12" s="1"/>
  <c r="R128" i="12"/>
  <c r="R127" i="12"/>
  <c r="R174" i="12"/>
  <c r="R175" i="12"/>
  <c r="R67" i="12"/>
  <c r="R66" i="12"/>
  <c r="R183" i="12"/>
  <c r="R170" i="12"/>
  <c r="R62" i="12"/>
  <c r="R61" i="12"/>
  <c r="R194" i="12"/>
  <c r="R193" i="12"/>
  <c r="R89" i="12"/>
  <c r="R99" i="12"/>
  <c r="R123" i="12"/>
  <c r="R122" i="12"/>
  <c r="R71" i="12"/>
  <c r="R154" i="12"/>
  <c r="R155" i="12"/>
  <c r="R109" i="12"/>
  <c r="R108" i="12"/>
  <c r="R17" i="12"/>
  <c r="R18" i="12"/>
  <c r="R28" i="12"/>
  <c r="R27" i="12"/>
  <c r="R76" i="12"/>
  <c r="R77" i="12"/>
  <c r="R98" i="12"/>
  <c r="R137" i="12"/>
  <c r="R184" i="12"/>
  <c r="R143" i="12"/>
  <c r="R52" i="12"/>
  <c r="R32" i="12"/>
  <c r="R33" i="12"/>
  <c r="R84" i="12"/>
  <c r="R83" i="12"/>
  <c r="R88" i="12"/>
  <c r="R93" i="12"/>
  <c r="R94" i="12"/>
  <c r="R103" i="12"/>
  <c r="R104" i="12"/>
  <c r="R57" i="12"/>
  <c r="R56" i="12"/>
  <c r="R199" i="12"/>
  <c r="R198" i="12"/>
  <c r="R132" i="12"/>
  <c r="R133" i="12"/>
  <c r="R204" i="12"/>
  <c r="I42" i="12"/>
  <c r="I43" i="12"/>
  <c r="H42" i="12"/>
  <c r="H43" i="12"/>
  <c r="J42" i="12"/>
  <c r="J43" i="12"/>
  <c r="Y87" i="3"/>
  <c r="K105" i="8" s="1"/>
  <c r="E105" i="8"/>
  <c r="Y114" i="3"/>
  <c r="K138" i="8" s="1"/>
  <c r="E138" i="8"/>
  <c r="Y193" i="3"/>
  <c r="K237" i="8" s="1"/>
  <c r="E237" i="8"/>
  <c r="C79" i="8"/>
  <c r="C80" i="8"/>
  <c r="C203" i="8"/>
  <c r="C204" i="8" s="1"/>
  <c r="Y147" i="3"/>
  <c r="K179" i="8" s="1"/>
  <c r="E179" i="8"/>
  <c r="Y65" i="3"/>
  <c r="K77" i="8" s="1"/>
  <c r="E77" i="8"/>
  <c r="Y185" i="3"/>
  <c r="K227" i="8" s="1"/>
  <c r="E227" i="8"/>
  <c r="Y118" i="3"/>
  <c r="K144" i="8" s="1"/>
  <c r="E144" i="8"/>
  <c r="Y144" i="3"/>
  <c r="K176" i="8" s="1"/>
  <c r="E176" i="8"/>
  <c r="Y202" i="3"/>
  <c r="K248" i="8" s="1"/>
  <c r="E248" i="8"/>
  <c r="Y60" i="3"/>
  <c r="K72" i="8" s="1"/>
  <c r="E72" i="8"/>
  <c r="Y62" i="3"/>
  <c r="K74" i="8" s="1"/>
  <c r="E74" i="8"/>
  <c r="Y183" i="3"/>
  <c r="K225" i="8" s="1"/>
  <c r="E225" i="8"/>
  <c r="Y77" i="3"/>
  <c r="K93" i="8" s="1"/>
  <c r="E93" i="8"/>
  <c r="Y179" i="3"/>
  <c r="K219" i="8" s="1"/>
  <c r="E219" i="8"/>
  <c r="Y160" i="3"/>
  <c r="K196" i="8" s="1"/>
  <c r="E196" i="8"/>
  <c r="Y148" i="3"/>
  <c r="K180" i="8" s="1"/>
  <c r="E180" i="8"/>
  <c r="Y112" i="3"/>
  <c r="K136" i="8" s="1"/>
  <c r="E136" i="8"/>
  <c r="Y172" i="3"/>
  <c r="K210" i="8" s="1"/>
  <c r="E210" i="8"/>
  <c r="Y66" i="3"/>
  <c r="K78" i="8" s="1"/>
  <c r="E78" i="8"/>
  <c r="Y169" i="3"/>
  <c r="K207" i="8" s="1"/>
  <c r="E207" i="8"/>
  <c r="C253" i="8"/>
  <c r="C252" i="8"/>
  <c r="C191" i="8"/>
  <c r="C190" i="8"/>
  <c r="C88" i="8"/>
  <c r="C89" i="8"/>
  <c r="Y137" i="3"/>
  <c r="K167" i="8" s="1"/>
  <c r="E167" i="8"/>
  <c r="Y199" i="3"/>
  <c r="K245" i="8" s="1"/>
  <c r="E245" i="8"/>
  <c r="Y163" i="3"/>
  <c r="K199" i="8" s="1"/>
  <c r="E199" i="8"/>
  <c r="Y154" i="3"/>
  <c r="K188" i="8" s="1"/>
  <c r="E188" i="8"/>
  <c r="Y135" i="3"/>
  <c r="K165" i="8" s="1"/>
  <c r="E165" i="8"/>
  <c r="Y204" i="3"/>
  <c r="K250" i="8" s="1"/>
  <c r="E250" i="8"/>
  <c r="Y145" i="3"/>
  <c r="K177" i="8" s="1"/>
  <c r="E177" i="8"/>
  <c r="Y127" i="3"/>
  <c r="K155" i="8" s="1"/>
  <c r="E155" i="8"/>
  <c r="Y182" i="3"/>
  <c r="K222" i="8" s="1"/>
  <c r="E222" i="8"/>
  <c r="C181" i="8"/>
  <c r="C182" i="8" s="1"/>
  <c r="C233" i="8"/>
  <c r="C232" i="8"/>
  <c r="Y171" i="3"/>
  <c r="K209" i="8" s="1"/>
  <c r="E209" i="8"/>
  <c r="E163" i="8"/>
  <c r="Y133" i="3"/>
  <c r="K163" i="8" s="1"/>
  <c r="Y79" i="3"/>
  <c r="K95" i="8" s="1"/>
  <c r="E95" i="8"/>
  <c r="Y153" i="3"/>
  <c r="K187" i="8" s="1"/>
  <c r="E187" i="8"/>
  <c r="Y142" i="3"/>
  <c r="K174" i="8" s="1"/>
  <c r="E174" i="8"/>
  <c r="Y166" i="3"/>
  <c r="K202" i="8" s="1"/>
  <c r="E202" i="8"/>
  <c r="Y187" i="3"/>
  <c r="K229" i="8" s="1"/>
  <c r="E229" i="8"/>
  <c r="Y121" i="3"/>
  <c r="K147" i="8" s="1"/>
  <c r="E147" i="8"/>
  <c r="Y128" i="3"/>
  <c r="K156" i="8" s="1"/>
  <c r="E156" i="8"/>
  <c r="Y115" i="3"/>
  <c r="K139" i="8" s="1"/>
  <c r="E139" i="8"/>
  <c r="Y177" i="3"/>
  <c r="K217" i="8" s="1"/>
  <c r="E217" i="8"/>
  <c r="Y69" i="3"/>
  <c r="K83" i="8" s="1"/>
  <c r="E83" i="8"/>
  <c r="Y180" i="3"/>
  <c r="K220" i="8" s="1"/>
  <c r="E220" i="8"/>
  <c r="Y205" i="3"/>
  <c r="K251" i="8" s="1"/>
  <c r="E251" i="8"/>
  <c r="Y196" i="3"/>
  <c r="K240" i="8" s="1"/>
  <c r="E240" i="8"/>
  <c r="Y132" i="3"/>
  <c r="K160" i="8" s="1"/>
  <c r="E160" i="8"/>
  <c r="Y194" i="3"/>
  <c r="K238" i="8" s="1"/>
  <c r="E238" i="8"/>
  <c r="Y86" i="3"/>
  <c r="K104" i="8" s="1"/>
  <c r="E104" i="8"/>
  <c r="Y146" i="3"/>
  <c r="K178" i="8" s="1"/>
  <c r="E178" i="8"/>
  <c r="Y149" i="3"/>
  <c r="K183" i="8" s="1"/>
  <c r="E183" i="8"/>
  <c r="Y113" i="3"/>
  <c r="K137" i="8" s="1"/>
  <c r="E137" i="8"/>
  <c r="Y173" i="3"/>
  <c r="K211" i="8" s="1"/>
  <c r="E211" i="8"/>
  <c r="Y67" i="3"/>
  <c r="K81" i="8" s="1"/>
  <c r="E81" i="8"/>
  <c r="Y188" i="3"/>
  <c r="K230" i="8" s="1"/>
  <c r="E230" i="8"/>
  <c r="Y71" i="3"/>
  <c r="K85" i="8" s="1"/>
  <c r="E85" i="8"/>
  <c r="Y70" i="3"/>
  <c r="K84" i="8" s="1"/>
  <c r="E84" i="8"/>
  <c r="Y138" i="3"/>
  <c r="K168" i="8" s="1"/>
  <c r="E168" i="8"/>
  <c r="Y200" i="3"/>
  <c r="K246" i="8" s="1"/>
  <c r="E246" i="8"/>
  <c r="Y164" i="3"/>
  <c r="K200" i="8" s="1"/>
  <c r="E200" i="8"/>
  <c r="Y170" i="3"/>
  <c r="K208" i="8" s="1"/>
  <c r="E208" i="8"/>
  <c r="Y63" i="3"/>
  <c r="K75" i="8" s="1"/>
  <c r="E75" i="8"/>
  <c r="C108" i="8"/>
  <c r="C109" i="8"/>
  <c r="C141" i="8"/>
  <c r="C142" i="8"/>
  <c r="Y195" i="3"/>
  <c r="K239" i="8" s="1"/>
  <c r="E239" i="8"/>
  <c r="Y81" i="3"/>
  <c r="K97" i="8" s="1"/>
  <c r="E97" i="8"/>
  <c r="Y68" i="3"/>
  <c r="K82" i="8" s="1"/>
  <c r="E82" i="8"/>
  <c r="Y85" i="3"/>
  <c r="K103" i="8" s="1"/>
  <c r="E103" i="8"/>
  <c r="Y120" i="3"/>
  <c r="K146" i="8" s="1"/>
  <c r="E146" i="8"/>
  <c r="Y80" i="3"/>
  <c r="K96" i="8" s="1"/>
  <c r="E96" i="8"/>
  <c r="C170" i="8"/>
  <c r="C171" i="8"/>
  <c r="Y152" i="3"/>
  <c r="K186" i="8" s="1"/>
  <c r="E186" i="8"/>
  <c r="C161" i="8"/>
  <c r="C244" i="8"/>
  <c r="C243" i="8"/>
  <c r="Y189" i="3"/>
  <c r="K231" i="8" s="1"/>
  <c r="E231" i="8"/>
  <c r="Y83" i="3"/>
  <c r="K101" i="8" s="1"/>
  <c r="E101" i="8"/>
  <c r="Y110" i="3"/>
  <c r="K134" i="8" s="1"/>
  <c r="E134" i="8"/>
  <c r="Y197" i="3"/>
  <c r="K241" i="8" s="1"/>
  <c r="E241" i="8"/>
  <c r="Y168" i="3"/>
  <c r="K206" i="8" s="1"/>
  <c r="E206" i="8"/>
  <c r="Y143" i="3"/>
  <c r="K175" i="8" s="1"/>
  <c r="E175" i="8"/>
  <c r="Y150" i="3"/>
  <c r="K184" i="8" s="1"/>
  <c r="E184" i="8"/>
  <c r="Y178" i="3"/>
  <c r="K218" i="8" s="1"/>
  <c r="E218" i="8"/>
  <c r="Y117" i="3"/>
  <c r="K143" i="8" s="1"/>
  <c r="E143" i="8"/>
  <c r="C212" i="8"/>
  <c r="C213" i="8"/>
  <c r="Y129" i="3"/>
  <c r="K157" i="8" s="1"/>
  <c r="E157" i="8"/>
  <c r="Y151" i="3"/>
  <c r="K185" i="8" s="1"/>
  <c r="E185" i="8"/>
  <c r="Y203" i="3"/>
  <c r="K249" i="8" s="1"/>
  <c r="E249" i="8"/>
  <c r="Y167" i="3"/>
  <c r="K205" i="8" s="1"/>
  <c r="E205" i="8"/>
  <c r="Y61" i="3"/>
  <c r="K73" i="8" s="1"/>
  <c r="E73" i="8"/>
  <c r="Y82" i="3"/>
  <c r="K98" i="8" s="1"/>
  <c r="E98" i="8"/>
  <c r="Y161" i="3"/>
  <c r="K197" i="8" s="1"/>
  <c r="E197" i="8"/>
  <c r="Y122" i="3"/>
  <c r="K148" i="8" s="1"/>
  <c r="E148" i="8"/>
  <c r="Y184" i="3"/>
  <c r="K226" i="8" s="1"/>
  <c r="E226" i="8"/>
  <c r="Y78" i="3"/>
  <c r="K94" i="8" s="1"/>
  <c r="E94" i="8"/>
  <c r="Y198" i="3"/>
  <c r="K242" i="8" s="1"/>
  <c r="E242" i="8"/>
  <c r="Y134" i="3"/>
  <c r="K164" i="8" s="1"/>
  <c r="E164" i="8"/>
  <c r="Y139" i="3"/>
  <c r="K169" i="8" s="1"/>
  <c r="E169" i="8"/>
  <c r="Y201" i="3"/>
  <c r="K247" i="8" s="1"/>
  <c r="E247" i="8"/>
  <c r="Y165" i="3"/>
  <c r="K201" i="8" s="1"/>
  <c r="E201" i="8"/>
  <c r="Y72" i="3"/>
  <c r="K86" i="8" s="1"/>
  <c r="E86" i="8"/>
  <c r="Y126" i="3"/>
  <c r="K154" i="8" s="1"/>
  <c r="E154" i="8"/>
  <c r="Y130" i="3"/>
  <c r="K158" i="8" s="1"/>
  <c r="E158" i="8"/>
  <c r="Y192" i="3"/>
  <c r="K236" i="8" s="1"/>
  <c r="E236" i="8"/>
  <c r="Y84" i="3"/>
  <c r="K102" i="8" s="1"/>
  <c r="E102" i="8"/>
  <c r="Y64" i="3"/>
  <c r="K76" i="8" s="1"/>
  <c r="E76" i="8"/>
  <c r="Y116" i="3"/>
  <c r="K140" i="8" s="1"/>
  <c r="E140" i="8"/>
  <c r="Y136" i="3"/>
  <c r="K166" i="8" s="1"/>
  <c r="E166" i="8"/>
  <c r="Y176" i="3"/>
  <c r="K216" i="8" s="1"/>
  <c r="E216" i="8"/>
  <c r="Y131" i="3"/>
  <c r="K159" i="8" s="1"/>
  <c r="E159" i="8"/>
  <c r="Y186" i="3"/>
  <c r="K228" i="8" s="1"/>
  <c r="E228" i="8"/>
  <c r="Y76" i="3"/>
  <c r="K92" i="8" s="1"/>
  <c r="E92" i="8"/>
  <c r="Y111" i="3"/>
  <c r="K135" i="8" s="1"/>
  <c r="E135" i="8"/>
  <c r="Y123" i="3"/>
  <c r="K149" i="8" s="1"/>
  <c r="E149" i="8"/>
  <c r="C224" i="8"/>
  <c r="C223" i="8"/>
  <c r="C99" i="8"/>
  <c r="C100" i="8"/>
  <c r="C151" i="8"/>
  <c r="C150" i="8"/>
  <c r="Y155" i="3"/>
  <c r="K189" i="8" s="1"/>
  <c r="E189" i="8"/>
  <c r="Y119" i="3"/>
  <c r="K145" i="8" s="1"/>
  <c r="E145" i="8"/>
  <c r="Y181" i="3"/>
  <c r="K221" i="8" s="1"/>
  <c r="E221" i="8"/>
  <c r="Y73" i="3"/>
  <c r="K87" i="8" s="1"/>
  <c r="E87" i="8"/>
  <c r="Y162" i="3"/>
  <c r="K198" i="8" s="1"/>
  <c r="E198" i="8"/>
  <c r="Y89" i="3"/>
  <c r="K107" i="8" s="1"/>
  <c r="E107" i="8"/>
  <c r="Y88" i="3"/>
  <c r="K106" i="8" s="1"/>
  <c r="E106" i="8"/>
  <c r="I22" i="10"/>
  <c r="R13" i="10" s="1"/>
  <c r="C129" i="8"/>
  <c r="C128" i="8"/>
  <c r="C119" i="8"/>
  <c r="N20" i="4"/>
  <c r="N24" i="12" s="1"/>
  <c r="K24" i="12"/>
  <c r="O64" i="12"/>
  <c r="M107" i="12"/>
  <c r="P173" i="12"/>
  <c r="M157" i="12"/>
  <c r="M86" i="12"/>
  <c r="O171" i="12"/>
  <c r="S181" i="12"/>
  <c r="M158" i="12"/>
  <c r="S107" i="12"/>
  <c r="O190" i="12"/>
  <c r="P163" i="12"/>
  <c r="Q89" i="12"/>
  <c r="Q88" i="12"/>
  <c r="L67" i="12"/>
  <c r="L66" i="12"/>
  <c r="Q199" i="12"/>
  <c r="Q198" i="12"/>
  <c r="L94" i="12"/>
  <c r="L93" i="12"/>
  <c r="Q62" i="12"/>
  <c r="Q61" i="12"/>
  <c r="K150" i="12"/>
  <c r="K149" i="12"/>
  <c r="L27" i="12"/>
  <c r="L28" i="12"/>
  <c r="O65" i="12"/>
  <c r="O195" i="12"/>
  <c r="O205" i="12"/>
  <c r="N202" i="12"/>
  <c r="S126" i="12"/>
  <c r="M153" i="12"/>
  <c r="N205" i="12"/>
  <c r="N135" i="12"/>
  <c r="K122" i="12"/>
  <c r="K123" i="12"/>
  <c r="L52" i="12"/>
  <c r="L51" i="12"/>
  <c r="Q209" i="12"/>
  <c r="Q208" i="12"/>
  <c r="P186" i="12"/>
  <c r="O55" i="12"/>
  <c r="N81" i="12"/>
  <c r="O186" i="12"/>
  <c r="N90" i="12"/>
  <c r="M100" i="12"/>
  <c r="M180" i="12"/>
  <c r="M147" i="12"/>
  <c r="P180" i="12"/>
  <c r="S185" i="12"/>
  <c r="P152" i="12"/>
  <c r="P49" i="12"/>
  <c r="L149" i="12"/>
  <c r="L150" i="12"/>
  <c r="K208" i="12"/>
  <c r="K209" i="12"/>
  <c r="K189" i="12"/>
  <c r="K188" i="12"/>
  <c r="K72" i="12"/>
  <c r="K71" i="12"/>
  <c r="P54" i="12"/>
  <c r="K62" i="12"/>
  <c r="K61" i="12"/>
  <c r="Q32" i="12"/>
  <c r="Q33" i="12"/>
  <c r="M59" i="12"/>
  <c r="N54" i="12"/>
  <c r="L38" i="12"/>
  <c r="L37" i="12"/>
  <c r="O74" i="12"/>
  <c r="N64" i="12"/>
  <c r="M48" i="12"/>
  <c r="M69" i="12"/>
  <c r="N49" i="12"/>
  <c r="O95" i="12"/>
  <c r="O187" i="12"/>
  <c r="N131" i="12"/>
  <c r="N147" i="12"/>
  <c r="O158" i="12"/>
  <c r="M161" i="12"/>
  <c r="O197" i="12"/>
  <c r="M207" i="12"/>
  <c r="M60" i="12"/>
  <c r="O163" i="12"/>
  <c r="Q41" i="12"/>
  <c r="R41" i="12" s="1"/>
  <c r="N101" i="12"/>
  <c r="M102" i="12"/>
  <c r="M106" i="12"/>
  <c r="P92" i="12"/>
  <c r="O101" i="12"/>
  <c r="O140" i="12"/>
  <c r="O126" i="12"/>
  <c r="M80" i="12"/>
  <c r="O200" i="12"/>
  <c r="N141" i="12"/>
  <c r="S134" i="12"/>
  <c r="S81" i="12"/>
  <c r="S152" i="12"/>
  <c r="M166" i="12"/>
  <c r="S192" i="12"/>
  <c r="M163" i="12"/>
  <c r="P116" i="12"/>
  <c r="M171" i="12"/>
  <c r="S49" i="12"/>
  <c r="M97" i="12"/>
  <c r="S70" i="12"/>
  <c r="M130" i="12"/>
  <c r="N172" i="12"/>
  <c r="S121" i="12"/>
  <c r="Q40" i="12"/>
  <c r="R40" i="12" s="1"/>
  <c r="S161" i="12"/>
  <c r="N97" i="12"/>
  <c r="P190" i="12"/>
  <c r="P114" i="12"/>
  <c r="P129" i="12"/>
  <c r="N139" i="12"/>
  <c r="P153" i="12"/>
  <c r="P167" i="12"/>
  <c r="P202" i="12"/>
  <c r="L56" i="12"/>
  <c r="L57" i="12"/>
  <c r="L189" i="12"/>
  <c r="L188" i="12"/>
  <c r="Q164" i="12"/>
  <c r="Q165" i="12"/>
  <c r="L71" i="12"/>
  <c r="L72" i="12"/>
  <c r="Q184" i="12"/>
  <c r="Q183" i="12"/>
  <c r="K52" i="12"/>
  <c r="K51" i="12"/>
  <c r="L61" i="12"/>
  <c r="L62" i="12"/>
  <c r="Q109" i="12"/>
  <c r="Q108" i="12"/>
  <c r="N140" i="12"/>
  <c r="L39" i="12"/>
  <c r="O87" i="12"/>
  <c r="O147" i="12"/>
  <c r="O207" i="12"/>
  <c r="N148" i="12"/>
  <c r="P96" i="12"/>
  <c r="P121" i="12"/>
  <c r="S124" i="12"/>
  <c r="S59" i="12"/>
  <c r="S63" i="12"/>
  <c r="N162" i="12"/>
  <c r="P148" i="12"/>
  <c r="Q56" i="12"/>
  <c r="Q57" i="12"/>
  <c r="Q193" i="12"/>
  <c r="Q194" i="12"/>
  <c r="M190" i="12"/>
  <c r="P14" i="4"/>
  <c r="P14" i="12" s="1"/>
  <c r="K14" i="12"/>
  <c r="P58" i="12"/>
  <c r="N75" i="12"/>
  <c r="N107" i="12"/>
  <c r="P192" i="12"/>
  <c r="O202" i="12"/>
  <c r="O85" i="12"/>
  <c r="S197" i="12"/>
  <c r="S85" i="12"/>
  <c r="S191" i="12"/>
  <c r="N151" i="12"/>
  <c r="P107" i="12"/>
  <c r="P69" i="12"/>
  <c r="L103" i="12"/>
  <c r="L104" i="12"/>
  <c r="P181" i="12"/>
  <c r="M54" i="12"/>
  <c r="O181" i="12"/>
  <c r="O97" i="12"/>
  <c r="O146" i="12"/>
  <c r="M197" i="12"/>
  <c r="S171" i="12"/>
  <c r="S195" i="12"/>
  <c r="P135" i="12"/>
  <c r="Q138" i="12"/>
  <c r="Q137" i="12"/>
  <c r="K67" i="12"/>
  <c r="K66" i="12"/>
  <c r="Q189" i="12"/>
  <c r="Q188" i="12"/>
  <c r="K104" i="12"/>
  <c r="K103" i="12"/>
  <c r="Q118" i="12"/>
  <c r="Q117" i="12"/>
  <c r="L209" i="12"/>
  <c r="L208" i="12"/>
  <c r="Q155" i="12"/>
  <c r="Q154" i="12"/>
  <c r="K88" i="12"/>
  <c r="K89" i="12"/>
  <c r="P16" i="4"/>
  <c r="P16" i="12" s="1"/>
  <c r="K16" i="12"/>
  <c r="P24" i="4"/>
  <c r="P30" i="12" s="1"/>
  <c r="K30" i="12"/>
  <c r="O68" i="12"/>
  <c r="P73" i="12"/>
  <c r="M68" i="12"/>
  <c r="N59" i="12"/>
  <c r="O50" i="12"/>
  <c r="M49" i="12"/>
  <c r="M95" i="12"/>
  <c r="N181" i="12"/>
  <c r="P131" i="12"/>
  <c r="O166" i="12"/>
  <c r="N119" i="12"/>
  <c r="O161" i="12"/>
  <c r="M181" i="12"/>
  <c r="N191" i="12"/>
  <c r="O157" i="12"/>
  <c r="M162" i="12"/>
  <c r="M75" i="12"/>
  <c r="M70" i="12"/>
  <c r="O134" i="12"/>
  <c r="N105" i="12"/>
  <c r="O80" i="12"/>
  <c r="N91" i="12"/>
  <c r="O182" i="12"/>
  <c r="O124" i="12"/>
  <c r="O136" i="12"/>
  <c r="O96" i="12"/>
  <c r="M200" i="12"/>
  <c r="S173" i="12"/>
  <c r="M134" i="12"/>
  <c r="M151" i="12"/>
  <c r="M152" i="12"/>
  <c r="S182" i="12"/>
  <c r="S90" i="12"/>
  <c r="S202" i="12"/>
  <c r="N186" i="12"/>
  <c r="S168" i="12"/>
  <c r="S140" i="12"/>
  <c r="S80" i="12"/>
  <c r="S64" i="12"/>
  <c r="S82" i="12"/>
  <c r="S136" i="12"/>
  <c r="S172" i="12"/>
  <c r="S54" i="12"/>
  <c r="N152" i="12"/>
  <c r="S74" i="12"/>
  <c r="P115" i="12"/>
  <c r="N129" i="12"/>
  <c r="P140" i="12"/>
  <c r="P156" i="12"/>
  <c r="N167" i="12"/>
  <c r="P205" i="12"/>
  <c r="Q52" i="12"/>
  <c r="Q51" i="12"/>
  <c r="N180" i="12"/>
  <c r="P171" i="12"/>
  <c r="K138" i="12"/>
  <c r="K137" i="12"/>
  <c r="K128" i="12"/>
  <c r="K127" i="12"/>
  <c r="L199" i="12"/>
  <c r="L198" i="12"/>
  <c r="L98" i="12"/>
  <c r="L99" i="12"/>
  <c r="N63" i="12"/>
  <c r="K203" i="12"/>
  <c r="K204" i="12"/>
  <c r="K93" i="12"/>
  <c r="K94" i="12"/>
  <c r="Q150" i="12"/>
  <c r="Q149" i="12"/>
  <c r="K154" i="12"/>
  <c r="K155" i="12"/>
  <c r="P100" i="12"/>
  <c r="P185" i="12"/>
  <c r="N65" i="12"/>
  <c r="P68" i="12"/>
  <c r="P187" i="12"/>
  <c r="K160" i="12"/>
  <c r="K159" i="12"/>
  <c r="K170" i="12"/>
  <c r="K169" i="12"/>
  <c r="P85" i="12"/>
  <c r="K99" i="12"/>
  <c r="K98" i="12"/>
  <c r="L88" i="12"/>
  <c r="L89" i="12"/>
  <c r="N58" i="12"/>
  <c r="O58" i="12"/>
  <c r="N48" i="12"/>
  <c r="N195" i="12"/>
  <c r="N201" i="12"/>
  <c r="M172" i="12"/>
  <c r="N196" i="12"/>
  <c r="S105" i="12"/>
  <c r="M116" i="12"/>
  <c r="M141" i="12"/>
  <c r="S153" i="12"/>
  <c r="N156" i="12"/>
  <c r="S146" i="12"/>
  <c r="P134" i="12"/>
  <c r="N173" i="12"/>
  <c r="N106" i="12"/>
  <c r="P195" i="12"/>
  <c r="Q66" i="12"/>
  <c r="Q67" i="12"/>
  <c r="Q23" i="12"/>
  <c r="Q22" i="12"/>
  <c r="N55" i="12"/>
  <c r="O49" i="12"/>
  <c r="M119" i="12"/>
  <c r="M96" i="12"/>
  <c r="O135" i="12"/>
  <c r="M192" i="12"/>
  <c r="S180" i="12"/>
  <c r="N126" i="12"/>
  <c r="S53" i="12"/>
  <c r="M115" i="12"/>
  <c r="S148" i="12"/>
  <c r="N125" i="12"/>
  <c r="Q93" i="12"/>
  <c r="Q94" i="12"/>
  <c r="P105" i="12"/>
  <c r="P74" i="12"/>
  <c r="N92" i="12"/>
  <c r="P64" i="12"/>
  <c r="L33" i="12"/>
  <c r="L32" i="12"/>
  <c r="M74" i="12"/>
  <c r="N74" i="12"/>
  <c r="P125" i="12"/>
  <c r="N114" i="12"/>
  <c r="N102" i="12"/>
  <c r="N104" i="12" s="1"/>
  <c r="Q37" i="12"/>
  <c r="Q38" i="12"/>
  <c r="S120" i="12"/>
  <c r="S163" i="12"/>
  <c r="S97" i="12"/>
  <c r="P206" i="12"/>
  <c r="P136" i="12"/>
  <c r="K184" i="12"/>
  <c r="K183" i="12"/>
  <c r="P19" i="4"/>
  <c r="P21" i="12" s="1"/>
  <c r="K21" i="12"/>
  <c r="O54" i="12"/>
  <c r="O70" i="12"/>
  <c r="P53" i="12"/>
  <c r="M55" i="12"/>
  <c r="P63" i="12"/>
  <c r="O75" i="12"/>
  <c r="O81" i="12"/>
  <c r="M81" i="12"/>
  <c r="O201" i="12"/>
  <c r="O131" i="12"/>
  <c r="O139" i="12"/>
  <c r="N161" i="12"/>
  <c r="P161" i="12"/>
  <c r="M201" i="12"/>
  <c r="M105" i="12"/>
  <c r="M156" i="12"/>
  <c r="O114" i="12"/>
  <c r="O105" i="12"/>
  <c r="O63" i="12"/>
  <c r="N136" i="12"/>
  <c r="P65" i="12"/>
  <c r="N80" i="12"/>
  <c r="M91" i="12"/>
  <c r="M182" i="12"/>
  <c r="O129" i="12"/>
  <c r="M92" i="12"/>
  <c r="M82" i="12"/>
  <c r="M121" i="12"/>
  <c r="M173" i="12"/>
  <c r="S114" i="12"/>
  <c r="O151" i="12"/>
  <c r="S139" i="12"/>
  <c r="S167" i="12"/>
  <c r="S156" i="12"/>
  <c r="S207" i="12"/>
  <c r="N207" i="12"/>
  <c r="M168" i="12"/>
  <c r="M140" i="12"/>
  <c r="S205" i="12"/>
  <c r="S58" i="12"/>
  <c r="S135" i="12"/>
  <c r="S131" i="12"/>
  <c r="S95" i="12"/>
  <c r="S162" i="12"/>
  <c r="S92" i="12"/>
  <c r="S119" i="12"/>
  <c r="S68" i="12"/>
  <c r="N116" i="12"/>
  <c r="P130" i="12"/>
  <c r="P141" i="12"/>
  <c r="N157" i="12"/>
  <c r="P168" i="12"/>
  <c r="N206" i="12"/>
  <c r="K84" i="12"/>
  <c r="K83" i="12"/>
  <c r="P91" i="12"/>
  <c r="Q103" i="12"/>
  <c r="Q104" i="12"/>
  <c r="L117" i="12"/>
  <c r="L118" i="12"/>
  <c r="P87" i="12"/>
  <c r="P102" i="12"/>
  <c r="K57" i="12"/>
  <c r="K56" i="12"/>
  <c r="L142" i="12"/>
  <c r="L143" i="12"/>
  <c r="P48" i="12"/>
  <c r="L138" i="12"/>
  <c r="L137" i="12"/>
  <c r="Q142" i="12"/>
  <c r="Q143" i="12"/>
  <c r="Q169" i="12"/>
  <c r="Q170" i="12"/>
  <c r="L109" i="12"/>
  <c r="L108" i="12"/>
  <c r="O53" i="12"/>
  <c r="N120" i="12"/>
  <c r="P90" i="12"/>
  <c r="N85" i="12"/>
  <c r="S115" i="12"/>
  <c r="N124" i="12"/>
  <c r="P196" i="12"/>
  <c r="L184" i="12"/>
  <c r="L183" i="12"/>
  <c r="Q72" i="12"/>
  <c r="Q71" i="12"/>
  <c r="O125" i="12"/>
  <c r="N86" i="12"/>
  <c r="O100" i="12"/>
  <c r="S206" i="12"/>
  <c r="S147" i="12"/>
  <c r="S101" i="12"/>
  <c r="S87" i="12"/>
  <c r="N200" i="12"/>
  <c r="N182" i="12"/>
  <c r="M73" i="12"/>
  <c r="N73" i="12"/>
  <c r="O153" i="12"/>
  <c r="O102" i="12"/>
  <c r="O92" i="12"/>
  <c r="M129" i="12"/>
  <c r="M126" i="12"/>
  <c r="S130" i="12"/>
  <c r="S96" i="12"/>
  <c r="P201" i="12"/>
  <c r="L123" i="12"/>
  <c r="L122" i="12"/>
  <c r="P22" i="4"/>
  <c r="P26" i="12" s="1"/>
  <c r="K26" i="12"/>
  <c r="P25" i="4"/>
  <c r="P31" i="12" s="1"/>
  <c r="K31" i="12"/>
  <c r="P70" i="12"/>
  <c r="N69" i="12"/>
  <c r="K39" i="12"/>
  <c r="M50" i="12"/>
  <c r="M53" i="12"/>
  <c r="N60" i="12"/>
  <c r="O73" i="12"/>
  <c r="O107" i="12"/>
  <c r="M87" i="12"/>
  <c r="M195" i="12"/>
  <c r="O167" i="12"/>
  <c r="P139" i="12"/>
  <c r="P119" i="12"/>
  <c r="M185" i="12"/>
  <c r="O191" i="12"/>
  <c r="M148" i="12"/>
  <c r="M136" i="12"/>
  <c r="M146" i="12"/>
  <c r="M90" i="12"/>
  <c r="K40" i="12"/>
  <c r="O120" i="12"/>
  <c r="M65" i="12"/>
  <c r="M58" i="12"/>
  <c r="O91" i="12"/>
  <c r="O185" i="12"/>
  <c r="O141" i="12"/>
  <c r="M202" i="12"/>
  <c r="M131" i="12"/>
  <c r="S151" i="12"/>
  <c r="N197" i="12"/>
  <c r="M114" i="12"/>
  <c r="S106" i="12"/>
  <c r="M139" i="12"/>
  <c r="M167" i="12"/>
  <c r="O156" i="12"/>
  <c r="O172" i="12"/>
  <c r="S73" i="12"/>
  <c r="P151" i="12"/>
  <c r="S186" i="12"/>
  <c r="M205" i="12"/>
  <c r="S50" i="12"/>
  <c r="M135" i="12"/>
  <c r="S187" i="12"/>
  <c r="O82" i="12"/>
  <c r="S129" i="12"/>
  <c r="P158" i="12"/>
  <c r="S190" i="12"/>
  <c r="S60" i="12"/>
  <c r="P120" i="12"/>
  <c r="N130" i="12"/>
  <c r="P146" i="12"/>
  <c r="N158" i="12"/>
  <c r="N171" i="12"/>
  <c r="P207" i="12"/>
  <c r="Q99" i="12"/>
  <c r="Q98" i="12"/>
  <c r="L203" i="12"/>
  <c r="L204" i="12"/>
  <c r="K76" i="12"/>
  <c r="K77" i="12"/>
  <c r="Q159" i="12"/>
  <c r="Q160" i="12"/>
  <c r="Q123" i="12"/>
  <c r="Q122" i="12"/>
  <c r="P75" i="12"/>
  <c r="P81" i="12"/>
  <c r="L133" i="12"/>
  <c r="L132" i="12"/>
  <c r="Q77" i="12"/>
  <c r="Q76" i="12"/>
  <c r="K117" i="12"/>
  <c r="K118" i="12"/>
  <c r="Q132" i="12"/>
  <c r="Q133" i="12"/>
  <c r="K199" i="12"/>
  <c r="K198" i="12"/>
  <c r="Q175" i="12"/>
  <c r="Q174" i="12"/>
  <c r="Q204" i="12"/>
  <c r="Q203" i="12"/>
  <c r="P197" i="12"/>
  <c r="P95" i="12"/>
  <c r="L193" i="12"/>
  <c r="L194" i="12"/>
  <c r="L169" i="12"/>
  <c r="L170" i="12"/>
  <c r="P101" i="12"/>
  <c r="N70" i="12"/>
  <c r="L22" i="12"/>
  <c r="L23" i="12"/>
  <c r="N68" i="12"/>
  <c r="O59" i="12"/>
  <c r="O116" i="12"/>
  <c r="O196" i="12"/>
  <c r="Q18" i="12"/>
  <c r="Q17" i="12"/>
  <c r="S55" i="12"/>
  <c r="S196" i="12"/>
  <c r="S200" i="12"/>
  <c r="O115" i="12"/>
  <c r="K143" i="12"/>
  <c r="K142" i="12"/>
  <c r="K193" i="12"/>
  <c r="K194" i="12"/>
  <c r="Q127" i="12"/>
  <c r="Q128" i="12"/>
  <c r="L165" i="12"/>
  <c r="L164" i="12"/>
  <c r="K41" i="12"/>
  <c r="N95" i="12"/>
  <c r="P147" i="12"/>
  <c r="O86" i="12"/>
  <c r="O90" i="12"/>
  <c r="O168" i="12"/>
  <c r="M124" i="12"/>
  <c r="N153" i="12"/>
  <c r="M196" i="12"/>
  <c r="P182" i="12"/>
  <c r="S91" i="12"/>
  <c r="P166" i="12"/>
  <c r="L77" i="12"/>
  <c r="L76" i="12"/>
  <c r="K133" i="12"/>
  <c r="K132" i="12"/>
  <c r="L127" i="12"/>
  <c r="L128" i="12"/>
  <c r="Q28" i="12"/>
  <c r="Q27" i="12"/>
  <c r="K37" i="12"/>
  <c r="K38" i="12"/>
  <c r="M64" i="12"/>
  <c r="M187" i="12"/>
  <c r="M125" i="12"/>
  <c r="Q39" i="12"/>
  <c r="R39" i="12" s="1"/>
  <c r="O148" i="12"/>
  <c r="O206" i="12"/>
  <c r="M206" i="12"/>
  <c r="S166" i="12"/>
  <c r="S75" i="12"/>
  <c r="O121" i="12"/>
  <c r="N168" i="12"/>
  <c r="P126" i="12"/>
  <c r="N166" i="12"/>
  <c r="N190" i="12"/>
  <c r="P191" i="12"/>
  <c r="P17" i="4"/>
  <c r="P19" i="12" s="1"/>
  <c r="K19" i="12"/>
  <c r="O69" i="12"/>
  <c r="P59" i="12"/>
  <c r="L41" i="12"/>
  <c r="O48" i="12"/>
  <c r="N50" i="12"/>
  <c r="O60" i="12"/>
  <c r="N87" i="12"/>
  <c r="M101" i="12"/>
  <c r="N187" i="12"/>
  <c r="O152" i="12"/>
  <c r="O173" i="12"/>
  <c r="O119" i="12"/>
  <c r="N185" i="12"/>
  <c r="M85" i="12"/>
  <c r="N163" i="12"/>
  <c r="O192" i="12"/>
  <c r="N192" i="12"/>
  <c r="M120" i="12"/>
  <c r="L40" i="12"/>
  <c r="P157" i="12"/>
  <c r="M63" i="12"/>
  <c r="N96" i="12"/>
  <c r="M191" i="12"/>
  <c r="O130" i="12"/>
  <c r="O162" i="12"/>
  <c r="P200" i="12"/>
  <c r="S100" i="12"/>
  <c r="S201" i="12"/>
  <c r="S69" i="12"/>
  <c r="O106" i="12"/>
  <c r="S116" i="12"/>
  <c r="S141" i="12"/>
  <c r="S158" i="12"/>
  <c r="S65" i="12"/>
  <c r="O180" i="12"/>
  <c r="M186" i="12"/>
  <c r="N115" i="12"/>
  <c r="S86" i="12"/>
  <c r="N82" i="12"/>
  <c r="S102" i="12"/>
  <c r="P124" i="12"/>
  <c r="S48" i="12"/>
  <c r="S125" i="12"/>
  <c r="S157" i="12"/>
  <c r="N121" i="12"/>
  <c r="N134" i="12"/>
  <c r="N146" i="12"/>
  <c r="P162" i="12"/>
  <c r="P172" i="12"/>
  <c r="Q83" i="12"/>
  <c r="Q84" i="12"/>
  <c r="P80" i="12"/>
  <c r="K174" i="12"/>
  <c r="K175" i="12"/>
  <c r="L83" i="12"/>
  <c r="L84" i="12"/>
  <c r="L175" i="12"/>
  <c r="L174" i="12"/>
  <c r="P55" i="12"/>
  <c r="N53" i="12"/>
  <c r="L160" i="12"/>
  <c r="L159" i="12"/>
  <c r="K165" i="12"/>
  <c r="K164" i="12"/>
  <c r="K108" i="12"/>
  <c r="K109" i="12"/>
  <c r="L155" i="12"/>
  <c r="L154" i="12"/>
  <c r="P97" i="12"/>
  <c r="P60" i="12"/>
  <c r="P86" i="12"/>
  <c r="P50" i="12"/>
  <c r="P31" i="4"/>
  <c r="P29" i="4"/>
  <c r="P28" i="4"/>
  <c r="P36" i="12" s="1"/>
  <c r="P27" i="4"/>
  <c r="P35" i="12" s="1"/>
  <c r="N27" i="4"/>
  <c r="N35" i="12" s="1"/>
  <c r="P26" i="4"/>
  <c r="P34" i="12" s="1"/>
  <c r="M30" i="4"/>
  <c r="R19" i="4"/>
  <c r="S21" i="12" s="1"/>
  <c r="R28" i="4"/>
  <c r="S36" i="12" s="1"/>
  <c r="R31" i="4"/>
  <c r="R25" i="4"/>
  <c r="S31" i="12" s="1"/>
  <c r="R20" i="4"/>
  <c r="S24" i="12" s="1"/>
  <c r="R30" i="4"/>
  <c r="R17" i="4"/>
  <c r="S19" i="12" s="1"/>
  <c r="R14" i="4"/>
  <c r="S14" i="12" s="1"/>
  <c r="R22" i="4"/>
  <c r="S26" i="12" s="1"/>
  <c r="O27" i="4"/>
  <c r="O35" i="12" s="1"/>
  <c r="R27" i="4"/>
  <c r="S35" i="12" s="1"/>
  <c r="M29" i="4"/>
  <c r="R29" i="4"/>
  <c r="R18" i="4"/>
  <c r="S20" i="12" s="1"/>
  <c r="R21" i="4"/>
  <c r="S25" i="12" s="1"/>
  <c r="R23" i="4"/>
  <c r="S29" i="12" s="1"/>
  <c r="R16" i="4"/>
  <c r="S16" i="12" s="1"/>
  <c r="R24" i="4"/>
  <c r="S30" i="12" s="1"/>
  <c r="O26" i="4"/>
  <c r="O34" i="12" s="1"/>
  <c r="R26" i="4"/>
  <c r="S34" i="12" s="1"/>
  <c r="M26" i="4"/>
  <c r="M34" i="12" s="1"/>
  <c r="M27" i="4"/>
  <c r="M35" i="12" s="1"/>
  <c r="K121" i="8"/>
  <c r="E121" i="8"/>
  <c r="E113" i="8"/>
  <c r="K113" i="8"/>
  <c r="E117" i="8"/>
  <c r="K117" i="8"/>
  <c r="E124" i="8"/>
  <c r="K124" i="8"/>
  <c r="E114" i="8"/>
  <c r="K114" i="8"/>
  <c r="E126" i="8"/>
  <c r="K126" i="8"/>
  <c r="K115" i="8"/>
  <c r="E115" i="8"/>
  <c r="E127" i="8"/>
  <c r="K127" i="8"/>
  <c r="E116" i="8"/>
  <c r="K116" i="8"/>
  <c r="E122" i="8"/>
  <c r="K122" i="8"/>
  <c r="E125" i="8"/>
  <c r="K125" i="8"/>
  <c r="E123" i="8"/>
  <c r="K123" i="8"/>
  <c r="E112" i="8"/>
  <c r="K112" i="8"/>
  <c r="E118" i="8"/>
  <c r="K118" i="8"/>
  <c r="N30" i="4"/>
  <c r="P30" i="4"/>
  <c r="N28" i="4"/>
  <c r="N36" i="12" s="1"/>
  <c r="O30" i="4"/>
  <c r="N26" i="4"/>
  <c r="N34" i="12" s="1"/>
  <c r="M28" i="4"/>
  <c r="M36" i="12" s="1"/>
  <c r="O31" i="4"/>
  <c r="N29" i="4"/>
  <c r="O29" i="4"/>
  <c r="M31" i="4"/>
  <c r="N31" i="4"/>
  <c r="O28" i="4"/>
  <c r="O36" i="12" s="1"/>
  <c r="O23" i="4"/>
  <c r="O29" i="12" s="1"/>
  <c r="O17" i="4"/>
  <c r="O19" i="12" s="1"/>
  <c r="M21" i="4"/>
  <c r="M25" i="12" s="1"/>
  <c r="N19" i="4"/>
  <c r="N21" i="12" s="1"/>
  <c r="M24" i="4"/>
  <c r="M30" i="12" s="1"/>
  <c r="O15" i="4"/>
  <c r="O15" i="12" s="1"/>
  <c r="O21" i="4"/>
  <c r="O25" i="12" s="1"/>
  <c r="P15" i="4"/>
  <c r="P15" i="12" s="1"/>
  <c r="M18" i="4"/>
  <c r="M20" i="12" s="1"/>
  <c r="M20" i="4"/>
  <c r="M24" i="12" s="1"/>
  <c r="N22" i="4"/>
  <c r="N26" i="12" s="1"/>
  <c r="M14" i="4"/>
  <c r="M14" i="12" s="1"/>
  <c r="P21" i="4"/>
  <c r="P25" i="12" s="1"/>
  <c r="N25" i="4"/>
  <c r="N31" i="12" s="1"/>
  <c r="N21" i="4"/>
  <c r="N25" i="12" s="1"/>
  <c r="N14" i="4"/>
  <c r="N14" i="12" s="1"/>
  <c r="M16" i="4"/>
  <c r="M16" i="12" s="1"/>
  <c r="O20" i="4"/>
  <c r="O24" i="12" s="1"/>
  <c r="P23" i="4"/>
  <c r="P29" i="12" s="1"/>
  <c r="O25" i="4"/>
  <c r="O31" i="12" s="1"/>
  <c r="O14" i="4"/>
  <c r="O14" i="12" s="1"/>
  <c r="P20" i="4"/>
  <c r="P24" i="12" s="1"/>
  <c r="M19" i="4"/>
  <c r="M21" i="12" s="1"/>
  <c r="M22" i="4"/>
  <c r="M26" i="12" s="1"/>
  <c r="N17" i="4"/>
  <c r="N19" i="12" s="1"/>
  <c r="O22" i="4"/>
  <c r="O26" i="12" s="1"/>
  <c r="M17" i="4"/>
  <c r="M19" i="12" s="1"/>
  <c r="N18" i="4"/>
  <c r="N20" i="12" s="1"/>
  <c r="O19" i="4"/>
  <c r="O21" i="12" s="1"/>
  <c r="M25" i="4"/>
  <c r="M31" i="12" s="1"/>
  <c r="O18" i="4"/>
  <c r="O20" i="12" s="1"/>
  <c r="M15" i="12"/>
  <c r="N16" i="4"/>
  <c r="N16" i="12" s="1"/>
  <c r="P18" i="4"/>
  <c r="P20" i="12" s="1"/>
  <c r="M23" i="4"/>
  <c r="M29" i="12" s="1"/>
  <c r="N24" i="4"/>
  <c r="N30" i="12" s="1"/>
  <c r="N15" i="4"/>
  <c r="N15" i="12" s="1"/>
  <c r="O16" i="4"/>
  <c r="O16" i="12" s="1"/>
  <c r="N23" i="4"/>
  <c r="N29" i="12" s="1"/>
  <c r="O24" i="4"/>
  <c r="O30" i="12" s="1"/>
  <c r="L18" i="12" l="1"/>
  <c r="R43" i="12"/>
  <c r="R42" i="12"/>
  <c r="L42" i="12"/>
  <c r="L43" i="12"/>
  <c r="Q42" i="12"/>
  <c r="Q43" i="12"/>
  <c r="K42" i="12"/>
  <c r="K43" i="12"/>
  <c r="E224" i="8"/>
  <c r="E223" i="8"/>
  <c r="E142" i="8"/>
  <c r="E141" i="8"/>
  <c r="K253" i="8"/>
  <c r="K252" i="8"/>
  <c r="K203" i="8"/>
  <c r="K204" i="8" s="1"/>
  <c r="E161" i="8"/>
  <c r="K224" i="8"/>
  <c r="K223" i="8"/>
  <c r="K141" i="8"/>
  <c r="K142" i="8"/>
  <c r="E171" i="8"/>
  <c r="E170" i="8"/>
  <c r="E80" i="8"/>
  <c r="E79" i="8"/>
  <c r="E232" i="8"/>
  <c r="E233" i="8"/>
  <c r="E253" i="8"/>
  <c r="E252" i="8"/>
  <c r="E100" i="8"/>
  <c r="E99" i="8"/>
  <c r="E243" i="8"/>
  <c r="E244" i="8"/>
  <c r="E212" i="8"/>
  <c r="E213" i="8"/>
  <c r="E108" i="8"/>
  <c r="E109" i="8"/>
  <c r="E190" i="8"/>
  <c r="E191" i="8"/>
  <c r="E181" i="8"/>
  <c r="K171" i="8"/>
  <c r="I29" i="10" s="1"/>
  <c r="R14" i="10" s="1"/>
  <c r="K170" i="8"/>
  <c r="K79" i="8"/>
  <c r="K80" i="8"/>
  <c r="K89" i="8"/>
  <c r="K88" i="8"/>
  <c r="K99" i="8"/>
  <c r="K100" i="8"/>
  <c r="K243" i="8"/>
  <c r="K244" i="8"/>
  <c r="K212" i="8"/>
  <c r="K213" i="8"/>
  <c r="K109" i="8"/>
  <c r="K108" i="8"/>
  <c r="K191" i="8"/>
  <c r="K190" i="8"/>
  <c r="K181" i="8"/>
  <c r="K182" i="8" s="1"/>
  <c r="K151" i="8"/>
  <c r="K150" i="8"/>
  <c r="K232" i="8"/>
  <c r="K233" i="8"/>
  <c r="K161" i="8"/>
  <c r="K162" i="8" s="1"/>
  <c r="E203" i="8"/>
  <c r="E151" i="8"/>
  <c r="E150" i="8"/>
  <c r="C162" i="8"/>
  <c r="E88" i="8"/>
  <c r="E89" i="8"/>
  <c r="E119" i="8"/>
  <c r="C120" i="8"/>
  <c r="K129" i="8"/>
  <c r="K128" i="8"/>
  <c r="K119" i="8"/>
  <c r="E129" i="8"/>
  <c r="E128" i="8"/>
  <c r="K32" i="12"/>
  <c r="N103" i="12"/>
  <c r="M33" i="12"/>
  <c r="M32" i="12"/>
  <c r="O17" i="12"/>
  <c r="O18" i="12"/>
  <c r="O39" i="12"/>
  <c r="N40" i="12"/>
  <c r="O38" i="12"/>
  <c r="O37" i="12"/>
  <c r="M39" i="12"/>
  <c r="N150" i="12"/>
  <c r="N149" i="12"/>
  <c r="O184" i="12"/>
  <c r="O183" i="12"/>
  <c r="S103" i="12"/>
  <c r="S104" i="12"/>
  <c r="S169" i="12"/>
  <c r="S170" i="12"/>
  <c r="O93" i="12"/>
  <c r="O94" i="12"/>
  <c r="P99" i="12"/>
  <c r="P98" i="12"/>
  <c r="N175" i="12"/>
  <c r="N174" i="12"/>
  <c r="S133" i="12"/>
  <c r="S132" i="12"/>
  <c r="S77" i="12"/>
  <c r="S76" i="12"/>
  <c r="M142" i="12"/>
  <c r="M143" i="12"/>
  <c r="S155" i="12"/>
  <c r="S154" i="12"/>
  <c r="O188" i="12"/>
  <c r="O189" i="12"/>
  <c r="P122" i="12"/>
  <c r="P123" i="12"/>
  <c r="M56" i="12"/>
  <c r="M57" i="12"/>
  <c r="M132" i="12"/>
  <c r="M133" i="12"/>
  <c r="N76" i="12"/>
  <c r="N77" i="12"/>
  <c r="N88" i="12"/>
  <c r="N89" i="12"/>
  <c r="O133" i="12"/>
  <c r="O132" i="12"/>
  <c r="O118" i="12"/>
  <c r="O117" i="12"/>
  <c r="P164" i="12"/>
  <c r="P165" i="12"/>
  <c r="P67" i="12"/>
  <c r="P66" i="12"/>
  <c r="S183" i="12"/>
  <c r="S184" i="12"/>
  <c r="M122" i="12"/>
  <c r="M123" i="12"/>
  <c r="O150" i="12"/>
  <c r="O149" i="12"/>
  <c r="M194" i="12"/>
  <c r="M193" i="12"/>
  <c r="S127" i="12"/>
  <c r="S128" i="12"/>
  <c r="N143" i="12"/>
  <c r="N142" i="12"/>
  <c r="S138" i="12"/>
  <c r="S137" i="12"/>
  <c r="M164" i="12"/>
  <c r="M165" i="12"/>
  <c r="M52" i="12"/>
  <c r="M51" i="12"/>
  <c r="S189" i="12"/>
  <c r="S188" i="12"/>
  <c r="M103" i="12"/>
  <c r="M104" i="12"/>
  <c r="M18" i="12"/>
  <c r="M17" i="12"/>
  <c r="N39" i="12"/>
  <c r="S41" i="12"/>
  <c r="P39" i="12"/>
  <c r="P51" i="12"/>
  <c r="P52" i="12"/>
  <c r="P137" i="12"/>
  <c r="P138" i="12"/>
  <c r="P208" i="12"/>
  <c r="P209" i="12"/>
  <c r="N133" i="12"/>
  <c r="N132" i="12"/>
  <c r="M204" i="12"/>
  <c r="M203" i="12"/>
  <c r="O138" i="12"/>
  <c r="O137" i="12"/>
  <c r="N122" i="12"/>
  <c r="N123" i="12"/>
  <c r="M99" i="12"/>
  <c r="M98" i="12"/>
  <c r="M71" i="12"/>
  <c r="M72" i="12"/>
  <c r="O208" i="12"/>
  <c r="O209" i="12"/>
  <c r="P32" i="12"/>
  <c r="P33" i="12"/>
  <c r="N138" i="12"/>
  <c r="N137" i="12"/>
  <c r="S142" i="12"/>
  <c r="S143" i="12"/>
  <c r="M159" i="12"/>
  <c r="M160" i="12"/>
  <c r="O62" i="12"/>
  <c r="O61" i="12"/>
  <c r="S165" i="12"/>
  <c r="S164" i="12"/>
  <c r="M174" i="12"/>
  <c r="M175" i="12"/>
  <c r="P184" i="12"/>
  <c r="P183" i="12"/>
  <c r="O22" i="12"/>
  <c r="O23" i="12"/>
  <c r="N56" i="12"/>
  <c r="N57" i="12"/>
  <c r="K33" i="12"/>
  <c r="N118" i="12"/>
  <c r="N117" i="12"/>
  <c r="N23" i="12"/>
  <c r="N22" i="12"/>
  <c r="O33" i="12"/>
  <c r="O32" i="12"/>
  <c r="S17" i="12"/>
  <c r="S18" i="12"/>
  <c r="M66" i="12"/>
  <c r="M67" i="12"/>
  <c r="N188" i="12"/>
  <c r="N189" i="12"/>
  <c r="N194" i="12"/>
  <c r="N193" i="12"/>
  <c r="M128" i="12"/>
  <c r="M127" i="12"/>
  <c r="P149" i="12"/>
  <c r="P150" i="12"/>
  <c r="S193" i="12"/>
  <c r="S194" i="12"/>
  <c r="O159" i="12"/>
  <c r="O160" i="12"/>
  <c r="M118" i="12"/>
  <c r="M117" i="12"/>
  <c r="M62" i="12"/>
  <c r="M61" i="12"/>
  <c r="M93" i="12"/>
  <c r="M94" i="12"/>
  <c r="N127" i="12"/>
  <c r="N128" i="12"/>
  <c r="S72" i="12"/>
  <c r="S71" i="12"/>
  <c r="S98" i="12"/>
  <c r="S99" i="12"/>
  <c r="S209" i="12"/>
  <c r="S208" i="12"/>
  <c r="O154" i="12"/>
  <c r="O155" i="12"/>
  <c r="O67" i="12"/>
  <c r="O66" i="12"/>
  <c r="M109" i="12"/>
  <c r="M108" i="12"/>
  <c r="O143" i="12"/>
  <c r="O142" i="12"/>
  <c r="P57" i="12"/>
  <c r="P56" i="12"/>
  <c r="S57" i="12"/>
  <c r="S56" i="12"/>
  <c r="P77" i="12"/>
  <c r="P76" i="12"/>
  <c r="S175" i="12"/>
  <c r="S174" i="12"/>
  <c r="P61" i="12"/>
  <c r="P62" i="12"/>
  <c r="S66" i="12"/>
  <c r="S67" i="12"/>
  <c r="P117" i="12"/>
  <c r="P118" i="12"/>
  <c r="O204" i="12"/>
  <c r="O203" i="12"/>
  <c r="O41" i="12"/>
  <c r="P41" i="12"/>
  <c r="M209" i="12"/>
  <c r="M208" i="12"/>
  <c r="S199" i="12"/>
  <c r="S198" i="12"/>
  <c r="O88" i="12"/>
  <c r="O89" i="12"/>
  <c r="M169" i="12"/>
  <c r="M170" i="12"/>
  <c r="O99" i="12"/>
  <c r="O98" i="12"/>
  <c r="O194" i="12"/>
  <c r="O193" i="12"/>
  <c r="S149" i="12"/>
  <c r="S150" i="12"/>
  <c r="N62" i="12"/>
  <c r="N61" i="12"/>
  <c r="P104" i="12"/>
  <c r="P103" i="12"/>
  <c r="O198" i="12"/>
  <c r="O199" i="12"/>
  <c r="N38" i="12"/>
  <c r="N37" i="12"/>
  <c r="S32" i="12"/>
  <c r="S33" i="12"/>
  <c r="M40" i="12"/>
  <c r="P84" i="12"/>
  <c r="P83" i="12"/>
  <c r="P127" i="12"/>
  <c r="P128" i="12"/>
  <c r="N18" i="12"/>
  <c r="N17" i="12"/>
  <c r="O40" i="12"/>
  <c r="S22" i="12"/>
  <c r="S23" i="12"/>
  <c r="P38" i="12"/>
  <c r="P37" i="12"/>
  <c r="O77" i="12"/>
  <c r="O76" i="12"/>
  <c r="O103" i="12"/>
  <c r="O104" i="12"/>
  <c r="N160" i="12"/>
  <c r="N159" i="12"/>
  <c r="S108" i="12"/>
  <c r="S109" i="12"/>
  <c r="N198" i="12"/>
  <c r="N199" i="12"/>
  <c r="P88" i="12"/>
  <c r="P89" i="12"/>
  <c r="P188" i="12"/>
  <c r="P189" i="12"/>
  <c r="N66" i="12"/>
  <c r="N67" i="12"/>
  <c r="N184" i="12"/>
  <c r="N183" i="12"/>
  <c r="P160" i="12"/>
  <c r="P159" i="12"/>
  <c r="S94" i="12"/>
  <c r="S93" i="12"/>
  <c r="M138" i="12"/>
  <c r="M137" i="12"/>
  <c r="O83" i="12"/>
  <c r="O84" i="12"/>
  <c r="O72" i="12"/>
  <c r="O71" i="12"/>
  <c r="P204" i="12"/>
  <c r="P203" i="12"/>
  <c r="N154" i="12"/>
  <c r="N155" i="12"/>
  <c r="P133" i="12"/>
  <c r="P132" i="12"/>
  <c r="O174" i="12"/>
  <c r="O175" i="12"/>
  <c r="O27" i="12"/>
  <c r="O28" i="12"/>
  <c r="N32" i="12"/>
  <c r="N33" i="12"/>
  <c r="N41" i="12"/>
  <c r="M37" i="12"/>
  <c r="M38" i="12"/>
  <c r="S40" i="12"/>
  <c r="O123" i="12"/>
  <c r="O122" i="12"/>
  <c r="O51" i="12"/>
  <c r="O52" i="12"/>
  <c r="K22" i="12"/>
  <c r="K23" i="12"/>
  <c r="N169" i="12"/>
  <c r="N170" i="12"/>
  <c r="N98" i="12"/>
  <c r="N99" i="12"/>
  <c r="N71" i="12"/>
  <c r="N72" i="12"/>
  <c r="P155" i="12"/>
  <c r="P154" i="12"/>
  <c r="M149" i="12"/>
  <c r="M150" i="12"/>
  <c r="M189" i="12"/>
  <c r="M188" i="12"/>
  <c r="M199" i="12"/>
  <c r="M198" i="12"/>
  <c r="O57" i="12"/>
  <c r="O56" i="12"/>
  <c r="S122" i="12"/>
  <c r="S123" i="12"/>
  <c r="S160" i="12"/>
  <c r="S159" i="12"/>
  <c r="S117" i="12"/>
  <c r="S118" i="12"/>
  <c r="N83" i="12"/>
  <c r="N84" i="12"/>
  <c r="O108" i="12"/>
  <c r="O109" i="12"/>
  <c r="P109" i="12"/>
  <c r="P108" i="12"/>
  <c r="S88" i="12"/>
  <c r="S89" i="12"/>
  <c r="K17" i="12"/>
  <c r="K18" i="12"/>
  <c r="P194" i="12"/>
  <c r="P193" i="12"/>
  <c r="M84" i="12"/>
  <c r="M83" i="12"/>
  <c r="M184" i="12"/>
  <c r="M183" i="12"/>
  <c r="N208" i="12"/>
  <c r="N209" i="12"/>
  <c r="K27" i="12"/>
  <c r="K28" i="12"/>
  <c r="M23" i="12"/>
  <c r="M22" i="12"/>
  <c r="S52" i="12"/>
  <c r="S51" i="12"/>
  <c r="M89" i="12"/>
  <c r="M88" i="12"/>
  <c r="P169" i="12"/>
  <c r="P170" i="12"/>
  <c r="P142" i="12"/>
  <c r="P143" i="12"/>
  <c r="M76" i="12"/>
  <c r="M77" i="12"/>
  <c r="P93" i="12"/>
  <c r="P94" i="12"/>
  <c r="S61" i="12"/>
  <c r="S62" i="12"/>
  <c r="N165" i="12"/>
  <c r="N164" i="12"/>
  <c r="N94" i="12"/>
  <c r="N93" i="12"/>
  <c r="M28" i="12"/>
  <c r="M27" i="12"/>
  <c r="N204" i="12"/>
  <c r="N203" i="12"/>
  <c r="P198" i="12"/>
  <c r="P199" i="12"/>
  <c r="P175" i="12"/>
  <c r="P174" i="12"/>
  <c r="S83" i="12"/>
  <c r="S84" i="12"/>
  <c r="M154" i="12"/>
  <c r="M155" i="12"/>
  <c r="O170" i="12"/>
  <c r="O169" i="12"/>
  <c r="P28" i="12"/>
  <c r="P27" i="12"/>
  <c r="M41" i="12"/>
  <c r="P40" i="12"/>
  <c r="S37" i="12"/>
  <c r="S38" i="12"/>
  <c r="S39" i="12"/>
  <c r="S28" i="12"/>
  <c r="S27" i="12"/>
  <c r="P22" i="12"/>
  <c r="P23" i="12"/>
  <c r="S203" i="12"/>
  <c r="S204" i="12"/>
  <c r="N51" i="12"/>
  <c r="N52" i="12"/>
  <c r="P71" i="12"/>
  <c r="P72" i="12"/>
  <c r="O128" i="12"/>
  <c r="O127" i="12"/>
  <c r="N108" i="12"/>
  <c r="N109" i="12"/>
  <c r="O164" i="12"/>
  <c r="O165" i="12"/>
  <c r="P17" i="12"/>
  <c r="P18" i="12"/>
  <c r="N27" i="12"/>
  <c r="N28" i="12"/>
  <c r="N43" i="12" l="1"/>
  <c r="N42" i="12"/>
  <c r="M42" i="12"/>
  <c r="M43" i="12"/>
  <c r="S43" i="12"/>
  <c r="S42" i="12"/>
  <c r="P42" i="12"/>
  <c r="P43" i="12"/>
  <c r="O43" i="12"/>
  <c r="O42" i="12"/>
  <c r="E204" i="8"/>
  <c r="E182" i="8"/>
  <c r="I38" i="10"/>
  <c r="I16" i="10"/>
  <c r="R12" i="10" s="1"/>
  <c r="H38" i="10"/>
  <c r="H28" i="10"/>
  <c r="I41" i="10"/>
  <c r="I12" i="10"/>
  <c r="P6" i="10" s="1"/>
  <c r="I25" i="10"/>
  <c r="H43" i="10"/>
  <c r="I42" i="10"/>
  <c r="R16" i="10" s="1"/>
  <c r="H42" i="10"/>
  <c r="Q16" i="10" s="1"/>
  <c r="I15" i="10"/>
  <c r="P12" i="10" s="1"/>
  <c r="I28" i="10"/>
  <c r="H41" i="10"/>
  <c r="H12" i="10"/>
  <c r="O6" i="10" s="1"/>
  <c r="H25" i="10"/>
  <c r="I43" i="10"/>
  <c r="I27" i="10"/>
  <c r="H27" i="10"/>
  <c r="H40" i="10"/>
  <c r="I39" i="10"/>
  <c r="H16" i="10"/>
  <c r="Q12" i="10" s="1"/>
  <c r="H15" i="10"/>
  <c r="O12" i="10" s="1"/>
  <c r="I40" i="10"/>
  <c r="H29" i="10"/>
  <c r="Q14" i="10" s="1"/>
  <c r="H39" i="10"/>
  <c r="I26" i="10"/>
  <c r="H30" i="10"/>
  <c r="I13" i="10"/>
  <c r="R6" i="10" s="1"/>
  <c r="H26" i="10"/>
  <c r="I30" i="10"/>
  <c r="H13" i="10"/>
  <c r="Q6" i="10" s="1"/>
  <c r="E162" i="8"/>
  <c r="H17" i="10"/>
  <c r="S12" i="10" s="1"/>
  <c r="K120" i="8"/>
  <c r="H14" i="10"/>
  <c r="S6" i="10" s="1"/>
  <c r="I17" i="10"/>
  <c r="T12" i="10" s="1"/>
  <c r="E120" i="8"/>
  <c r="T16" i="10" l="1"/>
  <c r="S16" i="10"/>
  <c r="Q10" i="10"/>
  <c r="T10" i="10"/>
  <c r="P10" i="10"/>
  <c r="Q8" i="10"/>
  <c r="O16" i="10"/>
  <c r="P16" i="10"/>
  <c r="T8" i="10"/>
  <c r="O8" i="10"/>
  <c r="T14" i="10"/>
  <c r="R10" i="10"/>
  <c r="P14" i="10"/>
  <c r="O14" i="10"/>
  <c r="S14" i="10"/>
  <c r="S10" i="10"/>
  <c r="O10" i="10"/>
  <c r="P8" i="10"/>
  <c r="R8" i="10"/>
  <c r="S8" i="10"/>
  <c r="I14" i="10"/>
  <c r="T6" i="10" s="1"/>
</calcChain>
</file>

<file path=xl/sharedStrings.xml><?xml version="1.0" encoding="utf-8"?>
<sst xmlns="http://schemas.openxmlformats.org/spreadsheetml/2006/main" count="3601" uniqueCount="324">
  <si>
    <r>
      <t xml:space="preserve">Red Clay with Sand 1050 </t>
    </r>
    <r>
      <rPr>
        <b/>
        <sz val="14"/>
        <color theme="1"/>
        <rFont val="Calibri"/>
        <family val="2"/>
      </rPr>
      <t>°C</t>
    </r>
  </si>
  <si>
    <t>Ref</t>
  </si>
  <si>
    <t>1050 °C</t>
  </si>
  <si>
    <t>SSA-Av-A2P</t>
  </si>
  <si>
    <t>efter 105°C</t>
  </si>
  <si>
    <t>SSA-Av efter 1050°C</t>
  </si>
  <si>
    <t>Prøve</t>
  </si>
  <si>
    <t>(g) våd</t>
  </si>
  <si>
    <t>(g) efter 105°</t>
  </si>
  <si>
    <t>%vandindhold</t>
  </si>
  <si>
    <t>(g) efter 1050°C</t>
  </si>
  <si>
    <t>% tab efter 1050</t>
  </si>
  <si>
    <t> </t>
  </si>
  <si>
    <t>diameter 1</t>
  </si>
  <si>
    <t>diameter 2</t>
  </si>
  <si>
    <t>diameter 3</t>
  </si>
  <si>
    <t>gennemsnit</t>
  </si>
  <si>
    <t>højde 1</t>
  </si>
  <si>
    <t>højde 2</t>
  </si>
  <si>
    <t>højde 3</t>
  </si>
  <si>
    <t>#0252</t>
  </si>
  <si>
    <t xml:space="preserve">Reference A </t>
  </si>
  <si>
    <t>Reference B</t>
  </si>
  <si>
    <t>Reference C</t>
  </si>
  <si>
    <t>Reference D</t>
  </si>
  <si>
    <t>Reference E</t>
  </si>
  <si>
    <t>Reference F</t>
  </si>
  <si>
    <t>Reference G</t>
  </si>
  <si>
    <t>kg</t>
  </si>
  <si>
    <t>mm2</t>
  </si>
  <si>
    <t>Brick Pellet Production Overview</t>
  </si>
  <si>
    <t>Variables</t>
  </si>
  <si>
    <t>Clay</t>
  </si>
  <si>
    <t>Treatment</t>
  </si>
  <si>
    <t>Ash</t>
  </si>
  <si>
    <t>Firing temp [C]</t>
  </si>
  <si>
    <t>Ys (#0250)</t>
  </si>
  <si>
    <t>Dried 6 days 50 C</t>
  </si>
  <si>
    <t>Crushed &lt;500mum</t>
  </si>
  <si>
    <t>Dried 1 day 105C</t>
  </si>
  <si>
    <t>Mill 10 sec</t>
  </si>
  <si>
    <t>Rs (#0252)</t>
  </si>
  <si>
    <t>Crushed &lt;5mum</t>
  </si>
  <si>
    <t>Mix order</t>
  </si>
  <si>
    <t>Name</t>
  </si>
  <si>
    <t>SSA</t>
  </si>
  <si>
    <t>Ash Treatment</t>
  </si>
  <si>
    <t>Temp [C]</t>
  </si>
  <si>
    <t>Av</t>
  </si>
  <si>
    <t>Raw</t>
  </si>
  <si>
    <t>Y</t>
  </si>
  <si>
    <t>ED</t>
  </si>
  <si>
    <t>R</t>
  </si>
  <si>
    <t>Ly</t>
  </si>
  <si>
    <t>A2P</t>
  </si>
  <si>
    <t>Teglpille blandeopskrift</t>
  </si>
  <si>
    <t>sample name:</t>
  </si>
  <si>
    <t>Date:</t>
  </si>
  <si>
    <t>Made by:</t>
  </si>
  <si>
    <r>
      <t xml:space="preserve">Mængde til fremstilling af </t>
    </r>
    <r>
      <rPr>
        <b/>
        <u/>
        <sz val="11"/>
        <color theme="1"/>
        <rFont val="Calibri"/>
        <family val="2"/>
        <scheme val="minor"/>
      </rPr>
      <t>en</t>
    </r>
    <r>
      <rPr>
        <b/>
        <sz val="11"/>
        <color theme="1"/>
        <rFont val="Calibri"/>
        <family val="2"/>
        <scheme val="minor"/>
      </rPr>
      <t xml:space="preserve"> omgang teglpiller a 7 stk</t>
    </r>
  </si>
  <si>
    <t>Lynetten</t>
  </si>
  <si>
    <t>Avedøre</t>
  </si>
  <si>
    <t>Elektrodialyse</t>
  </si>
  <si>
    <t>Ash to Phos</t>
  </si>
  <si>
    <t>Production of one batch including 7 discs,  4 g each</t>
  </si>
  <si>
    <t>Replacement</t>
  </si>
  <si>
    <t>Clay (g) (dry)</t>
  </si>
  <si>
    <t>Ash (g) (dry)</t>
  </si>
  <si>
    <t>Water (g)</t>
  </si>
  <si>
    <t>Water %</t>
  </si>
  <si>
    <t>With ash</t>
  </si>
  <si>
    <t>6,25-7,5</t>
  </si>
  <si>
    <t>20-23</t>
  </si>
  <si>
    <t>Production method, one batch including 7 discs, 4 g each</t>
  </si>
  <si>
    <t>Mixing</t>
  </si>
  <si>
    <t>Step 1</t>
  </si>
  <si>
    <t>Ad clay to a bowl</t>
  </si>
  <si>
    <t>Step 2</t>
  </si>
  <si>
    <t>Weigh ash on paper and ad to the bowl</t>
  </si>
  <si>
    <t>Step 3</t>
  </si>
  <si>
    <t>Mix ash and clay</t>
  </si>
  <si>
    <t>Step 4</t>
  </si>
  <si>
    <t>Ad demineralized water with a pipette,little at the time, and stir. Ad approx 20-23 %</t>
  </si>
  <si>
    <t>Step 5</t>
  </si>
  <si>
    <t>Mend together with gloved hands, role up and let sit in a sealed bowl for 24 h</t>
  </si>
  <si>
    <t>Forming</t>
  </si>
  <si>
    <t>Devide mass in to seven, 4 g each</t>
  </si>
  <si>
    <t>Place a specimen in steel the die with paper at the bottom and top (for easy release)</t>
  </si>
  <si>
    <t>Lift the stamp to the top, and let it drop 10 times over the specimen</t>
  </si>
  <si>
    <t>Release from steel die and weigh</t>
  </si>
  <si>
    <t>Place in oven, 105 C for 24 h</t>
  </si>
  <si>
    <t>Weigh and measure diameter and height</t>
  </si>
  <si>
    <t>Place in firing oven on designated ceramic plate</t>
  </si>
  <si>
    <t>Fire at one of three temperatures</t>
  </si>
  <si>
    <r>
      <t xml:space="preserve">Yellow Clay with Sand 1020 </t>
    </r>
    <r>
      <rPr>
        <b/>
        <sz val="14"/>
        <color theme="1"/>
        <rFont val="Calibri"/>
        <family val="2"/>
      </rPr>
      <t>°C</t>
    </r>
  </si>
  <si>
    <r>
      <t xml:space="preserve">Yellow Clay with Sand 1030 </t>
    </r>
    <r>
      <rPr>
        <b/>
        <sz val="14"/>
        <color theme="1"/>
        <rFont val="Calibri"/>
        <family val="2"/>
      </rPr>
      <t>°C</t>
    </r>
  </si>
  <si>
    <r>
      <t xml:space="preserve">Yellow Clay with Sand 1050 </t>
    </r>
    <r>
      <rPr>
        <b/>
        <sz val="14"/>
        <color theme="1"/>
        <rFont val="Calibri"/>
        <family val="2"/>
      </rPr>
      <t>°C</t>
    </r>
  </si>
  <si>
    <t>Mix</t>
  </si>
  <si>
    <t>erstatning</t>
  </si>
  <si>
    <t>Ler (g)</t>
  </si>
  <si>
    <t xml:space="preserve"> Aske (g)</t>
  </si>
  <si>
    <t>Vand (g)</t>
  </si>
  <si>
    <t>tilsat i alt</t>
  </si>
  <si>
    <t>Water content %</t>
  </si>
  <si>
    <t>Pr gang</t>
  </si>
  <si>
    <t>#4</t>
  </si>
  <si>
    <t>#5</t>
  </si>
  <si>
    <t>#6</t>
  </si>
  <si>
    <t>#1</t>
  </si>
  <si>
    <t>SSA-Av</t>
  </si>
  <si>
    <t>#2</t>
  </si>
  <si>
    <t>#3</t>
  </si>
  <si>
    <t>#7</t>
  </si>
  <si>
    <t>SSA-Ly</t>
  </si>
  <si>
    <t>#8</t>
  </si>
  <si>
    <t>#9</t>
  </si>
  <si>
    <r>
      <t xml:space="preserve">Red Clay with Sand 1020 </t>
    </r>
    <r>
      <rPr>
        <b/>
        <sz val="14"/>
        <color theme="1"/>
        <rFont val="Calibri"/>
        <family val="2"/>
      </rPr>
      <t>°C</t>
    </r>
  </si>
  <si>
    <r>
      <t xml:space="preserve">Red Clay with Sand 1030 </t>
    </r>
    <r>
      <rPr>
        <b/>
        <sz val="14"/>
        <color theme="1"/>
        <rFont val="Calibri"/>
        <family val="2"/>
      </rPr>
      <t>°C</t>
    </r>
  </si>
  <si>
    <t>Total amount of ash and clay</t>
  </si>
  <si>
    <t>Yellow clay with sand</t>
  </si>
  <si>
    <t>g</t>
  </si>
  <si>
    <t>Red clay with sand</t>
  </si>
  <si>
    <t>SSA-Av-Raw</t>
  </si>
  <si>
    <t>SSA-Av-ED</t>
  </si>
  <si>
    <t>SSA-Ly-Raw</t>
  </si>
  <si>
    <t>SSA-Ly-ED</t>
  </si>
  <si>
    <t>SSA-A2P</t>
  </si>
  <si>
    <t>Total amount of water</t>
  </si>
  <si>
    <t>Vandindhold og brænding ved 950-1000-1050°C</t>
  </si>
  <si>
    <t>1020 °C</t>
  </si>
  <si>
    <t>Ref (#4)</t>
  </si>
  <si>
    <t>A2P (#4)</t>
  </si>
  <si>
    <t>(g) efter 1020°C</t>
  </si>
  <si>
    <t>% tab efter 1020</t>
  </si>
  <si>
    <t>#0250</t>
  </si>
  <si>
    <t>A</t>
  </si>
  <si>
    <t>B</t>
  </si>
  <si>
    <t>C</t>
  </si>
  <si>
    <t>D</t>
  </si>
  <si>
    <t>E</t>
  </si>
  <si>
    <t>F</t>
  </si>
  <si>
    <t>G</t>
  </si>
  <si>
    <t>1030 °C</t>
  </si>
  <si>
    <t>Ref (#5)</t>
  </si>
  <si>
    <t>A2P (#5)</t>
  </si>
  <si>
    <t>(g) efter 1030°C</t>
  </si>
  <si>
    <t>% tab efter 1030</t>
  </si>
  <si>
    <t>Ref (#6)</t>
  </si>
  <si>
    <t>A2P (#6)</t>
  </si>
  <si>
    <t>Av-Raw (#1)</t>
  </si>
  <si>
    <t>Av-ED (#1)</t>
  </si>
  <si>
    <t>Av-Raw (#2)</t>
  </si>
  <si>
    <t>Av-ED (#2)</t>
  </si>
  <si>
    <t>Av-Raw (#3)</t>
  </si>
  <si>
    <t>Av-ED (#3)</t>
  </si>
  <si>
    <t>Ly-Raw (#7)</t>
  </si>
  <si>
    <t>Ly-ED (#7)</t>
  </si>
  <si>
    <t>Ly-Raw (#8)</t>
  </si>
  <si>
    <t>Ly-ED (#8)</t>
  </si>
  <si>
    <t>Ly-Raw (#9)</t>
  </si>
  <si>
    <t>Ly-ED (#9)</t>
  </si>
  <si>
    <t>Average</t>
  </si>
  <si>
    <t>STDEV</t>
  </si>
  <si>
    <t>Vandinhold %</t>
  </si>
  <si>
    <t>Loss of mass after firing</t>
  </si>
  <si>
    <t>average</t>
  </si>
  <si>
    <t>max</t>
  </si>
  <si>
    <t>min</t>
  </si>
  <si>
    <t>Y-Ref</t>
  </si>
  <si>
    <t>Y-Av-Raw</t>
  </si>
  <si>
    <t>Y-Av-ED</t>
  </si>
  <si>
    <t>Y-Ly-Raw</t>
  </si>
  <si>
    <t>Y-Ly-ED</t>
  </si>
  <si>
    <t>Y-Ly-A2P</t>
  </si>
  <si>
    <t>R-Ref</t>
  </si>
  <si>
    <t>R-Av-Raw</t>
  </si>
  <si>
    <t>R-Av-ED</t>
  </si>
  <si>
    <t>R-Ly-Raw</t>
  </si>
  <si>
    <t>R-Ly-ED</t>
  </si>
  <si>
    <t>R-Ly-A2P</t>
  </si>
  <si>
    <t>High and diameter</t>
  </si>
  <si>
    <t>Ref #4</t>
  </si>
  <si>
    <t>Ref efter 1020°C</t>
  </si>
  <si>
    <t>Vol</t>
  </si>
  <si>
    <t>Shrinkage D [%]</t>
  </si>
  <si>
    <t>Shrinkage h [%]</t>
  </si>
  <si>
    <t>Shrinkage [%]</t>
  </si>
  <si>
    <t>Ref #5</t>
  </si>
  <si>
    <t>Ref efter 1030°C</t>
  </si>
  <si>
    <t>Ref #6</t>
  </si>
  <si>
    <t>Ref efter 1050°C</t>
  </si>
  <si>
    <t>SSA-Av-Raw #1</t>
  </si>
  <si>
    <t>SSA-Av efter 1020°C</t>
  </si>
  <si>
    <t>SSA-Av-ED #1</t>
  </si>
  <si>
    <t>vol</t>
  </si>
  <si>
    <t>#0250-#0262</t>
  </si>
  <si>
    <t>#0250-Pilot-8</t>
  </si>
  <si>
    <t>#0252-#0262</t>
  </si>
  <si>
    <t>#0252-Pilot-8</t>
  </si>
  <si>
    <t>SSA-Av-Raw #2</t>
  </si>
  <si>
    <t>SSA-Av efter 1030°C</t>
  </si>
  <si>
    <t>SSA-Av-ED #2</t>
  </si>
  <si>
    <t>SSA-Av-Raw #3</t>
  </si>
  <si>
    <t>SSA-Av-ED #3</t>
  </si>
  <si>
    <t>SSA-Ly-Raw #7</t>
  </si>
  <si>
    <t>SSA-Ly efter 1020°C</t>
  </si>
  <si>
    <t>SSA-Ly-ED #7</t>
  </si>
  <si>
    <t>#0250-#0263</t>
  </si>
  <si>
    <t>#0250-Pilot-10</t>
  </si>
  <si>
    <t>#0252-#0263</t>
  </si>
  <si>
    <t>#0252-Pilot-10</t>
  </si>
  <si>
    <t>SSA-Ly-Raw #8</t>
  </si>
  <si>
    <t>SSA-Ly efter 1030°C</t>
  </si>
  <si>
    <t>SSA-Ly-ED #8</t>
  </si>
  <si>
    <t>SSA-Ly-Raw #9</t>
  </si>
  <si>
    <t>SSA-Ly efter 1050°C</t>
  </si>
  <si>
    <t>SSA-Ly-ED #9</t>
  </si>
  <si>
    <t>SSA-Ly-A2P #4</t>
  </si>
  <si>
    <t>SSA-Ly-A2P</t>
  </si>
  <si>
    <t>#0250-#0179</t>
  </si>
  <si>
    <t>#0252-#0179</t>
  </si>
  <si>
    <t>SSA-Ly-A2P #5</t>
  </si>
  <si>
    <t>#0250-Av-A2P</t>
  </si>
  <si>
    <t>#0252-Av-A2P</t>
  </si>
  <si>
    <t>SSA-Ly-A2P #6</t>
  </si>
  <si>
    <t>Average fired D</t>
  </si>
  <si>
    <t>stdev</t>
  </si>
  <si>
    <t>efter 1020°C</t>
  </si>
  <si>
    <t>Diameter</t>
  </si>
  <si>
    <t>Height</t>
  </si>
  <si>
    <t>efter 1030°C</t>
  </si>
  <si>
    <t>efter 1050°C</t>
  </si>
  <si>
    <t>Y-Av-A2P</t>
  </si>
  <si>
    <t>R-Av-A2P</t>
  </si>
  <si>
    <t>1020°C</t>
  </si>
  <si>
    <t>1030°C</t>
  </si>
  <si>
    <t>1050°C</t>
  </si>
  <si>
    <t>Shrinkage D</t>
  </si>
  <si>
    <t>Shrinkage h</t>
  </si>
  <si>
    <t>volume shrinkage</t>
  </si>
  <si>
    <t>Firing</t>
  </si>
  <si>
    <t>#4, #5, #6</t>
  </si>
  <si>
    <t>#1, #2, #3</t>
  </si>
  <si>
    <t>#7, #8, #9</t>
  </si>
  <si>
    <t>diameter shrinkage</t>
  </si>
  <si>
    <t>Porøsitet og Densitet</t>
  </si>
  <si>
    <r>
      <t>m</t>
    </r>
    <r>
      <rPr>
        <vertAlign val="subscript"/>
        <sz val="11"/>
        <color theme="1"/>
        <rFont val="Calibri"/>
        <family val="2"/>
        <scheme val="minor"/>
      </rPr>
      <t xml:space="preserve">105 </t>
    </r>
  </si>
  <si>
    <t>masse af prøveelement efter tørring ved 105°C (kg)</t>
  </si>
  <si>
    <t>Sample name:</t>
  </si>
  <si>
    <r>
      <t>m</t>
    </r>
    <r>
      <rPr>
        <vertAlign val="subscript"/>
        <sz val="11"/>
        <color theme="1"/>
        <rFont val="Calibri"/>
        <family val="2"/>
        <scheme val="minor"/>
      </rPr>
      <t>ssd</t>
    </r>
  </si>
  <si>
    <t>masse af prøveelement over vand eftger vaccumvandmætning (kg)</t>
  </si>
  <si>
    <t>SSA-ED:</t>
  </si>
  <si>
    <t>slut aske fra E21-F21-G21-H21</t>
  </si>
  <si>
    <r>
      <t>m</t>
    </r>
    <r>
      <rPr>
        <vertAlign val="subscript"/>
        <sz val="11"/>
        <color theme="1"/>
        <rFont val="Calibri"/>
        <family val="2"/>
        <scheme val="minor"/>
      </rPr>
      <t>sw</t>
    </r>
  </si>
  <si>
    <t>masse af vaccumvandmætter prøvelegeme vejet i vand (kg)</t>
  </si>
  <si>
    <t>SSA:</t>
  </si>
  <si>
    <t>#0010 Avedøre-krüger-1 knust 10 sec</t>
  </si>
  <si>
    <t xml:space="preserve">V </t>
  </si>
  <si>
    <t>prøvelegemets volume (m3)</t>
  </si>
  <si>
    <r>
      <t>V</t>
    </r>
    <r>
      <rPr>
        <vertAlign val="subscript"/>
        <sz val="11"/>
        <color theme="1"/>
        <rFont val="Calibri"/>
        <family val="2"/>
        <scheme val="minor"/>
      </rPr>
      <t>på</t>
    </r>
  </si>
  <si>
    <t>volume af porer (m3)</t>
  </si>
  <si>
    <r>
      <t>P</t>
    </r>
    <r>
      <rPr>
        <vertAlign val="subscript"/>
        <sz val="11"/>
        <color theme="1"/>
        <rFont val="Calibri"/>
        <family val="2"/>
        <scheme val="minor"/>
      </rPr>
      <t>f</t>
    </r>
  </si>
  <si>
    <t>Faststofdensitet (kg/m3)</t>
  </si>
  <si>
    <r>
      <t>P</t>
    </r>
    <r>
      <rPr>
        <vertAlign val="subscript"/>
        <sz val="11"/>
        <color theme="1"/>
        <rFont val="Calibri"/>
        <family val="2"/>
        <scheme val="minor"/>
      </rPr>
      <t>d</t>
    </r>
  </si>
  <si>
    <t>tørdensitet (kg/m3)</t>
  </si>
  <si>
    <t>Vand °C:</t>
  </si>
  <si>
    <r>
      <t>P</t>
    </r>
    <r>
      <rPr>
        <vertAlign val="subscript"/>
        <sz val="11"/>
        <color theme="1"/>
        <rFont val="Calibri"/>
        <family val="2"/>
        <scheme val="minor"/>
      </rPr>
      <t>ssd</t>
    </r>
  </si>
  <si>
    <t>densitet af prøveelegeme i vaccumvandmættet overfaldetør tilstand (kg/m3)</t>
  </si>
  <si>
    <r>
      <t>densitet kg/m</t>
    </r>
    <r>
      <rPr>
        <sz val="11"/>
        <color theme="1"/>
        <rFont val="Calibri"/>
        <family val="2"/>
      </rPr>
      <t>³:</t>
    </r>
  </si>
  <si>
    <r>
      <t>P</t>
    </r>
    <r>
      <rPr>
        <vertAlign val="subscript"/>
        <sz val="11"/>
        <color theme="1"/>
        <rFont val="Calibri"/>
        <family val="2"/>
        <scheme val="minor"/>
      </rPr>
      <t>å</t>
    </r>
  </si>
  <si>
    <t>Prøverlegemets åbne porer (m/m3)</t>
  </si>
  <si>
    <r>
      <t>U</t>
    </r>
    <r>
      <rPr>
        <vertAlign val="subscript"/>
        <sz val="11"/>
        <color theme="1"/>
        <rFont val="Calibri"/>
        <family val="2"/>
        <scheme val="minor"/>
      </rPr>
      <t>ssd</t>
    </r>
  </si>
  <si>
    <t>Vandtørstofforhold i vaccumvandmættet overfladetør tilstand (kg/kg)</t>
  </si>
  <si>
    <t>Brænd ved °C</t>
  </si>
  <si>
    <t>Lertype</t>
  </si>
  <si>
    <t>Asketype</t>
  </si>
  <si>
    <t>Vægt(g) m105</t>
  </si>
  <si>
    <t>m ssd</t>
  </si>
  <si>
    <t>m sw</t>
  </si>
  <si>
    <t>V</t>
  </si>
  <si>
    <t>Vpå</t>
  </si>
  <si>
    <t>På</t>
  </si>
  <si>
    <t>pd</t>
  </si>
  <si>
    <t>pf</t>
  </si>
  <si>
    <t>Pssd</t>
  </si>
  <si>
    <t>Ussd</t>
  </si>
  <si>
    <t>Porøsitet</t>
  </si>
  <si>
    <r>
      <t>m</t>
    </r>
    <r>
      <rPr>
        <b/>
        <sz val="11"/>
        <color rgb="FF3F3F3F"/>
        <rFont val="Calibri"/>
        <family val="2"/>
      </rPr>
      <t>³</t>
    </r>
  </si>
  <si>
    <r>
      <t>m³/m</t>
    </r>
    <r>
      <rPr>
        <b/>
        <sz val="11"/>
        <color rgb="FF3F3F3F"/>
        <rFont val="Calibri"/>
        <family val="2"/>
      </rPr>
      <t>³</t>
    </r>
  </si>
  <si>
    <r>
      <t>kg/m</t>
    </r>
    <r>
      <rPr>
        <b/>
        <sz val="11"/>
        <color rgb="FF3F3F3F"/>
        <rFont val="Calibri"/>
        <family val="2"/>
      </rPr>
      <t>³</t>
    </r>
  </si>
  <si>
    <t>kg/kg</t>
  </si>
  <si>
    <t>m³/m³</t>
  </si>
  <si>
    <r>
      <t>Mix #4 1020</t>
    </r>
    <r>
      <rPr>
        <sz val="11"/>
        <color theme="1"/>
        <rFont val="Calibri"/>
        <family val="2"/>
      </rPr>
      <t>°C</t>
    </r>
  </si>
  <si>
    <r>
      <t>Mix #5 1030</t>
    </r>
    <r>
      <rPr>
        <sz val="11"/>
        <color theme="1"/>
        <rFont val="Calibri"/>
        <family val="2"/>
      </rPr>
      <t>°C</t>
    </r>
  </si>
  <si>
    <r>
      <t>Mix #6 - 1050</t>
    </r>
    <r>
      <rPr>
        <sz val="11"/>
        <color theme="1"/>
        <rFont val="Calibri"/>
        <family val="2"/>
      </rPr>
      <t>°C</t>
    </r>
  </si>
  <si>
    <r>
      <t xml:space="preserve"> Mix #1 - 1020</t>
    </r>
    <r>
      <rPr>
        <sz val="11"/>
        <color theme="1"/>
        <rFont val="Calibri"/>
        <family val="2"/>
      </rPr>
      <t>°C</t>
    </r>
  </si>
  <si>
    <r>
      <t>Mix #2 - 1030</t>
    </r>
    <r>
      <rPr>
        <sz val="11"/>
        <color theme="1"/>
        <rFont val="Calibri"/>
        <family val="2"/>
      </rPr>
      <t>°C</t>
    </r>
  </si>
  <si>
    <r>
      <t>Mix #3 - 1050</t>
    </r>
    <r>
      <rPr>
        <sz val="11"/>
        <color theme="1"/>
        <rFont val="Calibri"/>
        <family val="2"/>
      </rPr>
      <t>°C</t>
    </r>
  </si>
  <si>
    <r>
      <t xml:space="preserve"> Mix #7 - 1020</t>
    </r>
    <r>
      <rPr>
        <sz val="11"/>
        <color theme="1"/>
        <rFont val="Calibri"/>
        <family val="2"/>
      </rPr>
      <t>°C</t>
    </r>
  </si>
  <si>
    <r>
      <t>Mix #8 - 1030</t>
    </r>
    <r>
      <rPr>
        <sz val="11"/>
        <color theme="1"/>
        <rFont val="Calibri"/>
        <family val="2"/>
      </rPr>
      <t>°C</t>
    </r>
  </si>
  <si>
    <r>
      <t>Mix #9 - 1050</t>
    </r>
    <r>
      <rPr>
        <sz val="11"/>
        <color theme="1"/>
        <rFont val="Calibri"/>
        <family val="2"/>
      </rPr>
      <t>°C</t>
    </r>
  </si>
  <si>
    <t>[%]</t>
  </si>
  <si>
    <t>Y-P1-Raw</t>
  </si>
  <si>
    <t>Y-P1-ED</t>
  </si>
  <si>
    <t>Y-P2-Raw</t>
  </si>
  <si>
    <t>Y-P2-ED</t>
  </si>
  <si>
    <t>Y-P2-A2P</t>
  </si>
  <si>
    <t>R-P1-Raw</t>
  </si>
  <si>
    <t>R-P1-ED</t>
  </si>
  <si>
    <t>R-P2-Raw</t>
  </si>
  <si>
    <t>R-P2-ED</t>
  </si>
  <si>
    <t>R-P2-A2P</t>
  </si>
  <si>
    <t>Drying shrinkage D [%]</t>
  </si>
  <si>
    <t>Drying shrinkage D[%]</t>
  </si>
  <si>
    <t>Drying</t>
  </si>
  <si>
    <t>Total</t>
  </si>
  <si>
    <t>Annotation</t>
  </si>
  <si>
    <t>P1</t>
  </si>
  <si>
    <t>P2</t>
  </si>
  <si>
    <t>SSA-P2-Raw (#0263)</t>
  </si>
  <si>
    <t>SSA-P2-ED (Pilot-10)</t>
  </si>
  <si>
    <t>SSA-P2-A2P (#0179)</t>
  </si>
  <si>
    <t>SSA-P1-ED (Pilot-8)</t>
  </si>
  <si>
    <t>SSA-P1-Raw (#0262)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</si>
</sst>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;@"/>
    <numFmt numFmtId="165" formatCode="0.0000"/>
    <numFmt numFmtId="166" formatCode="0.000000E+00"/>
    <numFmt numFmtId="167" formatCode="0.000"/>
    <numFmt numFmtId="168" formatCode="0.0000000"/>
    <numFmt numFmtId="169" formatCode="0.000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3F3F3F"/>
      <name val="Calibri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44">
    <xf numFmtId="0" fontId="0" fillId="0" borderId="0" xfId="0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6" fillId="0" borderId="0" xfId="0" applyFont="1"/>
    <xf numFmtId="0" fontId="3" fillId="5" borderId="2" xfId="0" applyFont="1" applyFill="1" applyBorder="1"/>
    <xf numFmtId="0" fontId="3" fillId="5" borderId="4" xfId="0" applyFont="1" applyFill="1" applyBorder="1"/>
    <xf numFmtId="0" fontId="0" fillId="0" borderId="4" xfId="0" applyBorder="1"/>
    <xf numFmtId="0" fontId="1" fillId="3" borderId="10" xfId="2" applyBorder="1"/>
    <xf numFmtId="0" fontId="1" fillId="3" borderId="15" xfId="2" applyBorder="1"/>
    <xf numFmtId="0" fontId="3" fillId="0" borderId="0" xfId="0" applyFont="1"/>
    <xf numFmtId="0" fontId="0" fillId="0" borderId="3" xfId="0" applyBorder="1"/>
    <xf numFmtId="0" fontId="1" fillId="4" borderId="10" xfId="3" applyBorder="1"/>
    <xf numFmtId="0" fontId="1" fillId="4" borderId="15" xfId="3" applyBorder="1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5" borderId="19" xfId="0" applyFont="1" applyFill="1" applyBorder="1" applyAlignment="1">
      <alignment horizontal="center"/>
    </xf>
    <xf numFmtId="0" fontId="1" fillId="4" borderId="9" xfId="3" applyBorder="1"/>
    <xf numFmtId="0" fontId="1" fillId="4" borderId="4" xfId="3" applyBorder="1"/>
    <xf numFmtId="0" fontId="1" fillId="4" borderId="4" xfId="3" applyBorder="1" applyAlignment="1">
      <alignment horizontal="center"/>
    </xf>
    <xf numFmtId="0" fontId="0" fillId="4" borderId="18" xfId="3" applyFont="1" applyBorder="1"/>
    <xf numFmtId="0" fontId="1" fillId="4" borderId="18" xfId="3" applyBorder="1"/>
    <xf numFmtId="0" fontId="0" fillId="4" borderId="19" xfId="3" applyFont="1" applyBorder="1"/>
    <xf numFmtId="165" fontId="0" fillId="0" borderId="1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165" fontId="0" fillId="0" borderId="34" xfId="0" applyNumberFormat="1" applyBorder="1" applyAlignment="1">
      <alignment horizontal="center"/>
    </xf>
    <xf numFmtId="165" fontId="0" fillId="0" borderId="35" xfId="0" applyNumberForma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165" fontId="0" fillId="0" borderId="37" xfId="0" applyNumberForma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165" fontId="0" fillId="0" borderId="39" xfId="0" applyNumberFormat="1" applyBorder="1" applyAlignment="1">
      <alignment horizontal="center"/>
    </xf>
    <xf numFmtId="165" fontId="0" fillId="0" borderId="41" xfId="0" applyNumberFormat="1" applyBorder="1" applyAlignment="1">
      <alignment horizontal="center"/>
    </xf>
    <xf numFmtId="165" fontId="0" fillId="0" borderId="42" xfId="0" applyNumberFormat="1" applyBorder="1" applyAlignment="1">
      <alignment horizontal="center"/>
    </xf>
    <xf numFmtId="2" fontId="0" fillId="0" borderId="43" xfId="0" applyNumberFormat="1" applyBorder="1" applyAlignment="1">
      <alignment horizontal="center"/>
    </xf>
    <xf numFmtId="165" fontId="0" fillId="0" borderId="44" xfId="0" applyNumberFormat="1" applyBorder="1" applyAlignment="1">
      <alignment horizontal="center"/>
    </xf>
    <xf numFmtId="165" fontId="0" fillId="0" borderId="47" xfId="0" applyNumberFormat="1" applyBorder="1" applyAlignment="1">
      <alignment horizontal="center"/>
    </xf>
    <xf numFmtId="165" fontId="0" fillId="0" borderId="48" xfId="0" applyNumberFormat="1" applyBorder="1" applyAlignment="1">
      <alignment horizontal="center"/>
    </xf>
    <xf numFmtId="2" fontId="0" fillId="0" borderId="46" xfId="0" applyNumberFormat="1" applyBorder="1" applyAlignment="1">
      <alignment horizontal="center"/>
    </xf>
    <xf numFmtId="165" fontId="0" fillId="0" borderId="49" xfId="0" applyNumberForma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165" fontId="0" fillId="0" borderId="51" xfId="0" applyNumberFormat="1" applyBorder="1" applyAlignment="1">
      <alignment horizontal="center"/>
    </xf>
    <xf numFmtId="165" fontId="0" fillId="0" borderId="52" xfId="0" applyNumberFormat="1" applyBorder="1" applyAlignment="1">
      <alignment horizontal="center"/>
    </xf>
    <xf numFmtId="2" fontId="0" fillId="0" borderId="52" xfId="0" applyNumberFormat="1" applyBorder="1" applyAlignment="1">
      <alignment horizontal="center"/>
    </xf>
    <xf numFmtId="165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165" fontId="0" fillId="0" borderId="55" xfId="0" applyNumberFormat="1" applyBorder="1" applyAlignment="1">
      <alignment horizontal="center"/>
    </xf>
    <xf numFmtId="165" fontId="0" fillId="0" borderId="56" xfId="0" applyNumberFormat="1" applyBorder="1" applyAlignment="1">
      <alignment horizontal="center"/>
    </xf>
    <xf numFmtId="2" fontId="0" fillId="0" borderId="57" xfId="0" applyNumberFormat="1" applyBorder="1" applyAlignment="1">
      <alignment horizontal="center"/>
    </xf>
    <xf numFmtId="165" fontId="0" fillId="0" borderId="57" xfId="0" applyNumberFormat="1" applyBorder="1" applyAlignment="1">
      <alignment horizontal="center"/>
    </xf>
    <xf numFmtId="2" fontId="0" fillId="0" borderId="58" xfId="0" applyNumberFormat="1" applyBorder="1" applyAlignment="1">
      <alignment horizontal="center"/>
    </xf>
    <xf numFmtId="2" fontId="0" fillId="0" borderId="59" xfId="0" applyNumberFormat="1" applyBorder="1" applyAlignment="1">
      <alignment horizontal="center"/>
    </xf>
    <xf numFmtId="165" fontId="0" fillId="0" borderId="60" xfId="0" applyNumberFormat="1" applyBorder="1" applyAlignment="1">
      <alignment horizontal="center"/>
    </xf>
    <xf numFmtId="2" fontId="0" fillId="0" borderId="61" xfId="0" applyNumberFormat="1" applyBorder="1" applyAlignment="1">
      <alignment horizontal="center"/>
    </xf>
    <xf numFmtId="165" fontId="0" fillId="0" borderId="62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63" xfId="0" applyNumberFormat="1" applyBorder="1" applyAlignment="1">
      <alignment horizontal="center"/>
    </xf>
    <xf numFmtId="0" fontId="1" fillId="0" borderId="0" xfId="3" applyFill="1" applyBorder="1"/>
    <xf numFmtId="0" fontId="0" fillId="0" borderId="0" xfId="3" applyFont="1" applyFill="1" applyBorder="1"/>
    <xf numFmtId="0" fontId="1" fillId="0" borderId="0" xfId="3" applyFill="1" applyBorder="1" applyAlignment="1">
      <alignment vertical="center" textRotation="90"/>
    </xf>
    <xf numFmtId="0" fontId="1" fillId="0" borderId="0" xfId="2" applyFill="1" applyBorder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3" applyFont="1" applyFill="1" applyBorder="1" applyAlignment="1">
      <alignment vertical="center" textRotation="90"/>
    </xf>
    <xf numFmtId="0" fontId="0" fillId="0" borderId="0" xfId="2" applyFont="1" applyFill="1" applyBorder="1"/>
    <xf numFmtId="0" fontId="9" fillId="7" borderId="19" xfId="0" applyFont="1" applyFill="1" applyBorder="1"/>
    <xf numFmtId="0" fontId="10" fillId="7" borderId="64" xfId="0" applyFont="1" applyFill="1" applyBorder="1"/>
    <xf numFmtId="0" fontId="10" fillId="7" borderId="65" xfId="0" applyFont="1" applyFill="1" applyBorder="1"/>
    <xf numFmtId="0" fontId="8" fillId="0" borderId="0" xfId="0" applyFont="1"/>
    <xf numFmtId="0" fontId="10" fillId="7" borderId="66" xfId="0" applyFont="1" applyFill="1" applyBorder="1"/>
    <xf numFmtId="0" fontId="8" fillId="6" borderId="67" xfId="0" applyFont="1" applyFill="1" applyBorder="1"/>
    <xf numFmtId="0" fontId="8" fillId="6" borderId="28" xfId="0" applyFont="1" applyFill="1" applyBorder="1"/>
    <xf numFmtId="0" fontId="8" fillId="6" borderId="30" xfId="0" applyFont="1" applyFill="1" applyBorder="1"/>
    <xf numFmtId="0" fontId="8" fillId="6" borderId="31" xfId="0" applyFont="1" applyFill="1" applyBorder="1"/>
    <xf numFmtId="0" fontId="8" fillId="6" borderId="9" xfId="0" applyFont="1" applyFill="1" applyBorder="1"/>
    <xf numFmtId="0" fontId="8" fillId="6" borderId="68" xfId="0" applyFont="1" applyFill="1" applyBorder="1"/>
    <xf numFmtId="0" fontId="8" fillId="6" borderId="69" xfId="0" applyFont="1" applyFill="1" applyBorder="1"/>
    <xf numFmtId="0" fontId="8" fillId="6" borderId="70" xfId="0" applyFont="1" applyFill="1" applyBorder="1"/>
    <xf numFmtId="0" fontId="1" fillId="0" borderId="0" xfId="3" applyFill="1" applyBorder="1" applyAlignment="1"/>
    <xf numFmtId="0" fontId="0" fillId="0" borderId="0" xfId="3" applyFont="1" applyFill="1" applyBorder="1" applyAlignment="1"/>
    <xf numFmtId="0" fontId="8" fillId="0" borderId="10" xfId="0" applyFont="1" applyBorder="1"/>
    <xf numFmtId="0" fontId="8" fillId="0" borderId="72" xfId="0" applyFont="1" applyBorder="1"/>
    <xf numFmtId="0" fontId="8" fillId="0" borderId="73" xfId="0" applyFont="1" applyBorder="1"/>
    <xf numFmtId="0" fontId="8" fillId="0" borderId="71" xfId="0" applyFont="1" applyBorder="1"/>
    <xf numFmtId="0" fontId="1" fillId="0" borderId="0" xfId="2" applyFill="1" applyBorder="1" applyAlignment="1"/>
    <xf numFmtId="2" fontId="0" fillId="0" borderId="0" xfId="0" applyNumberFormat="1"/>
    <xf numFmtId="0" fontId="8" fillId="0" borderId="52" xfId="0" applyFont="1" applyBorder="1"/>
    <xf numFmtId="0" fontId="8" fillId="0" borderId="55" xfId="0" applyFont="1" applyBorder="1"/>
    <xf numFmtId="0" fontId="8" fillId="0" borderId="74" xfId="0" applyFont="1" applyBorder="1"/>
    <xf numFmtId="0" fontId="8" fillId="0" borderId="7" xfId="0" applyFont="1" applyBorder="1"/>
    <xf numFmtId="0" fontId="8" fillId="0" borderId="76" xfId="0" applyFont="1" applyBorder="1"/>
    <xf numFmtId="0" fontId="8" fillId="0" borderId="6" xfId="0" applyFont="1" applyBorder="1"/>
    <xf numFmtId="0" fontId="0" fillId="0" borderId="0" xfId="2" applyFont="1" applyFill="1" applyBorder="1" applyAlignment="1"/>
    <xf numFmtId="0" fontId="0" fillId="0" borderId="70" xfId="0" applyBorder="1"/>
    <xf numFmtId="0" fontId="0" fillId="0" borderId="67" xfId="0" applyBorder="1"/>
    <xf numFmtId="0" fontId="2" fillId="5" borderId="0" xfId="1" applyFill="1" applyBorder="1"/>
    <xf numFmtId="0" fontId="3" fillId="5" borderId="0" xfId="0" applyFont="1" applyFill="1"/>
    <xf numFmtId="0" fontId="0" fillId="0" borderId="69" xfId="0" applyBorder="1"/>
    <xf numFmtId="0" fontId="12" fillId="0" borderId="0" xfId="0" applyFont="1"/>
    <xf numFmtId="0" fontId="0" fillId="0" borderId="80" xfId="0" applyBorder="1"/>
    <xf numFmtId="0" fontId="0" fillId="0" borderId="81" xfId="0" applyBorder="1"/>
    <xf numFmtId="0" fontId="3" fillId="5" borderId="26" xfId="0" applyFont="1" applyFill="1" applyBorder="1"/>
    <xf numFmtId="0" fontId="2" fillId="5" borderId="10" xfId="1" applyFill="1" applyBorder="1"/>
    <xf numFmtId="0" fontId="2" fillId="5" borderId="82" xfId="1" applyFill="1" applyBorder="1"/>
    <xf numFmtId="0" fontId="0" fillId="5" borderId="28" xfId="0" applyFill="1" applyBorder="1"/>
    <xf numFmtId="0" fontId="2" fillId="5" borderId="29" xfId="1" applyFill="1" applyBorder="1"/>
    <xf numFmtId="0" fontId="8" fillId="6" borderId="26" xfId="0" applyFont="1" applyFill="1" applyBorder="1"/>
    <xf numFmtId="0" fontId="8" fillId="6" borderId="74" xfId="0" applyFont="1" applyFill="1" applyBorder="1"/>
    <xf numFmtId="0" fontId="8" fillId="6" borderId="6" xfId="0" applyFont="1" applyFill="1" applyBorder="1"/>
    <xf numFmtId="0" fontId="1" fillId="0" borderId="0" xfId="2" applyFill="1" applyBorder="1" applyAlignment="1">
      <alignment vertical="center"/>
    </xf>
    <xf numFmtId="0" fontId="1" fillId="0" borderId="0" xfId="3" applyFill="1" applyBorder="1" applyAlignment="1">
      <alignment vertical="center"/>
    </xf>
    <xf numFmtId="0" fontId="3" fillId="0" borderId="0" xfId="0" applyFont="1" applyAlignment="1">
      <alignment horizontal="center"/>
    </xf>
    <xf numFmtId="0" fontId="1" fillId="0" borderId="0" xfId="3" applyFill="1" applyBorder="1" applyAlignment="1">
      <alignment horizontal="center"/>
    </xf>
    <xf numFmtId="0" fontId="8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0" borderId="0" xfId="3" applyFont="1" applyFill="1" applyBorder="1" applyAlignment="1">
      <alignment horizontal="center" vertical="center" textRotation="90"/>
    </xf>
    <xf numFmtId="0" fontId="8" fillId="6" borderId="0" xfId="0" applyFont="1" applyFill="1"/>
    <xf numFmtId="0" fontId="9" fillId="0" borderId="0" xfId="0" applyFont="1"/>
    <xf numFmtId="2" fontId="8" fillId="0" borderId="0" xfId="0" applyNumberFormat="1" applyFont="1" applyAlignment="1">
      <alignment horizontal="center"/>
    </xf>
    <xf numFmtId="0" fontId="10" fillId="0" borderId="0" xfId="0" applyFont="1"/>
    <xf numFmtId="0" fontId="8" fillId="0" borderId="0" xfId="0" applyFont="1" applyAlignment="1">
      <alignment textRotation="90"/>
    </xf>
    <xf numFmtId="9" fontId="1" fillId="3" borderId="10" xfId="2" applyNumberFormat="1" applyBorder="1" applyAlignment="1">
      <alignment horizontal="center"/>
    </xf>
    <xf numFmtId="9" fontId="1" fillId="3" borderId="15" xfId="2" applyNumberFormat="1" applyBorder="1" applyAlignment="1">
      <alignment horizontal="center"/>
    </xf>
    <xf numFmtId="9" fontId="1" fillId="4" borderId="10" xfId="3" applyNumberFormat="1" applyBorder="1" applyAlignment="1">
      <alignment horizontal="center"/>
    </xf>
    <xf numFmtId="9" fontId="1" fillId="4" borderId="15" xfId="3" applyNumberFormat="1" applyBorder="1" applyAlignment="1">
      <alignment horizontal="center"/>
    </xf>
    <xf numFmtId="0" fontId="4" fillId="5" borderId="2" xfId="0" applyFont="1" applyFill="1" applyBorder="1"/>
    <xf numFmtId="0" fontId="4" fillId="5" borderId="16" xfId="0" applyFont="1" applyFill="1" applyBorder="1"/>
    <xf numFmtId="0" fontId="4" fillId="5" borderId="17" xfId="0" applyFont="1" applyFill="1" applyBorder="1"/>
    <xf numFmtId="165" fontId="0" fillId="0" borderId="86" xfId="0" applyNumberFormat="1" applyBorder="1" applyAlignment="1">
      <alignment horizontal="center"/>
    </xf>
    <xf numFmtId="0" fontId="0" fillId="4" borderId="27" xfId="3" applyFont="1" applyBorder="1"/>
    <xf numFmtId="0" fontId="1" fillId="4" borderId="74" xfId="3" applyBorder="1"/>
    <xf numFmtId="0" fontId="1" fillId="4" borderId="6" xfId="3" applyBorder="1"/>
    <xf numFmtId="0" fontId="1" fillId="3" borderId="55" xfId="2" applyBorder="1"/>
    <xf numFmtId="0" fontId="1" fillId="3" borderId="76" xfId="2" applyBorder="1"/>
    <xf numFmtId="0" fontId="1" fillId="3" borderId="71" xfId="2" applyBorder="1"/>
    <xf numFmtId="0" fontId="1" fillId="0" borderId="0" xfId="2" applyFill="1" applyBorder="1" applyAlignment="1">
      <alignment vertical="center" textRotation="90"/>
    </xf>
    <xf numFmtId="0" fontId="1" fillId="3" borderId="85" xfId="2" applyBorder="1"/>
    <xf numFmtId="0" fontId="1" fillId="4" borderId="26" xfId="3" applyBorder="1"/>
    <xf numFmtId="0" fontId="8" fillId="6" borderId="12" xfId="0" applyFont="1" applyFill="1" applyBorder="1"/>
    <xf numFmtId="0" fontId="8" fillId="6" borderId="85" xfId="0" applyFont="1" applyFill="1" applyBorder="1"/>
    <xf numFmtId="0" fontId="8" fillId="6" borderId="79" xfId="0" applyFont="1" applyFill="1" applyBorder="1"/>
    <xf numFmtId="0" fontId="3" fillId="5" borderId="72" xfId="0" applyFont="1" applyFill="1" applyBorder="1"/>
    <xf numFmtId="0" fontId="0" fillId="5" borderId="30" xfId="0" applyFill="1" applyBorder="1"/>
    <xf numFmtId="0" fontId="2" fillId="5" borderId="13" xfId="1" applyFill="1" applyBorder="1"/>
    <xf numFmtId="0" fontId="8" fillId="0" borderId="13" xfId="0" applyFont="1" applyBorder="1"/>
    <xf numFmtId="0" fontId="8" fillId="0" borderId="15" xfId="0" applyFont="1" applyBorder="1"/>
    <xf numFmtId="0" fontId="1" fillId="0" borderId="0" xfId="3" applyFill="1" applyBorder="1" applyAlignment="1">
      <alignment horizontal="center" vertical="center"/>
    </xf>
    <xf numFmtId="166" fontId="0" fillId="0" borderId="0" xfId="0" applyNumberFormat="1"/>
    <xf numFmtId="0" fontId="0" fillId="0" borderId="0" xfId="3" applyFont="1" applyFill="1" applyBorder="1" applyAlignment="1">
      <alignment vertical="center"/>
    </xf>
    <xf numFmtId="0" fontId="2" fillId="0" borderId="0" xfId="1" applyFill="1" applyBorder="1"/>
    <xf numFmtId="0" fontId="0" fillId="0" borderId="78" xfId="0" applyBorder="1"/>
    <xf numFmtId="0" fontId="0" fillId="0" borderId="79" xfId="0" applyBorder="1"/>
    <xf numFmtId="0" fontId="0" fillId="0" borderId="77" xfId="0" applyBorder="1"/>
    <xf numFmtId="0" fontId="0" fillId="0" borderId="2" xfId="0" applyBorder="1"/>
    <xf numFmtId="0" fontId="0" fillId="0" borderId="16" xfId="0" applyBorder="1"/>
    <xf numFmtId="0" fontId="0" fillId="0" borderId="17" xfId="0" applyBorder="1"/>
    <xf numFmtId="2" fontId="0" fillId="0" borderId="82" xfId="0" applyNumberFormat="1" applyBorder="1" applyAlignment="1">
      <alignment horizontal="center"/>
    </xf>
    <xf numFmtId="2" fontId="0" fillId="0" borderId="90" xfId="0" applyNumberFormat="1" applyBorder="1" applyAlignment="1">
      <alignment horizontal="center"/>
    </xf>
    <xf numFmtId="2" fontId="0" fillId="0" borderId="92" xfId="0" applyNumberFormat="1" applyBorder="1" applyAlignment="1">
      <alignment horizontal="center"/>
    </xf>
    <xf numFmtId="0" fontId="1" fillId="4" borderId="89" xfId="3" applyBorder="1"/>
    <xf numFmtId="2" fontId="8" fillId="0" borderId="82" xfId="0" applyNumberFormat="1" applyFont="1" applyBorder="1" applyAlignment="1">
      <alignment horizontal="center"/>
    </xf>
    <xf numFmtId="2" fontId="8" fillId="0" borderId="90" xfId="0" applyNumberFormat="1" applyFont="1" applyBorder="1" applyAlignment="1">
      <alignment horizontal="center"/>
    </xf>
    <xf numFmtId="2" fontId="8" fillId="0" borderId="92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72" xfId="0" applyFont="1" applyBorder="1" applyAlignment="1">
      <alignment horizontal="center"/>
    </xf>
    <xf numFmtId="0" fontId="8" fillId="0" borderId="52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1" fillId="3" borderId="26" xfId="2" applyBorder="1"/>
    <xf numFmtId="2" fontId="8" fillId="0" borderId="11" xfId="0" applyNumberFormat="1" applyFont="1" applyBorder="1" applyAlignment="1">
      <alignment horizontal="center"/>
    </xf>
    <xf numFmtId="0" fontId="1" fillId="3" borderId="74" xfId="2" applyBorder="1"/>
    <xf numFmtId="0" fontId="1" fillId="3" borderId="6" xfId="2" applyBorder="1"/>
    <xf numFmtId="0" fontId="8" fillId="0" borderId="7" xfId="0" applyFont="1" applyBorder="1" applyAlignment="1">
      <alignment horizontal="center"/>
    </xf>
    <xf numFmtId="0" fontId="8" fillId="0" borderId="76" xfId="0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  <xf numFmtId="0" fontId="8" fillId="0" borderId="71" xfId="0" applyFont="1" applyBorder="1" applyAlignment="1">
      <alignment horizontal="center"/>
    </xf>
    <xf numFmtId="0" fontId="10" fillId="7" borderId="75" xfId="0" applyFont="1" applyFill="1" applyBorder="1"/>
    <xf numFmtId="0" fontId="1" fillId="3" borderId="89" xfId="2" applyBorder="1"/>
    <xf numFmtId="0" fontId="1" fillId="3" borderId="91" xfId="2" applyBorder="1"/>
    <xf numFmtId="0" fontId="1" fillId="4" borderId="91" xfId="3" applyBorder="1"/>
    <xf numFmtId="0" fontId="8" fillId="0" borderId="26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74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89" xfId="0" applyNumberFormat="1" applyBorder="1" applyAlignment="1">
      <alignment horizontal="center"/>
    </xf>
    <xf numFmtId="2" fontId="0" fillId="0" borderId="91" xfId="0" applyNumberFormat="1" applyBorder="1" applyAlignment="1">
      <alignment horizontal="center"/>
    </xf>
    <xf numFmtId="0" fontId="8" fillId="6" borderId="19" xfId="0" applyFont="1" applyFill="1" applyBorder="1"/>
    <xf numFmtId="9" fontId="0" fillId="0" borderId="0" xfId="0" applyNumberFormat="1"/>
    <xf numFmtId="9" fontId="1" fillId="0" borderId="0" xfId="2" applyNumberFormat="1" applyFill="1" applyBorder="1"/>
    <xf numFmtId="0" fontId="3" fillId="0" borderId="0" xfId="2" applyFont="1" applyFill="1" applyBorder="1" applyAlignment="1">
      <alignment vertical="center" wrapText="1"/>
    </xf>
    <xf numFmtId="0" fontId="3" fillId="0" borderId="0" xfId="2" applyFont="1" applyFill="1" applyBorder="1" applyAlignment="1">
      <alignment vertical="center"/>
    </xf>
    <xf numFmtId="0" fontId="3" fillId="5" borderId="3" xfId="0" applyFont="1" applyFill="1" applyBorder="1"/>
    <xf numFmtId="0" fontId="0" fillId="0" borderId="5" xfId="0" applyBorder="1"/>
    <xf numFmtId="0" fontId="8" fillId="6" borderId="88" xfId="0" applyFont="1" applyFill="1" applyBorder="1"/>
    <xf numFmtId="49" fontId="1" fillId="0" borderId="0" xfId="3" applyNumberFormat="1" applyFill="1" applyBorder="1"/>
    <xf numFmtId="49" fontId="1" fillId="0" borderId="0" xfId="3" applyNumberFormat="1" applyFill="1" applyBorder="1" applyAlignment="1"/>
    <xf numFmtId="0" fontId="10" fillId="7" borderId="78" xfId="0" applyFont="1" applyFill="1" applyBorder="1"/>
    <xf numFmtId="2" fontId="8" fillId="0" borderId="84" xfId="0" applyNumberFormat="1" applyFont="1" applyBorder="1" applyAlignment="1">
      <alignment horizontal="center"/>
    </xf>
    <xf numFmtId="2" fontId="8" fillId="0" borderId="14" xfId="0" applyNumberFormat="1" applyFont="1" applyBorder="1" applyAlignment="1">
      <alignment horizontal="center"/>
    </xf>
    <xf numFmtId="0" fontId="4" fillId="5" borderId="0" xfId="0" applyFont="1" applyFill="1"/>
    <xf numFmtId="0" fontId="3" fillId="5" borderId="80" xfId="0" applyFont="1" applyFill="1" applyBorder="1"/>
    <xf numFmtId="0" fontId="1" fillId="3" borderId="3" xfId="2" applyBorder="1" applyAlignment="1">
      <alignment horizontal="center" vertical="center"/>
    </xf>
    <xf numFmtId="9" fontId="1" fillId="3" borderId="4" xfId="2" applyNumberFormat="1" applyBorder="1" applyAlignment="1">
      <alignment horizontal="center"/>
    </xf>
    <xf numFmtId="0" fontId="1" fillId="3" borderId="4" xfId="2" applyBorder="1"/>
    <xf numFmtId="0" fontId="1" fillId="3" borderId="5" xfId="2" applyBorder="1"/>
    <xf numFmtId="0" fontId="1" fillId="3" borderId="82" xfId="2" applyBorder="1"/>
    <xf numFmtId="0" fontId="1" fillId="3" borderId="92" xfId="2" applyBorder="1"/>
    <xf numFmtId="0" fontId="3" fillId="5" borderId="5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5" borderId="63" xfId="0" applyFont="1" applyFill="1" applyBorder="1"/>
    <xf numFmtId="0" fontId="3" fillId="5" borderId="87" xfId="0" applyFont="1" applyFill="1" applyBorder="1"/>
    <xf numFmtId="2" fontId="1" fillId="3" borderId="82" xfId="2" applyNumberFormat="1" applyBorder="1"/>
    <xf numFmtId="2" fontId="1" fillId="3" borderId="92" xfId="2" applyNumberFormat="1" applyBorder="1"/>
    <xf numFmtId="0" fontId="1" fillId="0" borderId="5" xfId="2" applyFill="1" applyBorder="1"/>
    <xf numFmtId="0" fontId="1" fillId="4" borderId="82" xfId="3" applyBorder="1"/>
    <xf numFmtId="0" fontId="1" fillId="4" borderId="92" xfId="3" applyBorder="1"/>
    <xf numFmtId="0" fontId="8" fillId="0" borderId="73" xfId="0" applyFont="1" applyBorder="1" applyAlignment="1">
      <alignment horizontal="center"/>
    </xf>
    <xf numFmtId="0" fontId="8" fillId="0" borderId="59" xfId="0" applyFont="1" applyBorder="1" applyAlignment="1">
      <alignment horizontal="center"/>
    </xf>
    <xf numFmtId="0" fontId="8" fillId="0" borderId="85" xfId="0" applyFont="1" applyBorder="1" applyAlignment="1">
      <alignment horizontal="center"/>
    </xf>
    <xf numFmtId="0" fontId="10" fillId="7" borderId="5" xfId="0" applyFont="1" applyFill="1" applyBorder="1"/>
    <xf numFmtId="2" fontId="8" fillId="0" borderId="27" xfId="0" applyNumberFormat="1" applyFont="1" applyBorder="1" applyAlignment="1">
      <alignment horizontal="center"/>
    </xf>
    <xf numFmtId="2" fontId="8" fillId="0" borderId="22" xfId="0" applyNumberFormat="1" applyFont="1" applyBorder="1" applyAlignment="1">
      <alignment horizontal="center"/>
    </xf>
    <xf numFmtId="2" fontId="8" fillId="0" borderId="63" xfId="0" applyNumberFormat="1" applyFont="1" applyBorder="1" applyAlignment="1">
      <alignment horizontal="center"/>
    </xf>
    <xf numFmtId="2" fontId="8" fillId="0" borderId="104" xfId="0" applyNumberFormat="1" applyFont="1" applyBorder="1" applyAlignment="1">
      <alignment horizontal="center"/>
    </xf>
    <xf numFmtId="2" fontId="8" fillId="0" borderId="21" xfId="0" applyNumberFormat="1" applyFont="1" applyBorder="1" applyAlignment="1">
      <alignment horizontal="center"/>
    </xf>
    <xf numFmtId="2" fontId="8" fillId="0" borderId="23" xfId="0" applyNumberFormat="1" applyFont="1" applyBorder="1" applyAlignment="1">
      <alignment horizontal="center"/>
    </xf>
    <xf numFmtId="2" fontId="8" fillId="0" borderId="25" xfId="0" applyNumberFormat="1" applyFont="1" applyBorder="1" applyAlignment="1">
      <alignment horizontal="center"/>
    </xf>
    <xf numFmtId="2" fontId="8" fillId="0" borderId="66" xfId="0" applyNumberFormat="1" applyFont="1" applyBorder="1" applyAlignment="1">
      <alignment horizontal="center"/>
    </xf>
    <xf numFmtId="2" fontId="8" fillId="0" borderId="93" xfId="0" applyNumberFormat="1" applyFont="1" applyBorder="1" applyAlignment="1">
      <alignment horizontal="center"/>
    </xf>
    <xf numFmtId="2" fontId="8" fillId="0" borderId="94" xfId="0" applyNumberFormat="1" applyFont="1" applyBorder="1" applyAlignment="1">
      <alignment horizontal="center"/>
    </xf>
    <xf numFmtId="0" fontId="0" fillId="0" borderId="19" xfId="0" applyBorder="1"/>
    <xf numFmtId="0" fontId="0" fillId="5" borderId="19" xfId="0" applyFill="1" applyBorder="1"/>
    <xf numFmtId="0" fontId="10" fillId="7" borderId="19" xfId="0" applyFont="1" applyFill="1" applyBorder="1"/>
    <xf numFmtId="0" fontId="10" fillId="7" borderId="0" xfId="0" applyFont="1" applyFill="1"/>
    <xf numFmtId="0" fontId="0" fillId="0" borderId="100" xfId="0" applyBorder="1"/>
    <xf numFmtId="165" fontId="0" fillId="0" borderId="29" xfId="0" applyNumberFormat="1" applyBorder="1" applyAlignment="1">
      <alignment horizontal="center"/>
    </xf>
    <xf numFmtId="2" fontId="0" fillId="0" borderId="83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6" xfId="0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0" fillId="0" borderId="89" xfId="0" applyNumberFormat="1" applyBorder="1" applyAlignment="1">
      <alignment horizontal="center"/>
    </xf>
    <xf numFmtId="165" fontId="0" fillId="0" borderId="91" xfId="0" applyNumberFormat="1" applyBorder="1" applyAlignment="1">
      <alignment horizontal="center"/>
    </xf>
    <xf numFmtId="0" fontId="0" fillId="0" borderId="103" xfId="0" applyBorder="1"/>
    <xf numFmtId="0" fontId="0" fillId="0" borderId="54" xfId="0" applyBorder="1" applyAlignment="1">
      <alignment horizontal="center"/>
    </xf>
    <xf numFmtId="0" fontId="0" fillId="0" borderId="18" xfId="0" applyBorder="1"/>
    <xf numFmtId="2" fontId="0" fillId="0" borderId="20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105" xfId="0" applyNumberFormat="1" applyBorder="1" applyAlignment="1">
      <alignment horizontal="center"/>
    </xf>
    <xf numFmtId="2" fontId="0" fillId="0" borderId="107" xfId="0" applyNumberFormat="1" applyBorder="1" applyAlignment="1">
      <alignment horizontal="center"/>
    </xf>
    <xf numFmtId="2" fontId="0" fillId="0" borderId="108" xfId="0" applyNumberFormat="1" applyBorder="1" applyAlignment="1">
      <alignment horizontal="center"/>
    </xf>
    <xf numFmtId="2" fontId="0" fillId="0" borderId="109" xfId="0" applyNumberFormat="1" applyBorder="1" applyAlignment="1">
      <alignment horizontal="center"/>
    </xf>
    <xf numFmtId="0" fontId="0" fillId="8" borderId="21" xfId="0" applyFill="1" applyBorder="1"/>
    <xf numFmtId="0" fontId="0" fillId="8" borderId="23" xfId="0" applyFill="1" applyBorder="1"/>
    <xf numFmtId="0" fontId="0" fillId="8" borderId="25" xfId="0" applyFill="1" applyBorder="1"/>
    <xf numFmtId="0" fontId="0" fillId="8" borderId="106" xfId="0" applyFill="1" applyBorder="1"/>
    <xf numFmtId="0" fontId="0" fillId="9" borderId="21" xfId="0" applyFill="1" applyBorder="1"/>
    <xf numFmtId="0" fontId="0" fillId="9" borderId="23" xfId="0" applyFill="1" applyBorder="1"/>
    <xf numFmtId="0" fontId="0" fillId="9" borderId="106" xfId="0" applyFill="1" applyBorder="1"/>
    <xf numFmtId="0" fontId="0" fillId="9" borderId="25" xfId="0" applyFill="1" applyBorder="1"/>
    <xf numFmtId="0" fontId="1" fillId="4" borderId="3" xfId="3" applyBorder="1"/>
    <xf numFmtId="165" fontId="0" fillId="0" borderId="110" xfId="0" applyNumberFormat="1" applyBorder="1" applyAlignment="1">
      <alignment horizontal="center"/>
    </xf>
    <xf numFmtId="165" fontId="0" fillId="0" borderId="111" xfId="0" applyNumberFormat="1" applyBorder="1" applyAlignment="1">
      <alignment horizontal="center"/>
    </xf>
    <xf numFmtId="165" fontId="0" fillId="0" borderId="112" xfId="0" applyNumberFormat="1" applyBorder="1" applyAlignment="1">
      <alignment horizontal="center"/>
    </xf>
    <xf numFmtId="165" fontId="0" fillId="0" borderId="74" xfId="0" applyNumberFormat="1" applyBorder="1" applyAlignment="1">
      <alignment horizontal="center"/>
    </xf>
    <xf numFmtId="0" fontId="0" fillId="0" borderId="0" xfId="2" applyFont="1" applyFill="1" applyBorder="1" applyAlignment="1">
      <alignment horizontal="center"/>
    </xf>
    <xf numFmtId="0" fontId="0" fillId="0" borderId="0" xfId="3" applyFont="1" applyFill="1" applyBorder="1" applyAlignment="1">
      <alignment horizontal="center"/>
    </xf>
    <xf numFmtId="0" fontId="1" fillId="3" borderId="33" xfId="2" applyBorder="1" applyAlignment="1">
      <alignment horizontal="center"/>
    </xf>
    <xf numFmtId="0" fontId="1" fillId="3" borderId="13" xfId="2" applyBorder="1" applyAlignment="1">
      <alignment horizontal="center"/>
    </xf>
    <xf numFmtId="0" fontId="1" fillId="3" borderId="46" xfId="2" applyBorder="1" applyAlignment="1">
      <alignment horizontal="center"/>
    </xf>
    <xf numFmtId="0" fontId="1" fillId="4" borderId="52" xfId="3" applyBorder="1" applyAlignment="1">
      <alignment horizontal="center"/>
    </xf>
    <xf numFmtId="0" fontId="1" fillId="4" borderId="13" xfId="3" applyBorder="1" applyAlignment="1">
      <alignment horizontal="center"/>
    </xf>
    <xf numFmtId="0" fontId="1" fillId="4" borderId="15" xfId="3" applyBorder="1" applyAlignment="1">
      <alignment horizontal="center"/>
    </xf>
    <xf numFmtId="0" fontId="1" fillId="4" borderId="29" xfId="3" applyBorder="1" applyAlignment="1">
      <alignment horizontal="center"/>
    </xf>
    <xf numFmtId="2" fontId="0" fillId="0" borderId="29" xfId="0" applyNumberFormat="1" applyBorder="1" applyAlignment="1">
      <alignment horizontal="center"/>
    </xf>
    <xf numFmtId="165" fontId="0" fillId="0" borderId="105" xfId="0" applyNumberFormat="1" applyBorder="1" applyAlignment="1">
      <alignment horizontal="center"/>
    </xf>
    <xf numFmtId="2" fontId="0" fillId="0" borderId="106" xfId="0" applyNumberFormat="1" applyBorder="1" applyAlignment="1">
      <alignment horizontal="center"/>
    </xf>
    <xf numFmtId="2" fontId="1" fillId="0" borderId="5" xfId="2" applyNumberFormat="1" applyFill="1" applyBorder="1"/>
    <xf numFmtId="2" fontId="1" fillId="4" borderId="82" xfId="3" applyNumberFormat="1" applyBorder="1"/>
    <xf numFmtId="2" fontId="1" fillId="4" borderId="92" xfId="3" applyNumberFormat="1" applyBorder="1"/>
    <xf numFmtId="2" fontId="1" fillId="3" borderId="5" xfId="2" applyNumberFormat="1" applyBorder="1"/>
    <xf numFmtId="0" fontId="8" fillId="0" borderId="26" xfId="0" applyFont="1" applyBorder="1"/>
    <xf numFmtId="0" fontId="10" fillId="7" borderId="64" xfId="0" applyFont="1" applyFill="1" applyBorder="1" applyAlignment="1">
      <alignment horizontal="center"/>
    </xf>
    <xf numFmtId="165" fontId="0" fillId="0" borderId="120" xfId="0" applyNumberFormat="1" applyBorder="1" applyAlignment="1">
      <alignment horizontal="center"/>
    </xf>
    <xf numFmtId="165" fontId="0" fillId="0" borderId="121" xfId="0" applyNumberFormat="1" applyBorder="1" applyAlignment="1">
      <alignment horizontal="center"/>
    </xf>
    <xf numFmtId="165" fontId="0" fillId="0" borderId="122" xfId="0" applyNumberFormat="1" applyBorder="1" applyAlignment="1">
      <alignment horizontal="center"/>
    </xf>
    <xf numFmtId="0" fontId="1" fillId="3" borderId="72" xfId="2" applyBorder="1"/>
    <xf numFmtId="2" fontId="8" fillId="0" borderId="6" xfId="0" applyNumberFormat="1" applyFont="1" applyBorder="1" applyAlignment="1">
      <alignment horizontal="center"/>
    </xf>
    <xf numFmtId="0" fontId="1" fillId="4" borderId="58" xfId="3" applyBorder="1" applyAlignment="1">
      <alignment horizontal="center" vertical="center"/>
    </xf>
    <xf numFmtId="0" fontId="0" fillId="4" borderId="17" xfId="3" applyFont="1" applyBorder="1"/>
    <xf numFmtId="0" fontId="1" fillId="4" borderId="5" xfId="3" applyBorder="1"/>
    <xf numFmtId="165" fontId="0" fillId="0" borderId="123" xfId="0" applyNumberFormat="1" applyBorder="1" applyAlignment="1">
      <alignment horizontal="center"/>
    </xf>
    <xf numFmtId="165" fontId="0" fillId="0" borderId="124" xfId="0" applyNumberFormat="1" applyBorder="1" applyAlignment="1">
      <alignment horizontal="center"/>
    </xf>
    <xf numFmtId="165" fontId="0" fillId="0" borderId="125" xfId="0" applyNumberFormat="1" applyBorder="1" applyAlignment="1">
      <alignment horizontal="center"/>
    </xf>
    <xf numFmtId="165" fontId="0" fillId="0" borderId="126" xfId="0" applyNumberFormat="1" applyBorder="1" applyAlignment="1">
      <alignment horizontal="center"/>
    </xf>
    <xf numFmtId="0" fontId="1" fillId="4" borderId="103" xfId="3" applyBorder="1" applyAlignment="1">
      <alignment horizontal="center"/>
    </xf>
    <xf numFmtId="0" fontId="1" fillId="4" borderId="103" xfId="3" applyBorder="1"/>
    <xf numFmtId="0" fontId="1" fillId="4" borderId="27" xfId="3" applyBorder="1"/>
    <xf numFmtId="0" fontId="0" fillId="4" borderId="88" xfId="3" applyFont="1" applyBorder="1"/>
    <xf numFmtId="0" fontId="1" fillId="3" borderId="10" xfId="2" applyBorder="1" applyAlignment="1">
      <alignment horizontal="center"/>
    </xf>
    <xf numFmtId="165" fontId="0" fillId="0" borderId="127" xfId="0" applyNumberFormat="1" applyBorder="1" applyAlignment="1">
      <alignment horizontal="center"/>
    </xf>
    <xf numFmtId="165" fontId="0" fillId="0" borderId="128" xfId="0" applyNumberFormat="1" applyBorder="1" applyAlignment="1">
      <alignment horizontal="center"/>
    </xf>
    <xf numFmtId="0" fontId="1" fillId="3" borderId="15" xfId="2" applyBorder="1" applyAlignment="1">
      <alignment horizontal="center"/>
    </xf>
    <xf numFmtId="165" fontId="0" fillId="0" borderId="129" xfId="0" applyNumberFormat="1" applyBorder="1" applyAlignment="1">
      <alignment horizontal="center"/>
    </xf>
    <xf numFmtId="165" fontId="0" fillId="0" borderId="130" xfId="0" applyNumberFormat="1" applyBorder="1" applyAlignment="1">
      <alignment horizontal="center"/>
    </xf>
    <xf numFmtId="165" fontId="0" fillId="0" borderId="131" xfId="0" applyNumberFormat="1" applyBorder="1" applyAlignment="1">
      <alignment horizontal="center"/>
    </xf>
    <xf numFmtId="165" fontId="0" fillId="0" borderId="132" xfId="0" applyNumberFormat="1" applyBorder="1" applyAlignment="1">
      <alignment horizontal="center"/>
    </xf>
    <xf numFmtId="0" fontId="8" fillId="0" borderId="103" xfId="0" applyFont="1" applyBorder="1"/>
    <xf numFmtId="0" fontId="8" fillId="0" borderId="29" xfId="0" applyFont="1" applyBorder="1"/>
    <xf numFmtId="165" fontId="0" fillId="0" borderId="10" xfId="0" applyNumberFormat="1" applyBorder="1"/>
    <xf numFmtId="165" fontId="0" fillId="0" borderId="52" xfId="0" applyNumberFormat="1" applyBorder="1"/>
    <xf numFmtId="165" fontId="0" fillId="0" borderId="7" xfId="0" applyNumberFormat="1" applyBorder="1"/>
    <xf numFmtId="2" fontId="0" fillId="0" borderId="10" xfId="0" applyNumberFormat="1" applyBorder="1"/>
    <xf numFmtId="2" fontId="0" fillId="0" borderId="52" xfId="0" applyNumberFormat="1" applyBorder="1"/>
    <xf numFmtId="2" fontId="0" fillId="0" borderId="7" xfId="0" applyNumberFormat="1" applyBorder="1"/>
    <xf numFmtId="2" fontId="0" fillId="0" borderId="82" xfId="0" applyNumberFormat="1" applyBorder="1"/>
    <xf numFmtId="2" fontId="0" fillId="0" borderId="84" xfId="0" applyNumberFormat="1" applyBorder="1"/>
    <xf numFmtId="165" fontId="0" fillId="0" borderId="59" xfId="0" applyNumberFormat="1" applyBorder="1"/>
    <xf numFmtId="2" fontId="0" fillId="0" borderId="59" xfId="0" applyNumberFormat="1" applyBorder="1"/>
    <xf numFmtId="0" fontId="0" fillId="0" borderId="13" xfId="0" applyBorder="1"/>
    <xf numFmtId="0" fontId="3" fillId="5" borderId="64" xfId="0" applyFont="1" applyFill="1" applyBorder="1"/>
    <xf numFmtId="0" fontId="0" fillId="5" borderId="31" xfId="0" applyFill="1" applyBorder="1"/>
    <xf numFmtId="0" fontId="1" fillId="4" borderId="67" xfId="3" applyBorder="1" applyAlignment="1">
      <alignment horizontal="center" vertical="center"/>
    </xf>
    <xf numFmtId="0" fontId="0" fillId="0" borderId="52" xfId="0" applyBorder="1"/>
    <xf numFmtId="0" fontId="2" fillId="5" borderId="26" xfId="1" applyFill="1" applyBorder="1"/>
    <xf numFmtId="0" fontId="2" fillId="5" borderId="91" xfId="1" applyFill="1" applyBorder="1"/>
    <xf numFmtId="0" fontId="2" fillId="5" borderId="15" xfId="1" applyFill="1" applyBorder="1"/>
    <xf numFmtId="0" fontId="2" fillId="5" borderId="92" xfId="1" applyFill="1" applyBorder="1"/>
    <xf numFmtId="0" fontId="0" fillId="0" borderId="82" xfId="0" applyBorder="1"/>
    <xf numFmtId="0" fontId="0" fillId="0" borderId="6" xfId="0" applyBorder="1"/>
    <xf numFmtId="0" fontId="0" fillId="0" borderId="59" xfId="0" applyBorder="1"/>
    <xf numFmtId="0" fontId="0" fillId="0" borderId="7" xfId="0" applyBorder="1"/>
    <xf numFmtId="0" fontId="0" fillId="0" borderId="8" xfId="0" applyBorder="1"/>
    <xf numFmtId="2" fontId="0" fillId="0" borderId="96" xfId="0" applyNumberFormat="1" applyBorder="1" applyAlignment="1">
      <alignment horizontal="center"/>
    </xf>
    <xf numFmtId="2" fontId="0" fillId="0" borderId="53" xfId="0" applyNumberFormat="1" applyBorder="1" applyAlignment="1">
      <alignment horizontal="center"/>
    </xf>
    <xf numFmtId="2" fontId="0" fillId="0" borderId="55" xfId="0" applyNumberFormat="1" applyBorder="1" applyAlignment="1">
      <alignment horizontal="center"/>
    </xf>
    <xf numFmtId="0" fontId="0" fillId="9" borderId="54" xfId="0" applyFill="1" applyBorder="1"/>
    <xf numFmtId="2" fontId="0" fillId="0" borderId="84" xfId="0" applyNumberFormat="1" applyBorder="1" applyAlignment="1">
      <alignment horizontal="center"/>
    </xf>
    <xf numFmtId="2" fontId="0" fillId="0" borderId="133" xfId="0" applyNumberFormat="1" applyBorder="1" applyAlignment="1">
      <alignment horizontal="center"/>
    </xf>
    <xf numFmtId="0" fontId="0" fillId="0" borderId="26" xfId="0" applyBorder="1"/>
    <xf numFmtId="0" fontId="0" fillId="0" borderId="10" xfId="0" applyBorder="1"/>
    <xf numFmtId="0" fontId="0" fillId="0" borderId="15" xfId="0" applyBorder="1"/>
    <xf numFmtId="0" fontId="0" fillId="9" borderId="26" xfId="0" applyFill="1" applyBorder="1"/>
    <xf numFmtId="0" fontId="0" fillId="9" borderId="91" xfId="0" applyFill="1" applyBorder="1"/>
    <xf numFmtId="0" fontId="0" fillId="8" borderId="26" xfId="0" applyFill="1" applyBorder="1"/>
    <xf numFmtId="0" fontId="0" fillId="8" borderId="91" xfId="0" applyFill="1" applyBorder="1"/>
    <xf numFmtId="2" fontId="0" fillId="0" borderId="95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20" xfId="0" applyBorder="1"/>
    <xf numFmtId="0" fontId="0" fillId="0" borderId="25" xfId="0" applyBorder="1" applyAlignment="1">
      <alignment horizontal="center"/>
    </xf>
    <xf numFmtId="2" fontId="0" fillId="0" borderId="72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7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64" xfId="0" applyNumberFormat="1" applyBorder="1" applyAlignment="1">
      <alignment horizontal="center"/>
    </xf>
    <xf numFmtId="2" fontId="0" fillId="0" borderId="134" xfId="0" applyNumberFormat="1" applyBorder="1" applyAlignment="1">
      <alignment horizontal="center"/>
    </xf>
    <xf numFmtId="2" fontId="0" fillId="0" borderId="13" xfId="0" applyNumberFormat="1" applyBorder="1"/>
    <xf numFmtId="0" fontId="0" fillId="0" borderId="29" xfId="0" applyBorder="1"/>
    <xf numFmtId="2" fontId="0" fillId="0" borderId="90" xfId="0" applyNumberFormat="1" applyBorder="1"/>
    <xf numFmtId="2" fontId="0" fillId="0" borderId="15" xfId="0" applyNumberFormat="1" applyBorder="1"/>
    <xf numFmtId="2" fontId="0" fillId="0" borderId="92" xfId="0" applyNumberFormat="1" applyBorder="1"/>
    <xf numFmtId="0" fontId="0" fillId="0" borderId="28" xfId="0" applyBorder="1"/>
    <xf numFmtId="0" fontId="0" fillId="0" borderId="83" xfId="0" applyBorder="1"/>
    <xf numFmtId="0" fontId="0" fillId="8" borderId="89" xfId="0" applyFill="1" applyBorder="1"/>
    <xf numFmtId="0" fontId="0" fillId="9" borderId="89" xfId="0" applyFill="1" applyBorder="1"/>
    <xf numFmtId="0" fontId="1" fillId="4" borderId="0" xfId="3" applyBorder="1" applyAlignment="1">
      <alignment horizontal="center" vertical="center"/>
    </xf>
    <xf numFmtId="167" fontId="0" fillId="0" borderId="82" xfId="0" applyNumberFormat="1" applyBorder="1"/>
    <xf numFmtId="167" fontId="0" fillId="0" borderId="90" xfId="0" applyNumberFormat="1" applyBorder="1"/>
    <xf numFmtId="167" fontId="0" fillId="0" borderId="92" xfId="0" applyNumberFormat="1" applyBorder="1"/>
    <xf numFmtId="167" fontId="0" fillId="0" borderId="10" xfId="0" applyNumberFormat="1" applyBorder="1"/>
    <xf numFmtId="167" fontId="0" fillId="0" borderId="13" xfId="0" applyNumberFormat="1" applyBorder="1"/>
    <xf numFmtId="167" fontId="0" fillId="0" borderId="15" xfId="0" applyNumberFormat="1" applyBorder="1"/>
    <xf numFmtId="0" fontId="8" fillId="6" borderId="66" xfId="0" applyFont="1" applyFill="1" applyBorder="1"/>
    <xf numFmtId="0" fontId="8" fillId="6" borderId="101" xfId="0" applyFont="1" applyFill="1" applyBorder="1"/>
    <xf numFmtId="0" fontId="8" fillId="11" borderId="26" xfId="0" applyFont="1" applyFill="1" applyBorder="1"/>
    <xf numFmtId="0" fontId="8" fillId="11" borderId="91" xfId="0" applyFont="1" applyFill="1" applyBorder="1"/>
    <xf numFmtId="167" fontId="8" fillId="0" borderId="26" xfId="0" applyNumberFormat="1" applyFont="1" applyBorder="1"/>
    <xf numFmtId="167" fontId="8" fillId="0" borderId="10" xfId="0" applyNumberFormat="1" applyFont="1" applyBorder="1"/>
    <xf numFmtId="167" fontId="8" fillId="0" borderId="82" xfId="0" applyNumberFormat="1" applyFont="1" applyBorder="1"/>
    <xf numFmtId="167" fontId="8" fillId="0" borderId="89" xfId="0" applyNumberFormat="1" applyFont="1" applyBorder="1"/>
    <xf numFmtId="167" fontId="8" fillId="0" borderId="13" xfId="0" applyNumberFormat="1" applyFont="1" applyBorder="1"/>
    <xf numFmtId="167" fontId="8" fillId="0" borderId="90" xfId="0" applyNumberFormat="1" applyFont="1" applyBorder="1"/>
    <xf numFmtId="167" fontId="8" fillId="0" borderId="91" xfId="0" applyNumberFormat="1" applyFont="1" applyBorder="1"/>
    <xf numFmtId="167" fontId="8" fillId="0" borderId="15" xfId="0" applyNumberFormat="1" applyFont="1" applyBorder="1"/>
    <xf numFmtId="167" fontId="8" fillId="0" borderId="92" xfId="0" applyNumberFormat="1" applyFont="1" applyBorder="1"/>
    <xf numFmtId="167" fontId="8" fillId="0" borderId="28" xfId="0" applyNumberFormat="1" applyFont="1" applyBorder="1"/>
    <xf numFmtId="167" fontId="8" fillId="0" borderId="29" xfId="0" applyNumberFormat="1" applyFont="1" applyBorder="1"/>
    <xf numFmtId="167" fontId="8" fillId="0" borderId="83" xfId="0" applyNumberFormat="1" applyFont="1" applyBorder="1"/>
    <xf numFmtId="167" fontId="8" fillId="0" borderId="74" xfId="0" applyNumberFormat="1" applyFont="1" applyBorder="1"/>
    <xf numFmtId="167" fontId="8" fillId="0" borderId="52" xfId="0" applyNumberFormat="1" applyFont="1" applyBorder="1"/>
    <xf numFmtId="167" fontId="8" fillId="0" borderId="84" xfId="0" applyNumberFormat="1" applyFont="1" applyBorder="1"/>
    <xf numFmtId="0" fontId="4" fillId="5" borderId="0" xfId="0" applyFont="1" applyFill="1" applyAlignment="1">
      <alignment horizontal="center"/>
    </xf>
    <xf numFmtId="0" fontId="3" fillId="5" borderId="0" xfId="0" applyFont="1" applyFill="1" applyAlignment="1">
      <alignment horizontal="left"/>
    </xf>
    <xf numFmtId="0" fontId="0" fillId="9" borderId="74" xfId="0" applyFill="1" applyBorder="1"/>
    <xf numFmtId="2" fontId="0" fillId="0" borderId="9" xfId="0" applyNumberFormat="1" applyBorder="1" applyAlignment="1">
      <alignment horizontal="center"/>
    </xf>
    <xf numFmtId="2" fontId="0" fillId="0" borderId="68" xfId="0" applyNumberFormat="1" applyBorder="1" applyAlignment="1">
      <alignment horizontal="center"/>
    </xf>
    <xf numFmtId="2" fontId="0" fillId="0" borderId="69" xfId="0" applyNumberFormat="1" applyBorder="1" applyAlignment="1">
      <alignment horizontal="center"/>
    </xf>
    <xf numFmtId="2" fontId="0" fillId="0" borderId="88" xfId="0" applyNumberFormat="1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66" xfId="0" applyBorder="1" applyAlignment="1">
      <alignment horizontal="center"/>
    </xf>
    <xf numFmtId="0" fontId="2" fillId="5" borderId="20" xfId="1" applyFill="1" applyBorder="1"/>
    <xf numFmtId="0" fontId="2" fillId="5" borderId="24" xfId="1" applyFill="1" applyBorder="1"/>
    <xf numFmtId="167" fontId="8" fillId="0" borderId="20" xfId="0" applyNumberFormat="1" applyFont="1" applyBorder="1"/>
    <xf numFmtId="167" fontId="8" fillId="0" borderId="22" xfId="0" applyNumberFormat="1" applyFont="1" applyBorder="1"/>
    <xf numFmtId="0" fontId="1" fillId="8" borderId="26" xfId="3" applyFill="1" applyBorder="1" applyAlignment="1">
      <alignment vertical="center"/>
    </xf>
    <xf numFmtId="0" fontId="1" fillId="8" borderId="89" xfId="3" applyFill="1" applyBorder="1" applyAlignment="1">
      <alignment vertical="center"/>
    </xf>
    <xf numFmtId="0" fontId="1" fillId="9" borderId="26" xfId="3" applyFill="1" applyBorder="1" applyAlignment="1">
      <alignment vertical="center"/>
    </xf>
    <xf numFmtId="0" fontId="1" fillId="4" borderId="89" xfId="3" applyBorder="1" applyAlignment="1">
      <alignment vertical="center"/>
    </xf>
    <xf numFmtId="0" fontId="1" fillId="9" borderId="89" xfId="3" applyFill="1" applyBorder="1" applyAlignment="1">
      <alignment vertical="center"/>
    </xf>
    <xf numFmtId="0" fontId="1" fillId="9" borderId="91" xfId="3" applyFill="1" applyBorder="1" applyAlignment="1">
      <alignment vertical="center"/>
    </xf>
    <xf numFmtId="0" fontId="1" fillId="8" borderId="28" xfId="3" applyFill="1" applyBorder="1" applyAlignment="1">
      <alignment vertical="center"/>
    </xf>
    <xf numFmtId="165" fontId="0" fillId="0" borderId="66" xfId="0" applyNumberFormat="1" applyBorder="1" applyAlignment="1">
      <alignment horizontal="center"/>
    </xf>
    <xf numFmtId="165" fontId="0" fillId="0" borderId="82" xfId="0" applyNumberFormat="1" applyBorder="1" applyAlignment="1">
      <alignment horizontal="center"/>
    </xf>
    <xf numFmtId="165" fontId="0" fillId="0" borderId="93" xfId="0" applyNumberFormat="1" applyBorder="1" applyAlignment="1">
      <alignment horizontal="center"/>
    </xf>
    <xf numFmtId="165" fontId="0" fillId="0" borderId="90" xfId="0" applyNumberFormat="1" applyBorder="1" applyAlignment="1">
      <alignment horizontal="center"/>
    </xf>
    <xf numFmtId="165" fontId="0" fillId="0" borderId="94" xfId="0" applyNumberFormat="1" applyBorder="1" applyAlignment="1">
      <alignment horizontal="center"/>
    </xf>
    <xf numFmtId="165" fontId="0" fillId="0" borderId="92" xfId="0" applyNumberFormat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77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70" xfId="0" applyBorder="1" applyAlignment="1">
      <alignment horizontal="left"/>
    </xf>
    <xf numFmtId="0" fontId="0" fillId="0" borderId="69" xfId="0" applyBorder="1" applyAlignment="1">
      <alignment horizontal="center"/>
    </xf>
    <xf numFmtId="0" fontId="0" fillId="0" borderId="80" xfId="0" applyBorder="1" applyAlignment="1">
      <alignment horizontal="center"/>
    </xf>
    <xf numFmtId="1" fontId="0" fillId="0" borderId="13" xfId="0" applyNumberFormat="1" applyBorder="1"/>
    <xf numFmtId="1" fontId="0" fillId="0" borderId="10" xfId="0" applyNumberFormat="1" applyBorder="1"/>
    <xf numFmtId="1" fontId="0" fillId="0" borderId="15" xfId="0" applyNumberFormat="1" applyBorder="1"/>
    <xf numFmtId="1" fontId="0" fillId="0" borderId="0" xfId="0" applyNumberFormat="1"/>
    <xf numFmtId="2" fontId="0" fillId="12" borderId="89" xfId="0" applyNumberFormat="1" applyFill="1" applyBorder="1" applyAlignment="1">
      <alignment horizontal="center"/>
    </xf>
    <xf numFmtId="2" fontId="0" fillId="12" borderId="13" xfId="0" applyNumberFormat="1" applyFill="1" applyBorder="1" applyAlignment="1">
      <alignment horizontal="center"/>
    </xf>
    <xf numFmtId="2" fontId="0" fillId="12" borderId="90" xfId="0" applyNumberFormat="1" applyFill="1" applyBorder="1" applyAlignment="1">
      <alignment horizontal="center"/>
    </xf>
    <xf numFmtId="0" fontId="0" fillId="12" borderId="13" xfId="0" applyFill="1" applyBorder="1"/>
    <xf numFmtId="2" fontId="0" fillId="12" borderId="13" xfId="0" applyNumberFormat="1" applyFill="1" applyBorder="1"/>
    <xf numFmtId="2" fontId="0" fillId="12" borderId="90" xfId="0" applyNumberFormat="1" applyFill="1" applyBorder="1"/>
    <xf numFmtId="168" fontId="0" fillId="0" borderId="10" xfId="0" applyNumberFormat="1" applyBorder="1"/>
    <xf numFmtId="168" fontId="0" fillId="0" borderId="52" xfId="0" applyNumberFormat="1" applyBorder="1"/>
    <xf numFmtId="168" fontId="0" fillId="0" borderId="7" xfId="0" applyNumberFormat="1" applyBorder="1"/>
    <xf numFmtId="168" fontId="0" fillId="0" borderId="59" xfId="0" applyNumberFormat="1" applyBorder="1"/>
    <xf numFmtId="169" fontId="0" fillId="0" borderId="10" xfId="0" applyNumberFormat="1" applyBorder="1"/>
    <xf numFmtId="169" fontId="0" fillId="0" borderId="52" xfId="0" applyNumberFormat="1" applyBorder="1"/>
    <xf numFmtId="169" fontId="0" fillId="0" borderId="7" xfId="0" applyNumberFormat="1" applyBorder="1"/>
    <xf numFmtId="165" fontId="0" fillId="0" borderId="0" xfId="0" applyNumberFormat="1"/>
    <xf numFmtId="1" fontId="0" fillId="12" borderId="13" xfId="0" applyNumberFormat="1" applyFill="1" applyBorder="1"/>
    <xf numFmtId="1" fontId="0" fillId="0" borderId="26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82" xfId="0" applyNumberFormat="1" applyBorder="1" applyAlignment="1">
      <alignment horizontal="center"/>
    </xf>
    <xf numFmtId="1" fontId="0" fillId="12" borderId="89" xfId="0" applyNumberFormat="1" applyFill="1" applyBorder="1" applyAlignment="1">
      <alignment horizontal="center"/>
    </xf>
    <xf numFmtId="1" fontId="0" fillId="12" borderId="13" xfId="0" applyNumberFormat="1" applyFill="1" applyBorder="1" applyAlignment="1">
      <alignment horizontal="center"/>
    </xf>
    <xf numFmtId="1" fontId="0" fillId="12" borderId="90" xfId="0" applyNumberFormat="1" applyFill="1" applyBorder="1" applyAlignment="1">
      <alignment horizontal="center"/>
    </xf>
    <xf numFmtId="1" fontId="0" fillId="0" borderId="89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90" xfId="0" applyNumberFormat="1" applyBorder="1" applyAlignment="1">
      <alignment horizontal="center"/>
    </xf>
    <xf numFmtId="1" fontId="0" fillId="0" borderId="91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92" xfId="0" applyNumberFormat="1" applyBorder="1" applyAlignment="1">
      <alignment horizontal="center"/>
    </xf>
    <xf numFmtId="1" fontId="0" fillId="0" borderId="74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1" fontId="0" fillId="0" borderId="84" xfId="0" applyNumberFormat="1" applyBorder="1" applyAlignment="1">
      <alignment horizontal="center"/>
    </xf>
    <xf numFmtId="1" fontId="0" fillId="0" borderId="82" xfId="0" applyNumberFormat="1" applyBorder="1"/>
    <xf numFmtId="1" fontId="0" fillId="0" borderId="90" xfId="0" applyNumberFormat="1" applyBorder="1"/>
    <xf numFmtId="1" fontId="0" fillId="12" borderId="90" xfId="0" applyNumberFormat="1" applyFill="1" applyBorder="1"/>
    <xf numFmtId="1" fontId="0" fillId="0" borderId="92" xfId="0" applyNumberFormat="1" applyBorder="1"/>
    <xf numFmtId="0" fontId="0" fillId="10" borderId="0" xfId="0" applyFill="1"/>
    <xf numFmtId="0" fontId="0" fillId="13" borderId="0" xfId="0" applyFill="1"/>
    <xf numFmtId="0" fontId="0" fillId="14" borderId="0" xfId="0" applyFill="1"/>
    <xf numFmtId="9" fontId="3" fillId="4" borderId="70" xfId="3" applyNumberFormat="1" applyFont="1" applyBorder="1" applyAlignment="1">
      <alignment horizontal="left"/>
    </xf>
    <xf numFmtId="9" fontId="3" fillId="4" borderId="78" xfId="3" applyNumberFormat="1" applyFont="1" applyBorder="1" applyAlignment="1">
      <alignment horizontal="left"/>
    </xf>
    <xf numFmtId="9" fontId="3" fillId="4" borderId="69" xfId="3" applyNumberFormat="1" applyFont="1" applyBorder="1" applyAlignment="1">
      <alignment horizontal="left"/>
    </xf>
    <xf numFmtId="0" fontId="4" fillId="5" borderId="0" xfId="0" applyFont="1" applyFill="1" applyAlignment="1">
      <alignment horizontal="center"/>
    </xf>
    <xf numFmtId="0" fontId="3" fillId="4" borderId="9" xfId="3" applyFont="1" applyBorder="1" applyAlignment="1">
      <alignment horizontal="center" vertical="center"/>
    </xf>
    <xf numFmtId="0" fontId="3" fillId="4" borderId="6" xfId="3" applyFont="1" applyBorder="1" applyAlignment="1">
      <alignment horizontal="center" vertical="center"/>
    </xf>
    <xf numFmtId="0" fontId="3" fillId="3" borderId="26" xfId="2" applyFont="1" applyBorder="1" applyAlignment="1">
      <alignment horizontal="center" vertical="center"/>
    </xf>
    <xf numFmtId="0" fontId="3" fillId="3" borderId="91" xfId="2" applyFont="1" applyBorder="1" applyAlignment="1">
      <alignment horizontal="center" vertical="center"/>
    </xf>
    <xf numFmtId="0" fontId="3" fillId="4" borderId="26" xfId="3" applyFont="1" applyBorder="1" applyAlignment="1">
      <alignment horizontal="center" vertical="center"/>
    </xf>
    <xf numFmtId="0" fontId="3" fillId="4" borderId="91" xfId="3" applyFont="1" applyBorder="1" applyAlignment="1">
      <alignment horizontal="center" vertical="center"/>
    </xf>
    <xf numFmtId="0" fontId="3" fillId="3" borderId="9" xfId="2" applyFont="1" applyBorder="1" applyAlignment="1">
      <alignment horizontal="center" vertical="center"/>
    </xf>
    <xf numFmtId="0" fontId="3" fillId="3" borderId="6" xfId="2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1" fillId="3" borderId="32" xfId="2" applyBorder="1" applyAlignment="1">
      <alignment horizontal="center" vertical="center" textRotation="90"/>
    </xf>
    <xf numFmtId="0" fontId="1" fillId="3" borderId="40" xfId="2" applyBorder="1" applyAlignment="1">
      <alignment horizontal="center" vertical="center" textRotation="90"/>
    </xf>
    <xf numFmtId="0" fontId="1" fillId="3" borderId="45" xfId="2" applyBorder="1" applyAlignment="1">
      <alignment horizontal="center" vertical="center" textRotation="90"/>
    </xf>
    <xf numFmtId="0" fontId="0" fillId="4" borderId="12" xfId="3" applyFont="1" applyBorder="1" applyAlignment="1">
      <alignment horizontal="center" vertical="center" textRotation="90"/>
    </xf>
    <xf numFmtId="0" fontId="0" fillId="4" borderId="6" xfId="3" applyFont="1" applyBorder="1" applyAlignment="1">
      <alignment horizontal="center" vertical="center" textRotation="90"/>
    </xf>
    <xf numFmtId="0" fontId="1" fillId="3" borderId="26" xfId="2" applyBorder="1" applyAlignment="1">
      <alignment horizontal="center" vertical="center" textRotation="90"/>
    </xf>
    <xf numFmtId="0" fontId="1" fillId="3" borderId="89" xfId="2" applyBorder="1" applyAlignment="1">
      <alignment horizontal="center" vertical="center" textRotation="90"/>
    </xf>
    <xf numFmtId="0" fontId="1" fillId="3" borderId="91" xfId="2" applyBorder="1" applyAlignment="1">
      <alignment horizontal="center" vertical="center" textRotation="90"/>
    </xf>
    <xf numFmtId="0" fontId="6" fillId="5" borderId="80" xfId="0" applyFont="1" applyFill="1" applyBorder="1" applyAlignment="1">
      <alignment horizontal="center"/>
    </xf>
    <xf numFmtId="0" fontId="6" fillId="5" borderId="77" xfId="0" applyFont="1" applyFill="1" applyBorder="1" applyAlignment="1">
      <alignment horizontal="center"/>
    </xf>
    <xf numFmtId="0" fontId="6" fillId="5" borderId="81" xfId="0" applyFont="1" applyFill="1" applyBorder="1" applyAlignment="1">
      <alignment horizontal="center"/>
    </xf>
    <xf numFmtId="0" fontId="1" fillId="3" borderId="113" xfId="2" applyBorder="1" applyAlignment="1">
      <alignment horizontal="center" vertical="center" textRotation="90"/>
    </xf>
    <xf numFmtId="0" fontId="1" fillId="3" borderId="114" xfId="2" applyBorder="1" applyAlignment="1">
      <alignment horizontal="center" vertical="center" textRotation="90"/>
    </xf>
    <xf numFmtId="0" fontId="1" fillId="3" borderId="115" xfId="2" applyBorder="1" applyAlignment="1">
      <alignment horizontal="center" vertical="center" textRotation="90"/>
    </xf>
    <xf numFmtId="0" fontId="0" fillId="4" borderId="116" xfId="3" applyFont="1" applyBorder="1" applyAlignment="1">
      <alignment horizontal="center" vertical="center" textRotation="90"/>
    </xf>
    <xf numFmtId="0" fontId="0" fillId="4" borderId="58" xfId="3" applyFont="1" applyBorder="1" applyAlignment="1">
      <alignment horizontal="center" vertical="center" textRotation="90"/>
    </xf>
    <xf numFmtId="0" fontId="0" fillId="4" borderId="87" xfId="3" applyFont="1" applyBorder="1" applyAlignment="1">
      <alignment horizontal="center" vertical="center" textRotation="90"/>
    </xf>
    <xf numFmtId="0" fontId="10" fillId="7" borderId="70" xfId="0" applyFont="1" applyFill="1" applyBorder="1"/>
    <xf numFmtId="0" fontId="10" fillId="7" borderId="78" xfId="0" applyFont="1" applyFill="1" applyBorder="1"/>
    <xf numFmtId="0" fontId="10" fillId="7" borderId="102" xfId="0" applyFont="1" applyFill="1" applyBorder="1"/>
    <xf numFmtId="0" fontId="1" fillId="3" borderId="117" xfId="2" applyBorder="1" applyAlignment="1">
      <alignment horizontal="center" vertical="center" textRotation="90"/>
    </xf>
    <xf numFmtId="0" fontId="1" fillId="3" borderId="118" xfId="2" applyBorder="1" applyAlignment="1">
      <alignment horizontal="center" vertical="center" textRotation="90"/>
    </xf>
    <xf numFmtId="0" fontId="1" fillId="3" borderId="119" xfId="2" applyBorder="1" applyAlignment="1">
      <alignment horizontal="center" vertical="center" textRotation="90"/>
    </xf>
    <xf numFmtId="0" fontId="1" fillId="3" borderId="97" xfId="2" applyBorder="1" applyAlignment="1">
      <alignment horizontal="center" vertical="center" textRotation="90"/>
    </xf>
    <xf numFmtId="0" fontId="1" fillId="3" borderId="98" xfId="2" applyBorder="1" applyAlignment="1">
      <alignment horizontal="center" vertical="center" textRotation="90"/>
    </xf>
    <xf numFmtId="0" fontId="1" fillId="3" borderId="99" xfId="2" applyBorder="1" applyAlignment="1">
      <alignment horizontal="center" vertical="center" textRotation="90"/>
    </xf>
    <xf numFmtId="0" fontId="0" fillId="4" borderId="67" xfId="3" applyFont="1" applyBorder="1" applyAlignment="1">
      <alignment horizontal="center" vertical="center" textRotation="90"/>
    </xf>
    <xf numFmtId="0" fontId="0" fillId="4" borderId="80" xfId="3" applyFont="1" applyBorder="1" applyAlignment="1">
      <alignment horizontal="center" vertical="center" textRotation="90"/>
    </xf>
    <xf numFmtId="0" fontId="10" fillId="7" borderId="64" xfId="0" applyFont="1" applyFill="1" applyBorder="1"/>
    <xf numFmtId="0" fontId="10" fillId="7" borderId="65" xfId="0" applyFont="1" applyFill="1" applyBorder="1"/>
    <xf numFmtId="0" fontId="10" fillId="7" borderId="2" xfId="0" applyFont="1" applyFill="1" applyBorder="1"/>
    <xf numFmtId="0" fontId="10" fillId="7" borderId="16" xfId="0" applyFont="1" applyFill="1" applyBorder="1"/>
    <xf numFmtId="0" fontId="10" fillId="7" borderId="17" xfId="0" applyFont="1" applyFill="1" applyBorder="1"/>
    <xf numFmtId="0" fontId="10" fillId="7" borderId="66" xfId="0" applyFont="1" applyFill="1" applyBorder="1"/>
    <xf numFmtId="0" fontId="0" fillId="4" borderId="88" xfId="3" applyFont="1" applyBorder="1" applyAlignment="1">
      <alignment horizontal="center" vertical="center"/>
    </xf>
    <xf numFmtId="0" fontId="1" fillId="4" borderId="58" xfId="3" applyBorder="1" applyAlignment="1">
      <alignment horizontal="center" vertical="center"/>
    </xf>
    <xf numFmtId="0" fontId="1" fillId="4" borderId="87" xfId="3" applyBorder="1" applyAlignment="1">
      <alignment horizontal="center" vertical="center"/>
    </xf>
    <xf numFmtId="0" fontId="1" fillId="4" borderId="88" xfId="3" applyBorder="1" applyAlignment="1">
      <alignment horizontal="center" vertical="center"/>
    </xf>
    <xf numFmtId="0" fontId="1" fillId="4" borderId="54" xfId="3" applyBorder="1" applyAlignment="1">
      <alignment horizontal="center" vertical="center"/>
    </xf>
    <xf numFmtId="0" fontId="1" fillId="4" borderId="70" xfId="3" applyBorder="1" applyAlignment="1">
      <alignment horizontal="center" vertical="center"/>
    </xf>
    <xf numFmtId="0" fontId="1" fillId="4" borderId="67" xfId="3" applyBorder="1" applyAlignment="1">
      <alignment horizontal="center" vertical="center"/>
    </xf>
    <xf numFmtId="0" fontId="1" fillId="4" borderId="80" xfId="3" applyBorder="1" applyAlignment="1">
      <alignment horizontal="center" vertical="center"/>
    </xf>
    <xf numFmtId="0" fontId="0" fillId="0" borderId="77" xfId="0" applyBorder="1" applyAlignment="1">
      <alignment horizontal="left"/>
    </xf>
    <xf numFmtId="0" fontId="0" fillId="0" borderId="81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6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9" xfId="0" applyBorder="1" applyAlignment="1">
      <alignment horizontal="left"/>
    </xf>
    <xf numFmtId="0" fontId="3" fillId="5" borderId="0" xfId="0" applyFont="1" applyFill="1" applyAlignment="1">
      <alignment horizontal="left"/>
    </xf>
  </cellXfs>
  <cellStyles count="4">
    <cellStyle name="20% - Accent1" xfId="2" builtinId="30"/>
    <cellStyle name="40% - Accent1" xfId="3" builtinId="31"/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A.2</a:t>
            </a:r>
          </a:p>
        </c:rich>
      </c:tx>
      <c:layout>
        <c:manualLayout>
          <c:xMode val="edge"/>
          <c:yMode val="edge"/>
          <c:x val="9.2303115696063757E-4"/>
          <c:y val="0.9114181591123743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'W&amp;B Figures 2'!$B$6</c:f>
              <c:strCache>
                <c:ptCount val="1"/>
                <c:pt idx="0">
                  <c:v>1020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08-4C03-A843-2643E1198D16}"/>
              </c:ext>
            </c:extLst>
          </c:dPt>
          <c:errBars>
            <c:errBarType val="both"/>
            <c:errValType val="cust"/>
            <c:noEndCap val="0"/>
            <c:plus>
              <c:numRef>
                <c:f>'W&amp;B Figures 2'!$K$13:$K$18</c:f>
                <c:numCache>
                  <c:formatCode>General</c:formatCode>
                  <c:ptCount val="6"/>
                  <c:pt idx="0">
                    <c:v>2.3676895281596343E-2</c:v>
                  </c:pt>
                  <c:pt idx="1">
                    <c:v>2.2301262025119676E-2</c:v>
                  </c:pt>
                  <c:pt idx="2">
                    <c:v>2.3508013945029316E-2</c:v>
                  </c:pt>
                  <c:pt idx="3">
                    <c:v>1.3283684215876562E-2</c:v>
                  </c:pt>
                  <c:pt idx="4">
                    <c:v>2.4748617075922141E-2</c:v>
                  </c:pt>
                  <c:pt idx="5">
                    <c:v>2.0012080337102587E-2</c:v>
                  </c:pt>
                </c:numCache>
              </c:numRef>
            </c:plus>
            <c:minus>
              <c:numRef>
                <c:f>'W&amp;B Figures 2'!$K$13:$K$18</c:f>
                <c:numCache>
                  <c:formatCode>General</c:formatCode>
                  <c:ptCount val="6"/>
                  <c:pt idx="0">
                    <c:v>2.3676895281596343E-2</c:v>
                  </c:pt>
                  <c:pt idx="1">
                    <c:v>2.2301262025119676E-2</c:v>
                  </c:pt>
                  <c:pt idx="2">
                    <c:v>2.3508013945029316E-2</c:v>
                  </c:pt>
                  <c:pt idx="3">
                    <c:v>1.3283684215876562E-2</c:v>
                  </c:pt>
                  <c:pt idx="4">
                    <c:v>2.4748617075922141E-2</c:v>
                  </c:pt>
                  <c:pt idx="5">
                    <c:v>2.0012080337102587E-2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'W&amp;B Figures 2'!$A$13:$A$18</c:f>
              <c:strCache>
                <c:ptCount val="6"/>
                <c:pt idx="0">
                  <c:v>R-Ref</c:v>
                </c:pt>
                <c:pt idx="1">
                  <c:v>R-P1-Raw</c:v>
                </c:pt>
                <c:pt idx="2">
                  <c:v>R-P1-ED</c:v>
                </c:pt>
                <c:pt idx="3">
                  <c:v>R-P2-Raw</c:v>
                </c:pt>
                <c:pt idx="4">
                  <c:v>R-P2-ED</c:v>
                </c:pt>
                <c:pt idx="5">
                  <c:v>R-P2-A2P</c:v>
                </c:pt>
              </c:strCache>
            </c:strRef>
          </c:cat>
          <c:val>
            <c:numRef>
              <c:f>'W&amp;B Figures 2'!$H$13:$H$18</c:f>
              <c:numCache>
                <c:formatCode>0</c:formatCode>
                <c:ptCount val="6"/>
                <c:pt idx="0">
                  <c:v>3.8601735614895829</c:v>
                </c:pt>
                <c:pt idx="1">
                  <c:v>3.1010471600655065</c:v>
                </c:pt>
                <c:pt idx="2">
                  <c:v>3.5028860573219212</c:v>
                </c:pt>
                <c:pt idx="3">
                  <c:v>3.1811590727441699</c:v>
                </c:pt>
                <c:pt idx="4">
                  <c:v>3.3032789810594592</c:v>
                </c:pt>
                <c:pt idx="5">
                  <c:v>3.3329064278690126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08-4C03-A843-2643E1198D16}"/>
            </c:ext>
          </c:extLst>
        </c:ser>
        <c:ser>
          <c:idx val="1"/>
          <c:order val="1"/>
          <c:tx>
            <c:strRef>
              <c:f>'W&amp;B Figures 2'!$C$6</c:f>
              <c:strCache>
                <c:ptCount val="1"/>
                <c:pt idx="0">
                  <c:v>1030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B08-4C03-A843-2643E1198D16}"/>
              </c:ext>
            </c:extLst>
          </c:dPt>
          <c:errBars>
            <c:errBarType val="both"/>
            <c:errValType val="cust"/>
            <c:noEndCap val="0"/>
            <c:plus>
              <c:numRef>
                <c:f>'W&amp;B Figures 2'!$L$13:$L$18</c:f>
                <c:numCache>
                  <c:formatCode>General</c:formatCode>
                  <c:ptCount val="6"/>
                  <c:pt idx="0">
                    <c:v>2.3326106089982548E-2</c:v>
                  </c:pt>
                  <c:pt idx="1">
                    <c:v>1.3721387917954846E-2</c:v>
                  </c:pt>
                  <c:pt idx="2">
                    <c:v>2.0090044430702326E-2</c:v>
                  </c:pt>
                  <c:pt idx="3">
                    <c:v>2.3272234837780851E-2</c:v>
                  </c:pt>
                  <c:pt idx="4">
                    <c:v>2.3830560115305308E-2</c:v>
                  </c:pt>
                  <c:pt idx="5">
                    <c:v>2.1743057539692658E-2</c:v>
                  </c:pt>
                </c:numCache>
              </c:numRef>
            </c:plus>
            <c:minus>
              <c:numRef>
                <c:f>'W&amp;B Figures 2'!$L$13:$L$18</c:f>
                <c:numCache>
                  <c:formatCode>General</c:formatCode>
                  <c:ptCount val="6"/>
                  <c:pt idx="0">
                    <c:v>2.3326106089982548E-2</c:v>
                  </c:pt>
                  <c:pt idx="1">
                    <c:v>1.3721387917954846E-2</c:v>
                  </c:pt>
                  <c:pt idx="2">
                    <c:v>2.0090044430702326E-2</c:v>
                  </c:pt>
                  <c:pt idx="3">
                    <c:v>2.3272234837780851E-2</c:v>
                  </c:pt>
                  <c:pt idx="4">
                    <c:v>2.3830560115305308E-2</c:v>
                  </c:pt>
                  <c:pt idx="5">
                    <c:v>2.1743057539692658E-2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'W&amp;B Figures 2'!$A$13:$A$18</c:f>
              <c:strCache>
                <c:ptCount val="6"/>
                <c:pt idx="0">
                  <c:v>R-Ref</c:v>
                </c:pt>
                <c:pt idx="1">
                  <c:v>R-P1-Raw</c:v>
                </c:pt>
                <c:pt idx="2">
                  <c:v>R-P1-ED</c:v>
                </c:pt>
                <c:pt idx="3">
                  <c:v>R-P2-Raw</c:v>
                </c:pt>
                <c:pt idx="4">
                  <c:v>R-P2-ED</c:v>
                </c:pt>
                <c:pt idx="5">
                  <c:v>R-P2-A2P</c:v>
                </c:pt>
              </c:strCache>
            </c:strRef>
          </c:cat>
          <c:val>
            <c:numRef>
              <c:f>'W&amp;B Figures 2'!$I$13:$I$18</c:f>
              <c:numCache>
                <c:formatCode>0</c:formatCode>
                <c:ptCount val="6"/>
                <c:pt idx="0">
                  <c:v>3.812377715395797</c:v>
                </c:pt>
                <c:pt idx="1">
                  <c:v>3.0937416285020083</c:v>
                </c:pt>
                <c:pt idx="2">
                  <c:v>3.439638593514124</c:v>
                </c:pt>
                <c:pt idx="3">
                  <c:v>3.1919325495340827</c:v>
                </c:pt>
                <c:pt idx="4">
                  <c:v>3.3091997074810804</c:v>
                </c:pt>
                <c:pt idx="5">
                  <c:v>3.2559846549222096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08-4C03-A843-2643E1198D16}"/>
            </c:ext>
          </c:extLst>
        </c:ser>
        <c:ser>
          <c:idx val="2"/>
          <c:order val="2"/>
          <c:tx>
            <c:strRef>
              <c:f>'W&amp;B Figures 2'!$D$6</c:f>
              <c:strCache>
                <c:ptCount val="1"/>
                <c:pt idx="0">
                  <c:v>1050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08-4C03-A843-2643E1198D16}"/>
              </c:ext>
            </c:extLst>
          </c:dPt>
          <c:errBars>
            <c:errBarType val="both"/>
            <c:errValType val="cust"/>
            <c:noEndCap val="0"/>
            <c:plus>
              <c:numRef>
                <c:f>'W&amp;B Figures 2'!$M$13:$M$18</c:f>
                <c:numCache>
                  <c:formatCode>General</c:formatCode>
                  <c:ptCount val="6"/>
                  <c:pt idx="0">
                    <c:v>8.7451196763253317E-3</c:v>
                  </c:pt>
                  <c:pt idx="1">
                    <c:v>1.5607548863274784E-2</c:v>
                  </c:pt>
                  <c:pt idx="2">
                    <c:v>2.012409554496063E-2</c:v>
                  </c:pt>
                  <c:pt idx="3">
                    <c:v>2.9407907195359524E-2</c:v>
                  </c:pt>
                  <c:pt idx="4">
                    <c:v>3.3672458835048998E-2</c:v>
                  </c:pt>
                  <c:pt idx="5">
                    <c:v>2.0193584092556473E-2</c:v>
                  </c:pt>
                </c:numCache>
              </c:numRef>
            </c:plus>
            <c:minus>
              <c:numRef>
                <c:f>'W&amp;B Figures 2'!$M$13:$M$18</c:f>
                <c:numCache>
                  <c:formatCode>General</c:formatCode>
                  <c:ptCount val="6"/>
                  <c:pt idx="0">
                    <c:v>8.7451196763253317E-3</c:v>
                  </c:pt>
                  <c:pt idx="1">
                    <c:v>1.5607548863274784E-2</c:v>
                  </c:pt>
                  <c:pt idx="2">
                    <c:v>2.012409554496063E-2</c:v>
                  </c:pt>
                  <c:pt idx="3">
                    <c:v>2.9407907195359524E-2</c:v>
                  </c:pt>
                  <c:pt idx="4">
                    <c:v>3.3672458835048998E-2</c:v>
                  </c:pt>
                  <c:pt idx="5">
                    <c:v>2.0193584092556473E-2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'W&amp;B Figures 2'!$A$13:$A$18</c:f>
              <c:strCache>
                <c:ptCount val="6"/>
                <c:pt idx="0">
                  <c:v>R-Ref</c:v>
                </c:pt>
                <c:pt idx="1">
                  <c:v>R-P1-Raw</c:v>
                </c:pt>
                <c:pt idx="2">
                  <c:v>R-P1-ED</c:v>
                </c:pt>
                <c:pt idx="3">
                  <c:v>R-P2-Raw</c:v>
                </c:pt>
                <c:pt idx="4">
                  <c:v>R-P2-ED</c:v>
                </c:pt>
                <c:pt idx="5">
                  <c:v>R-P2-A2P</c:v>
                </c:pt>
              </c:strCache>
            </c:strRef>
          </c:cat>
          <c:val>
            <c:numRef>
              <c:f>'W&amp;B Figures 2'!$J$13:$J$18</c:f>
              <c:numCache>
                <c:formatCode>0</c:formatCode>
                <c:ptCount val="6"/>
                <c:pt idx="0">
                  <c:v>3.7759502569882879</c:v>
                </c:pt>
                <c:pt idx="1">
                  <c:v>3.251131695375947</c:v>
                </c:pt>
                <c:pt idx="2">
                  <c:v>3.6731045109975544</c:v>
                </c:pt>
                <c:pt idx="3">
                  <c:v>3.2262479733897105</c:v>
                </c:pt>
                <c:pt idx="4">
                  <c:v>3.3191854303755557</c:v>
                </c:pt>
                <c:pt idx="5">
                  <c:v>3.2721680210046729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08-4C03-A843-2643E1198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838832"/>
        <c:axId val="1533445264"/>
      </c:barChart>
      <c:catAx>
        <c:axId val="189583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45264"/>
        <c:crosses val="autoZero"/>
        <c:auto val="1"/>
        <c:lblAlgn val="ctr"/>
        <c:lblOffset val="100"/>
        <c:noMultiLvlLbl val="0"/>
      </c:catAx>
      <c:valAx>
        <c:axId val="153344526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 of mass after firing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83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A.1</a:t>
            </a:r>
          </a:p>
        </c:rich>
      </c:tx>
      <c:layout>
        <c:manualLayout>
          <c:xMode val="edge"/>
          <c:yMode val="edge"/>
          <c:x val="9.2303115696063757E-4"/>
          <c:y val="0.9102732860243046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'W&amp;B Figures 2'!$B$6</c:f>
              <c:strCache>
                <c:ptCount val="1"/>
                <c:pt idx="0">
                  <c:v>1020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5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A6-4EAF-93B9-069E78852537}"/>
              </c:ext>
            </c:extLst>
          </c:dPt>
          <c:errBars>
            <c:errBarType val="both"/>
            <c:errValType val="cust"/>
            <c:noEndCap val="0"/>
            <c:plus>
              <c:numRef>
                <c:f>'W&amp;B Figures 2'!$K$7:$K$12</c:f>
                <c:numCache>
                  <c:formatCode>General</c:formatCode>
                  <c:ptCount val="6"/>
                  <c:pt idx="0">
                    <c:v>6.2078803228551083E-2</c:v>
                  </c:pt>
                  <c:pt idx="1">
                    <c:v>1.2315588134647554E-2</c:v>
                  </c:pt>
                  <c:pt idx="2">
                    <c:v>2.6267862001846998E-2</c:v>
                  </c:pt>
                  <c:pt idx="3">
                    <c:v>9.0551407169901683E-3</c:v>
                  </c:pt>
                  <c:pt idx="4">
                    <c:v>2.9071745415316212E-2</c:v>
                  </c:pt>
                  <c:pt idx="5">
                    <c:v>3.2139975691442724E-2</c:v>
                  </c:pt>
                </c:numCache>
              </c:numRef>
            </c:plus>
            <c:minus>
              <c:numRef>
                <c:f>'W&amp;B Figures 2'!$K$7:$K$12</c:f>
                <c:numCache>
                  <c:formatCode>General</c:formatCode>
                  <c:ptCount val="6"/>
                  <c:pt idx="0">
                    <c:v>6.2078803228551083E-2</c:v>
                  </c:pt>
                  <c:pt idx="1">
                    <c:v>1.2315588134647554E-2</c:v>
                  </c:pt>
                  <c:pt idx="2">
                    <c:v>2.6267862001846998E-2</c:v>
                  </c:pt>
                  <c:pt idx="3">
                    <c:v>9.0551407169901683E-3</c:v>
                  </c:pt>
                  <c:pt idx="4">
                    <c:v>2.9071745415316212E-2</c:v>
                  </c:pt>
                  <c:pt idx="5">
                    <c:v>3.2139975691442724E-2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'W&amp;B Figures 2'!$A$7:$A$12</c:f>
              <c:strCache>
                <c:ptCount val="6"/>
                <c:pt idx="0">
                  <c:v>Y-Ref</c:v>
                </c:pt>
                <c:pt idx="1">
                  <c:v>Y-P1-Raw</c:v>
                </c:pt>
                <c:pt idx="2">
                  <c:v>Y-P1-ED</c:v>
                </c:pt>
                <c:pt idx="3">
                  <c:v>Y-P2-Raw</c:v>
                </c:pt>
                <c:pt idx="4">
                  <c:v>Y-P2-ED</c:v>
                </c:pt>
                <c:pt idx="5">
                  <c:v>Y-P2-A2P</c:v>
                </c:pt>
              </c:strCache>
            </c:strRef>
          </c:cat>
          <c:val>
            <c:numRef>
              <c:f>'W&amp;B Figures 2'!$H$7:$H$12</c:f>
              <c:numCache>
                <c:formatCode>0</c:formatCode>
                <c:ptCount val="6"/>
                <c:pt idx="0">
                  <c:v>9.1231895346555678</c:v>
                </c:pt>
                <c:pt idx="1">
                  <c:v>6.5542371737706349</c:v>
                </c:pt>
                <c:pt idx="2">
                  <c:v>6.9373839341444556</c:v>
                </c:pt>
                <c:pt idx="3">
                  <c:v>6.6909288003491341</c:v>
                </c:pt>
                <c:pt idx="4">
                  <c:v>6.9732605992381878</c:v>
                </c:pt>
                <c:pt idx="5">
                  <c:v>6.9438271311727329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6-4EAF-93B9-069E78852537}"/>
            </c:ext>
          </c:extLst>
        </c:ser>
        <c:ser>
          <c:idx val="1"/>
          <c:order val="1"/>
          <c:tx>
            <c:strRef>
              <c:f>'W&amp;B Figures 2'!$C$6</c:f>
              <c:strCache>
                <c:ptCount val="1"/>
                <c:pt idx="0">
                  <c:v>1030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FA6-4EAF-93B9-069E78852537}"/>
              </c:ext>
            </c:extLst>
          </c:dPt>
          <c:errBars>
            <c:errBarType val="both"/>
            <c:errValType val="cust"/>
            <c:noEndCap val="0"/>
            <c:plus>
              <c:numRef>
                <c:f>'W&amp;B Figures 2'!$L$7:$L$12</c:f>
                <c:numCache>
                  <c:formatCode>General</c:formatCode>
                  <c:ptCount val="6"/>
                  <c:pt idx="0">
                    <c:v>6.0899028721244086E-2</c:v>
                  </c:pt>
                  <c:pt idx="1">
                    <c:v>2.5729478696698463E-2</c:v>
                  </c:pt>
                  <c:pt idx="2">
                    <c:v>0.23195397327611855</c:v>
                  </c:pt>
                  <c:pt idx="3">
                    <c:v>3.3515094748372942E-2</c:v>
                  </c:pt>
                  <c:pt idx="4">
                    <c:v>3.8928798597869886E-2</c:v>
                  </c:pt>
                  <c:pt idx="5">
                    <c:v>4.5336526323692422E-2</c:v>
                  </c:pt>
                </c:numCache>
              </c:numRef>
            </c:plus>
            <c:minus>
              <c:numRef>
                <c:f>'W&amp;B Figures 2'!$L$7:$L$12</c:f>
                <c:numCache>
                  <c:formatCode>General</c:formatCode>
                  <c:ptCount val="6"/>
                  <c:pt idx="0">
                    <c:v>6.0899028721244086E-2</c:v>
                  </c:pt>
                  <c:pt idx="1">
                    <c:v>2.5729478696698463E-2</c:v>
                  </c:pt>
                  <c:pt idx="2">
                    <c:v>0.23195397327611855</c:v>
                  </c:pt>
                  <c:pt idx="3">
                    <c:v>3.3515094748372942E-2</c:v>
                  </c:pt>
                  <c:pt idx="4">
                    <c:v>3.8928798597869886E-2</c:v>
                  </c:pt>
                  <c:pt idx="5">
                    <c:v>4.5336526323692422E-2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'W&amp;B Figures 2'!$A$7:$A$12</c:f>
              <c:strCache>
                <c:ptCount val="6"/>
                <c:pt idx="0">
                  <c:v>Y-Ref</c:v>
                </c:pt>
                <c:pt idx="1">
                  <c:v>Y-P1-Raw</c:v>
                </c:pt>
                <c:pt idx="2">
                  <c:v>Y-P1-ED</c:v>
                </c:pt>
                <c:pt idx="3">
                  <c:v>Y-P2-Raw</c:v>
                </c:pt>
                <c:pt idx="4">
                  <c:v>Y-P2-ED</c:v>
                </c:pt>
                <c:pt idx="5">
                  <c:v>Y-P2-A2P</c:v>
                </c:pt>
              </c:strCache>
            </c:strRef>
          </c:cat>
          <c:val>
            <c:numRef>
              <c:f>'W&amp;B Figures 2'!$I$7:$I$12</c:f>
              <c:numCache>
                <c:formatCode>0</c:formatCode>
                <c:ptCount val="6"/>
                <c:pt idx="0">
                  <c:v>8.9212185603026359</c:v>
                </c:pt>
                <c:pt idx="1">
                  <c:v>6.5502140783526679</c:v>
                </c:pt>
                <c:pt idx="2">
                  <c:v>7.0467488263667502</c:v>
                </c:pt>
                <c:pt idx="3">
                  <c:v>6.6204160948409285</c:v>
                </c:pt>
                <c:pt idx="4">
                  <c:v>6.8771432236659402</c:v>
                </c:pt>
                <c:pt idx="5">
                  <c:v>6.9440566625746216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A6-4EAF-93B9-069E78852537}"/>
            </c:ext>
          </c:extLst>
        </c:ser>
        <c:ser>
          <c:idx val="2"/>
          <c:order val="2"/>
          <c:tx>
            <c:strRef>
              <c:f>'W&amp;B Figures 2'!$D$6</c:f>
              <c:strCache>
                <c:ptCount val="1"/>
                <c:pt idx="0">
                  <c:v>1050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A6-4EAF-93B9-069E78852537}"/>
              </c:ext>
            </c:extLst>
          </c:dPt>
          <c:errBars>
            <c:errBarType val="both"/>
            <c:errValType val="cust"/>
            <c:noEndCap val="0"/>
            <c:plus>
              <c:numRef>
                <c:f>'W&amp;B Figures 2'!$M$7:$M$12</c:f>
                <c:numCache>
                  <c:formatCode>General</c:formatCode>
                  <c:ptCount val="6"/>
                  <c:pt idx="0">
                    <c:v>4.0432999456462698E-2</c:v>
                  </c:pt>
                  <c:pt idx="1">
                    <c:v>0.1227353599461634</c:v>
                  </c:pt>
                  <c:pt idx="2">
                    <c:v>4.4791689726643213E-2</c:v>
                  </c:pt>
                  <c:pt idx="3">
                    <c:v>2.4817094865737764E-2</c:v>
                  </c:pt>
                  <c:pt idx="4">
                    <c:v>4.4620643322087053E-2</c:v>
                  </c:pt>
                  <c:pt idx="5">
                    <c:v>1.9746366850208773E-2</c:v>
                  </c:pt>
                </c:numCache>
              </c:numRef>
            </c:plus>
            <c:minus>
              <c:numRef>
                <c:f>'W&amp;B Figures 2'!$M$7:$M$12</c:f>
                <c:numCache>
                  <c:formatCode>General</c:formatCode>
                  <c:ptCount val="6"/>
                  <c:pt idx="0">
                    <c:v>4.0432999456462698E-2</c:v>
                  </c:pt>
                  <c:pt idx="1">
                    <c:v>0.1227353599461634</c:v>
                  </c:pt>
                  <c:pt idx="2">
                    <c:v>4.4791689726643213E-2</c:v>
                  </c:pt>
                  <c:pt idx="3">
                    <c:v>2.4817094865737764E-2</c:v>
                  </c:pt>
                  <c:pt idx="4">
                    <c:v>4.4620643322087053E-2</c:v>
                  </c:pt>
                  <c:pt idx="5">
                    <c:v>1.9746366850208773E-2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'W&amp;B Figures 2'!$A$7:$A$12</c:f>
              <c:strCache>
                <c:ptCount val="6"/>
                <c:pt idx="0">
                  <c:v>Y-Ref</c:v>
                </c:pt>
                <c:pt idx="1">
                  <c:v>Y-P1-Raw</c:v>
                </c:pt>
                <c:pt idx="2">
                  <c:v>Y-P1-ED</c:v>
                </c:pt>
                <c:pt idx="3">
                  <c:v>Y-P2-Raw</c:v>
                </c:pt>
                <c:pt idx="4">
                  <c:v>Y-P2-ED</c:v>
                </c:pt>
                <c:pt idx="5">
                  <c:v>Y-P2-A2P</c:v>
                </c:pt>
              </c:strCache>
            </c:strRef>
          </c:cat>
          <c:val>
            <c:numRef>
              <c:f>'W&amp;B Figures 2'!$J$7:$J$12</c:f>
              <c:numCache>
                <c:formatCode>0</c:formatCode>
                <c:ptCount val="6"/>
                <c:pt idx="0">
                  <c:v>9.2894608392091715</c:v>
                </c:pt>
                <c:pt idx="1">
                  <c:v>6.8347128850387699</c:v>
                </c:pt>
                <c:pt idx="2">
                  <c:v>7.2791689766193661</c:v>
                </c:pt>
                <c:pt idx="3">
                  <c:v>6.6907755052034412</c:v>
                </c:pt>
                <c:pt idx="4">
                  <c:v>6.8810901326311029</c:v>
                </c:pt>
                <c:pt idx="5">
                  <c:v>7.1721412898545447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A6-4EAF-93B9-069E78852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838832"/>
        <c:axId val="1533445264"/>
      </c:barChart>
      <c:catAx>
        <c:axId val="189583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45264"/>
        <c:crosses val="autoZero"/>
        <c:auto val="1"/>
        <c:lblAlgn val="ctr"/>
        <c:lblOffset val="100"/>
        <c:noMultiLvlLbl val="0"/>
      </c:catAx>
      <c:valAx>
        <c:axId val="153344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 of mass after firing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83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B.1</a:t>
            </a:r>
          </a:p>
        </c:rich>
      </c:tx>
      <c:layout>
        <c:manualLayout>
          <c:xMode val="edge"/>
          <c:yMode val="edge"/>
          <c:x val="2.2332922670380592E-3"/>
          <c:y val="0.8707482993197278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'H&amp;D Figures 2'!$O$2</c:f>
              <c:strCache>
                <c:ptCount val="1"/>
                <c:pt idx="0">
                  <c:v>1020°C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5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CE-45F2-ABF6-6032305A23E6}"/>
              </c:ext>
            </c:extLst>
          </c:dPt>
          <c:errBars>
            <c:errBarType val="both"/>
            <c:errValType val="cust"/>
            <c:noEndCap val="0"/>
            <c:plus>
              <c:numRef>
                <c:f>'H&amp;D Figures 2'!$R$23:$R$28</c:f>
                <c:numCache>
                  <c:formatCode>General</c:formatCode>
                  <c:ptCount val="6"/>
                  <c:pt idx="0">
                    <c:v>0.48035755779356903</c:v>
                  </c:pt>
                  <c:pt idx="1">
                    <c:v>0.23898954449813831</c:v>
                  </c:pt>
                  <c:pt idx="2">
                    <c:v>0.25893030016078888</c:v>
                  </c:pt>
                  <c:pt idx="3">
                    <c:v>0.45056859157752899</c:v>
                  </c:pt>
                  <c:pt idx="4">
                    <c:v>0.35995431577618103</c:v>
                  </c:pt>
                  <c:pt idx="5">
                    <c:v>0.44720101279079066</c:v>
                  </c:pt>
                </c:numCache>
              </c:numRef>
            </c:plus>
            <c:minus>
              <c:numRef>
                <c:f>'H&amp;D Figures 2'!$R$23:$R$28</c:f>
                <c:numCache>
                  <c:formatCode>General</c:formatCode>
                  <c:ptCount val="6"/>
                  <c:pt idx="0">
                    <c:v>0.48035755779356903</c:v>
                  </c:pt>
                  <c:pt idx="1">
                    <c:v>0.23898954449813831</c:v>
                  </c:pt>
                  <c:pt idx="2">
                    <c:v>0.25893030016078888</c:v>
                  </c:pt>
                  <c:pt idx="3">
                    <c:v>0.45056859157752899</c:v>
                  </c:pt>
                  <c:pt idx="4">
                    <c:v>0.35995431577618103</c:v>
                  </c:pt>
                  <c:pt idx="5">
                    <c:v>0.44720101279079066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'H&amp;D Figures 2'!$M$5:$M$10</c:f>
              <c:strCache>
                <c:ptCount val="6"/>
                <c:pt idx="0">
                  <c:v>Y-Ref</c:v>
                </c:pt>
                <c:pt idx="1">
                  <c:v>Y-P1-Raw</c:v>
                </c:pt>
                <c:pt idx="2">
                  <c:v>Y-P1-ED</c:v>
                </c:pt>
                <c:pt idx="3">
                  <c:v>Y-P2-Raw</c:v>
                </c:pt>
                <c:pt idx="4">
                  <c:v>Y-P2-ED</c:v>
                </c:pt>
                <c:pt idx="5">
                  <c:v>Y-P2-A2P</c:v>
                </c:pt>
              </c:strCache>
            </c:strRef>
          </c:cat>
          <c:val>
            <c:numRef>
              <c:f>'H&amp;D Figures 2'!$Q$23:$Q$28</c:f>
              <c:numCache>
                <c:formatCode>0</c:formatCode>
                <c:ptCount val="6"/>
                <c:pt idx="0">
                  <c:v>-0.16238091960514472</c:v>
                </c:pt>
                <c:pt idx="1">
                  <c:v>1.1416457273901022</c:v>
                </c:pt>
                <c:pt idx="2">
                  <c:v>2.0400219491433131</c:v>
                </c:pt>
                <c:pt idx="3">
                  <c:v>1.5775820540281391</c:v>
                </c:pt>
                <c:pt idx="4">
                  <c:v>3.0717935596197372</c:v>
                </c:pt>
                <c:pt idx="5">
                  <c:v>3.7461088975842438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CE-45F2-ABF6-6032305A23E6}"/>
            </c:ext>
          </c:extLst>
        </c:ser>
        <c:ser>
          <c:idx val="1"/>
          <c:order val="1"/>
          <c:tx>
            <c:strRef>
              <c:f>'H&amp;D Figures 2'!$Q$2</c:f>
              <c:strCache>
                <c:ptCount val="1"/>
                <c:pt idx="0">
                  <c:v>1030°C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8CE-45F2-ABF6-6032305A23E6}"/>
              </c:ext>
            </c:extLst>
          </c:dPt>
          <c:errBars>
            <c:errBarType val="both"/>
            <c:errValType val="cust"/>
            <c:noEndCap val="0"/>
            <c:plus>
              <c:numRef>
                <c:f>'H&amp;D Figures 2'!$U$23:$U$28</c:f>
                <c:numCache>
                  <c:formatCode>General</c:formatCode>
                  <c:ptCount val="6"/>
                  <c:pt idx="0">
                    <c:v>0.55859702146595658</c:v>
                  </c:pt>
                  <c:pt idx="1">
                    <c:v>0.35309833697507842</c:v>
                  </c:pt>
                  <c:pt idx="2">
                    <c:v>0.71452569856879233</c:v>
                  </c:pt>
                  <c:pt idx="3">
                    <c:v>0.27660067773659569</c:v>
                  </c:pt>
                  <c:pt idx="4">
                    <c:v>0.27228914127104126</c:v>
                  </c:pt>
                  <c:pt idx="5">
                    <c:v>0.56862398140971704</c:v>
                  </c:pt>
                </c:numCache>
              </c:numRef>
            </c:plus>
            <c:minus>
              <c:numRef>
                <c:f>'H&amp;D Figures 2'!$U$23:$U$28</c:f>
                <c:numCache>
                  <c:formatCode>General</c:formatCode>
                  <c:ptCount val="6"/>
                  <c:pt idx="0">
                    <c:v>0.55859702146595658</c:v>
                  </c:pt>
                  <c:pt idx="1">
                    <c:v>0.35309833697507842</c:v>
                  </c:pt>
                  <c:pt idx="2">
                    <c:v>0.71452569856879233</c:v>
                  </c:pt>
                  <c:pt idx="3">
                    <c:v>0.27660067773659569</c:v>
                  </c:pt>
                  <c:pt idx="4">
                    <c:v>0.27228914127104126</c:v>
                  </c:pt>
                  <c:pt idx="5">
                    <c:v>0.56862398140971704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'H&amp;D Figures 2'!$M$5:$M$10</c:f>
              <c:strCache>
                <c:ptCount val="6"/>
                <c:pt idx="0">
                  <c:v>Y-Ref</c:v>
                </c:pt>
                <c:pt idx="1">
                  <c:v>Y-P1-Raw</c:v>
                </c:pt>
                <c:pt idx="2">
                  <c:v>Y-P1-ED</c:v>
                </c:pt>
                <c:pt idx="3">
                  <c:v>Y-P2-Raw</c:v>
                </c:pt>
                <c:pt idx="4">
                  <c:v>Y-P2-ED</c:v>
                </c:pt>
                <c:pt idx="5">
                  <c:v>Y-P2-A2P</c:v>
                </c:pt>
              </c:strCache>
            </c:strRef>
          </c:cat>
          <c:val>
            <c:numRef>
              <c:f>'H&amp;D Figures 2'!$T$23:$T$28</c:f>
              <c:numCache>
                <c:formatCode>0</c:formatCode>
                <c:ptCount val="6"/>
                <c:pt idx="0">
                  <c:v>-5.8847526299567798E-2</c:v>
                </c:pt>
                <c:pt idx="1">
                  <c:v>1.7253126989856187</c:v>
                </c:pt>
                <c:pt idx="2">
                  <c:v>2.7138628731802044</c:v>
                </c:pt>
                <c:pt idx="3">
                  <c:v>2.8514591164509722</c:v>
                </c:pt>
                <c:pt idx="4">
                  <c:v>4.3738194242352684</c:v>
                </c:pt>
                <c:pt idx="5">
                  <c:v>5.0502740344368346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CE-45F2-ABF6-6032305A23E6}"/>
            </c:ext>
          </c:extLst>
        </c:ser>
        <c:ser>
          <c:idx val="2"/>
          <c:order val="2"/>
          <c:tx>
            <c:strRef>
              <c:f>'H&amp;D Figures 2'!$S$2</c:f>
              <c:strCache>
                <c:ptCount val="1"/>
                <c:pt idx="0">
                  <c:v>1050°C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CE-45F2-ABF6-6032305A23E6}"/>
              </c:ext>
            </c:extLst>
          </c:dPt>
          <c:errBars>
            <c:errBarType val="both"/>
            <c:errValType val="cust"/>
            <c:noEndCap val="0"/>
            <c:plus>
              <c:numRef>
                <c:f>'H&amp;D Figures 2'!$X$23:$X$28</c:f>
                <c:numCache>
                  <c:formatCode>General</c:formatCode>
                  <c:ptCount val="6"/>
                  <c:pt idx="0">
                    <c:v>0.54865603300490884</c:v>
                  </c:pt>
                  <c:pt idx="1">
                    <c:v>0.44254478567512306</c:v>
                  </c:pt>
                  <c:pt idx="2">
                    <c:v>1.0425608323895272</c:v>
                  </c:pt>
                  <c:pt idx="3">
                    <c:v>0.31039581530359872</c:v>
                  </c:pt>
                  <c:pt idx="4">
                    <c:v>0.56063222303921878</c:v>
                  </c:pt>
                  <c:pt idx="5">
                    <c:v>0.36461894646030529</c:v>
                  </c:pt>
                </c:numCache>
              </c:numRef>
            </c:plus>
            <c:minus>
              <c:numRef>
                <c:f>'H&amp;D Figures 2'!$X$23:$X$28</c:f>
                <c:numCache>
                  <c:formatCode>General</c:formatCode>
                  <c:ptCount val="6"/>
                  <c:pt idx="0">
                    <c:v>0.54865603300490884</c:v>
                  </c:pt>
                  <c:pt idx="1">
                    <c:v>0.44254478567512306</c:v>
                  </c:pt>
                  <c:pt idx="2">
                    <c:v>1.0425608323895272</c:v>
                  </c:pt>
                  <c:pt idx="3">
                    <c:v>0.31039581530359872</c:v>
                  </c:pt>
                  <c:pt idx="4">
                    <c:v>0.56063222303921878</c:v>
                  </c:pt>
                  <c:pt idx="5">
                    <c:v>0.36461894646030529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'H&amp;D Figures 2'!$M$5:$M$10</c:f>
              <c:strCache>
                <c:ptCount val="6"/>
                <c:pt idx="0">
                  <c:v>Y-Ref</c:v>
                </c:pt>
                <c:pt idx="1">
                  <c:v>Y-P1-Raw</c:v>
                </c:pt>
                <c:pt idx="2">
                  <c:v>Y-P1-ED</c:v>
                </c:pt>
                <c:pt idx="3">
                  <c:v>Y-P2-Raw</c:v>
                </c:pt>
                <c:pt idx="4">
                  <c:v>Y-P2-ED</c:v>
                </c:pt>
                <c:pt idx="5">
                  <c:v>Y-P2-A2P</c:v>
                </c:pt>
              </c:strCache>
            </c:strRef>
          </c:cat>
          <c:val>
            <c:numRef>
              <c:f>'H&amp;D Figures 2'!$W$23:$W$28</c:f>
              <c:numCache>
                <c:formatCode>0</c:formatCode>
                <c:ptCount val="6"/>
                <c:pt idx="0">
                  <c:v>0.6565320365272882</c:v>
                </c:pt>
                <c:pt idx="1">
                  <c:v>3.7885211841177129</c:v>
                </c:pt>
                <c:pt idx="2">
                  <c:v>5.7634841329040123</c:v>
                </c:pt>
                <c:pt idx="3">
                  <c:v>5.6798035496672208</c:v>
                </c:pt>
                <c:pt idx="4">
                  <c:v>8.0862347367546725</c:v>
                </c:pt>
                <c:pt idx="5">
                  <c:v>9.5102945231206775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CE-45F2-ABF6-6032305A2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842879"/>
        <c:axId val="373845279"/>
      </c:barChart>
      <c:catAx>
        <c:axId val="37384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45279"/>
        <c:crosses val="autoZero"/>
        <c:auto val="1"/>
        <c:lblAlgn val="ctr"/>
        <c:lblOffset val="100"/>
        <c:noMultiLvlLbl val="0"/>
      </c:catAx>
      <c:valAx>
        <c:axId val="373845279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Shrinkage after firing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4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B.2</a:t>
            </a:r>
          </a:p>
        </c:rich>
      </c:tx>
      <c:layout>
        <c:manualLayout>
          <c:xMode val="edge"/>
          <c:yMode val="edge"/>
          <c:x val="3.5430668898119699E-3"/>
          <c:y val="0.8740437596581871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'H&amp;D Figures 2'!$O$2</c:f>
              <c:strCache>
                <c:ptCount val="1"/>
                <c:pt idx="0">
                  <c:v>1020°C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18-42E0-B4A5-A6FE1BBE04F2}"/>
              </c:ext>
            </c:extLst>
          </c:dPt>
          <c:errBars>
            <c:errBarType val="both"/>
            <c:errValType val="cust"/>
            <c:noEndCap val="0"/>
            <c:plus>
              <c:numRef>
                <c:f>'H&amp;D Figures 2'!$R$29:$R$34</c:f>
                <c:numCache>
                  <c:formatCode>General</c:formatCode>
                  <c:ptCount val="6"/>
                  <c:pt idx="0">
                    <c:v>0.31917361002274491</c:v>
                  </c:pt>
                  <c:pt idx="1">
                    <c:v>0.20574864289967304</c:v>
                  </c:pt>
                  <c:pt idx="2">
                    <c:v>0.29893432173079687</c:v>
                  </c:pt>
                  <c:pt idx="3">
                    <c:v>0.45571605304079865</c:v>
                  </c:pt>
                  <c:pt idx="4">
                    <c:v>0.23046112931968077</c:v>
                  </c:pt>
                  <c:pt idx="5">
                    <c:v>0.4190102854081737</c:v>
                  </c:pt>
                </c:numCache>
              </c:numRef>
            </c:plus>
            <c:minus>
              <c:numRef>
                <c:f>'H&amp;D Figures 2'!$R$29:$R$34</c:f>
                <c:numCache>
                  <c:formatCode>General</c:formatCode>
                  <c:ptCount val="6"/>
                  <c:pt idx="0">
                    <c:v>0.31917361002274491</c:v>
                  </c:pt>
                  <c:pt idx="1">
                    <c:v>0.20574864289967304</c:v>
                  </c:pt>
                  <c:pt idx="2">
                    <c:v>0.29893432173079687</c:v>
                  </c:pt>
                  <c:pt idx="3">
                    <c:v>0.45571605304079865</c:v>
                  </c:pt>
                  <c:pt idx="4">
                    <c:v>0.23046112931968077</c:v>
                  </c:pt>
                  <c:pt idx="5">
                    <c:v>0.4190102854081737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'H&amp;D Figures 2'!$M$11:$M$16</c:f>
              <c:strCache>
                <c:ptCount val="6"/>
                <c:pt idx="0">
                  <c:v>R-Ref</c:v>
                </c:pt>
                <c:pt idx="1">
                  <c:v>R-P1-Raw</c:v>
                </c:pt>
                <c:pt idx="2">
                  <c:v>R-P1-ED</c:v>
                </c:pt>
                <c:pt idx="3">
                  <c:v>R-P2-Raw</c:v>
                </c:pt>
                <c:pt idx="4">
                  <c:v>R-P2-ED</c:v>
                </c:pt>
                <c:pt idx="5">
                  <c:v>R-P2-A2P</c:v>
                </c:pt>
              </c:strCache>
            </c:strRef>
          </c:cat>
          <c:val>
            <c:numRef>
              <c:f>'H&amp;D Figures 2'!$Q$29:$Q$34</c:f>
              <c:numCache>
                <c:formatCode>0</c:formatCode>
                <c:ptCount val="6"/>
                <c:pt idx="0">
                  <c:v>-0.14433210299520244</c:v>
                </c:pt>
                <c:pt idx="1">
                  <c:v>2.9849561072089665</c:v>
                </c:pt>
                <c:pt idx="2">
                  <c:v>3.5471114456073338</c:v>
                </c:pt>
                <c:pt idx="3">
                  <c:v>4.6289362840442889</c:v>
                </c:pt>
                <c:pt idx="4">
                  <c:v>4.7511572108002298</c:v>
                </c:pt>
                <c:pt idx="5">
                  <c:v>5.470639738197896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18-42E0-B4A5-A6FE1BBE04F2}"/>
            </c:ext>
          </c:extLst>
        </c:ser>
        <c:ser>
          <c:idx val="1"/>
          <c:order val="1"/>
          <c:tx>
            <c:strRef>
              <c:f>'H&amp;D Figures 2'!$Q$2</c:f>
              <c:strCache>
                <c:ptCount val="1"/>
                <c:pt idx="0">
                  <c:v>1030°C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218-42E0-B4A5-A6FE1BBE04F2}"/>
              </c:ext>
            </c:extLst>
          </c:dPt>
          <c:errBars>
            <c:errBarType val="both"/>
            <c:errValType val="cust"/>
            <c:noEndCap val="0"/>
            <c:plus>
              <c:numRef>
                <c:f>'H&amp;D Figures 2'!$U$29:$U$34</c:f>
                <c:numCache>
                  <c:formatCode>General</c:formatCode>
                  <c:ptCount val="6"/>
                  <c:pt idx="0">
                    <c:v>0.27267302982426495</c:v>
                  </c:pt>
                  <c:pt idx="1">
                    <c:v>0.52416988979569157</c:v>
                  </c:pt>
                  <c:pt idx="2">
                    <c:v>0.59157629619205754</c:v>
                  </c:pt>
                  <c:pt idx="3">
                    <c:v>0.32876061051786593</c:v>
                  </c:pt>
                  <c:pt idx="4">
                    <c:v>0.36868720994338317</c:v>
                  </c:pt>
                  <c:pt idx="5">
                    <c:v>0.4237301297205972</c:v>
                  </c:pt>
                </c:numCache>
              </c:numRef>
            </c:plus>
            <c:minus>
              <c:numRef>
                <c:f>'H&amp;D Figures 2'!$U$29:$U$34</c:f>
                <c:numCache>
                  <c:formatCode>General</c:formatCode>
                  <c:ptCount val="6"/>
                  <c:pt idx="0">
                    <c:v>0.27267302982426495</c:v>
                  </c:pt>
                  <c:pt idx="1">
                    <c:v>0.52416988979569157</c:v>
                  </c:pt>
                  <c:pt idx="2">
                    <c:v>0.59157629619205754</c:v>
                  </c:pt>
                  <c:pt idx="3">
                    <c:v>0.32876061051786593</c:v>
                  </c:pt>
                  <c:pt idx="4">
                    <c:v>0.36868720994338317</c:v>
                  </c:pt>
                  <c:pt idx="5">
                    <c:v>0.4237301297205972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'H&amp;D Figures 2'!$M$11:$M$16</c:f>
              <c:strCache>
                <c:ptCount val="6"/>
                <c:pt idx="0">
                  <c:v>R-Ref</c:v>
                </c:pt>
                <c:pt idx="1">
                  <c:v>R-P1-Raw</c:v>
                </c:pt>
                <c:pt idx="2">
                  <c:v>R-P1-ED</c:v>
                </c:pt>
                <c:pt idx="3">
                  <c:v>R-P2-Raw</c:v>
                </c:pt>
                <c:pt idx="4">
                  <c:v>R-P2-ED</c:v>
                </c:pt>
                <c:pt idx="5">
                  <c:v>R-P2-A2P</c:v>
                </c:pt>
              </c:strCache>
            </c:strRef>
          </c:cat>
          <c:val>
            <c:numRef>
              <c:f>'H&amp;D Figures 2'!$T$29:$T$34</c:f>
              <c:numCache>
                <c:formatCode>0</c:formatCode>
                <c:ptCount val="6"/>
                <c:pt idx="0">
                  <c:v>9.1422378876764715E-2</c:v>
                </c:pt>
                <c:pt idx="1">
                  <c:v>3.7249283322666846</c:v>
                </c:pt>
                <c:pt idx="2">
                  <c:v>4.5135676918571992</c:v>
                </c:pt>
                <c:pt idx="3">
                  <c:v>6.288953034067581</c:v>
                </c:pt>
                <c:pt idx="4">
                  <c:v>6.2327207204680004</c:v>
                </c:pt>
                <c:pt idx="5">
                  <c:v>6.2803521200023171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18-42E0-B4A5-A6FE1BBE04F2}"/>
            </c:ext>
          </c:extLst>
        </c:ser>
        <c:ser>
          <c:idx val="2"/>
          <c:order val="2"/>
          <c:tx>
            <c:strRef>
              <c:f>'H&amp;D Figures 2'!$S$2</c:f>
              <c:strCache>
                <c:ptCount val="1"/>
                <c:pt idx="0">
                  <c:v>1050°C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18-42E0-B4A5-A6FE1BBE04F2}"/>
              </c:ext>
            </c:extLst>
          </c:dPt>
          <c:errBars>
            <c:errBarType val="both"/>
            <c:errValType val="cust"/>
            <c:noEndCap val="0"/>
            <c:plus>
              <c:numRef>
                <c:f>'H&amp;D Figures 2'!$X$29:$X$34</c:f>
                <c:numCache>
                  <c:formatCode>General</c:formatCode>
                  <c:ptCount val="6"/>
                  <c:pt idx="0">
                    <c:v>0.21084917711709567</c:v>
                  </c:pt>
                  <c:pt idx="1">
                    <c:v>0.23107055785032427</c:v>
                  </c:pt>
                  <c:pt idx="2">
                    <c:v>0.74769562923811417</c:v>
                  </c:pt>
                  <c:pt idx="3">
                    <c:v>0.27306824842327643</c:v>
                  </c:pt>
                  <c:pt idx="4">
                    <c:v>0.2535024856599844</c:v>
                  </c:pt>
                  <c:pt idx="5">
                    <c:v>0.31864351909132826</c:v>
                  </c:pt>
                </c:numCache>
              </c:numRef>
            </c:plus>
            <c:minus>
              <c:numRef>
                <c:f>'H&amp;D Figures 2'!$X$29:$X$34</c:f>
                <c:numCache>
                  <c:formatCode>General</c:formatCode>
                  <c:ptCount val="6"/>
                  <c:pt idx="0">
                    <c:v>0.21084917711709567</c:v>
                  </c:pt>
                  <c:pt idx="1">
                    <c:v>0.23107055785032427</c:v>
                  </c:pt>
                  <c:pt idx="2">
                    <c:v>0.74769562923811417</c:v>
                  </c:pt>
                  <c:pt idx="3">
                    <c:v>0.27306824842327643</c:v>
                  </c:pt>
                  <c:pt idx="4">
                    <c:v>0.2535024856599844</c:v>
                  </c:pt>
                  <c:pt idx="5">
                    <c:v>0.31864351909132826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'H&amp;D Figures 2'!$M$11:$M$16</c:f>
              <c:strCache>
                <c:ptCount val="6"/>
                <c:pt idx="0">
                  <c:v>R-Ref</c:v>
                </c:pt>
                <c:pt idx="1">
                  <c:v>R-P1-Raw</c:v>
                </c:pt>
                <c:pt idx="2">
                  <c:v>R-P1-ED</c:v>
                </c:pt>
                <c:pt idx="3">
                  <c:v>R-P2-Raw</c:v>
                </c:pt>
                <c:pt idx="4">
                  <c:v>R-P2-ED</c:v>
                </c:pt>
                <c:pt idx="5">
                  <c:v>R-P2-A2P</c:v>
                </c:pt>
              </c:strCache>
            </c:strRef>
          </c:cat>
          <c:val>
            <c:numRef>
              <c:f>'H&amp;D Figures 2'!$W$29:$W$34</c:f>
              <c:numCache>
                <c:formatCode>0</c:formatCode>
                <c:ptCount val="6"/>
                <c:pt idx="0">
                  <c:v>0.74572943690105564</c:v>
                </c:pt>
                <c:pt idx="1">
                  <c:v>6.7618051984094221</c:v>
                </c:pt>
                <c:pt idx="2">
                  <c:v>5.392296315402656</c:v>
                </c:pt>
                <c:pt idx="3">
                  <c:v>8.8838021847395634</c:v>
                </c:pt>
                <c:pt idx="4">
                  <c:v>8.3997042236407147</c:v>
                </c:pt>
                <c:pt idx="5">
                  <c:v>8.4374725297700426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18-42E0-B4A5-A6FE1BBE0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842879"/>
        <c:axId val="373845279"/>
      </c:barChart>
      <c:catAx>
        <c:axId val="37384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45279"/>
        <c:crosses val="autoZero"/>
        <c:auto val="1"/>
        <c:lblAlgn val="ctr"/>
        <c:lblOffset val="100"/>
        <c:noMultiLvlLbl val="0"/>
      </c:catAx>
      <c:valAx>
        <c:axId val="3738452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Shrinkage after firing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4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381001</xdr:colOff>
      <xdr:row>24</xdr:row>
      <xdr:rowOff>122464</xdr:rowOff>
    </xdr:from>
    <xdr:to>
      <xdr:col>9</xdr:col>
      <xdr:colOff>367392</xdr:colOff>
      <xdr:row>34</xdr:row>
      <xdr:rowOff>81643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2E2592-04CC-49B2-8250-37B4EFCEE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640337</xdr:colOff>
      <xdr:row>24</xdr:row>
      <xdr:rowOff>176892</xdr:rowOff>
    </xdr:from>
    <xdr:to>
      <xdr:col>12</xdr:col>
      <xdr:colOff>626728</xdr:colOff>
      <xdr:row>34</xdr:row>
      <xdr:rowOff>138472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16D9D11-B9FA-488B-8AB5-EEEAFCB10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723900</xdr:colOff>
      <xdr:row>35</xdr:row>
      <xdr:rowOff>38100</xdr:rowOff>
    </xdr:from>
    <xdr:to>
      <xdr:col>16</xdr:col>
      <xdr:colOff>476250</xdr:colOff>
      <xdr:row>42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F82CD7-D7F0-4E90-99AC-0F3755CB8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285750</xdr:colOff>
      <xdr:row>34</xdr:row>
      <xdr:rowOff>180975</xdr:rowOff>
    </xdr:from>
    <xdr:to>
      <xdr:col>22</xdr:col>
      <xdr:colOff>45487</xdr:colOff>
      <xdr:row>42</xdr:row>
      <xdr:rowOff>37826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00C258D-2169-4909-8916-E92F8448B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udk.sharepoint.com/sites/MScSlamaskeogmursten/Delte%20dokumenter/General/Results/Piller/Pellets%20production.xlsx" TargetMode="External"/><Relationship Id="rId1" Type="http://schemas.openxmlformats.org/officeDocument/2006/relationships/externalLinkPath" Target="https://dtudk.sharepoint.com/sites/MScSlamaskeogmursten/Delte%20dokumenter/General/Results/Piller/Pellets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erbergers limits"/>
      <sheetName val="Mixing"/>
      <sheetName val="Mixing FBF NN"/>
      <sheetName val="Water and burning"/>
      <sheetName val="high and diameter"/>
      <sheetName val="porøsitet-densitet"/>
      <sheetName val="Leaching"/>
    </sheetNames>
    <sheetDataSet>
      <sheetData sheetId="0"/>
      <sheetData sheetId="1">
        <row r="3">
          <cell r="B3"/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AC08-8FDA-45BF-BC14-52DA24740EBA}">
  <dimension ref="A1:H49"/>
  <sheetViews>
    <sheetView zoomScale="85" zoomScaleNormal="85" workbookViewId="0">
      <selection activeCell="I19" sqref="I19"/>
    </sheetView>
  </sheetViews>
  <sheetFormatPr defaultRowHeight="15" x14ac:dyDescent="0.25"/>
  <cols>
    <col min="2" max="2" width="20.85546875" customWidth="1"/>
    <col min="3" max="3" width="16.7109375" customWidth="1"/>
    <col min="4" max="4" width="14.85546875" customWidth="1"/>
    <col min="5" max="5" width="19.42578125" customWidth="1"/>
    <col min="6" max="7" width="15.85546875" customWidth="1"/>
    <col min="8" max="8" width="14.28515625" customWidth="1"/>
    <col min="9" max="9" width="19.42578125" customWidth="1"/>
  </cols>
  <sheetData>
    <row r="1" spans="1:8" x14ac:dyDescent="0.25">
      <c r="A1" t="s">
        <v>30</v>
      </c>
    </row>
    <row r="4" spans="1:8" ht="15.75" thickBot="1" x14ac:dyDescent="0.3"/>
    <row r="5" spans="1:8" ht="15.75" thickBot="1" x14ac:dyDescent="0.3">
      <c r="A5" s="160" t="s">
        <v>31</v>
      </c>
      <c r="B5" s="160" t="s">
        <v>32</v>
      </c>
      <c r="C5" s="161" t="s">
        <v>33</v>
      </c>
      <c r="D5" s="162" t="s">
        <v>33</v>
      </c>
      <c r="E5" s="160" t="s">
        <v>34</v>
      </c>
      <c r="F5" s="161" t="s">
        <v>33</v>
      </c>
      <c r="G5" s="162" t="s">
        <v>33</v>
      </c>
      <c r="H5" s="162" t="s">
        <v>35</v>
      </c>
    </row>
    <row r="6" spans="1:8" x14ac:dyDescent="0.25">
      <c r="A6" s="100"/>
      <c r="B6" s="100" t="s">
        <v>36</v>
      </c>
      <c r="C6" s="157" t="s">
        <v>37</v>
      </c>
      <c r="D6" s="104" t="s">
        <v>38</v>
      </c>
      <c r="E6" s="157" t="s">
        <v>323</v>
      </c>
      <c r="F6" s="157" t="s">
        <v>39</v>
      </c>
      <c r="G6" s="104" t="s">
        <v>40</v>
      </c>
      <c r="H6" s="104">
        <v>1020</v>
      </c>
    </row>
    <row r="7" spans="1:8" x14ac:dyDescent="0.25">
      <c r="A7" s="101"/>
      <c r="B7" s="101" t="s">
        <v>41</v>
      </c>
      <c r="C7" t="s">
        <v>37</v>
      </c>
      <c r="D7" s="158" t="s">
        <v>38</v>
      </c>
      <c r="E7" t="s">
        <v>322</v>
      </c>
      <c r="F7" t="s">
        <v>39</v>
      </c>
      <c r="G7" s="158" t="s">
        <v>40</v>
      </c>
      <c r="H7" s="158">
        <v>1030</v>
      </c>
    </row>
    <row r="8" spans="1:8" x14ac:dyDescent="0.25">
      <c r="A8" s="101"/>
      <c r="B8" s="101"/>
      <c r="C8" t="s">
        <v>37</v>
      </c>
      <c r="D8" s="158" t="s">
        <v>38</v>
      </c>
      <c r="E8" t="s">
        <v>319</v>
      </c>
      <c r="F8" t="s">
        <v>39</v>
      </c>
      <c r="G8" s="158" t="s">
        <v>40</v>
      </c>
      <c r="H8" s="158">
        <v>1050</v>
      </c>
    </row>
    <row r="9" spans="1:8" x14ac:dyDescent="0.25">
      <c r="A9" s="101"/>
      <c r="B9" s="101"/>
      <c r="C9" t="s">
        <v>37</v>
      </c>
      <c r="D9" s="158" t="s">
        <v>42</v>
      </c>
      <c r="E9" t="s">
        <v>320</v>
      </c>
      <c r="F9" t="s">
        <v>39</v>
      </c>
      <c r="G9" s="158" t="s">
        <v>40</v>
      </c>
      <c r="H9" s="158"/>
    </row>
    <row r="10" spans="1:8" ht="15.75" thickBot="1" x14ac:dyDescent="0.3">
      <c r="A10" s="106"/>
      <c r="B10" s="106"/>
      <c r="C10" s="159"/>
      <c r="D10" s="107"/>
      <c r="E10" s="159" t="s">
        <v>321</v>
      </c>
      <c r="F10" s="159" t="s">
        <v>39</v>
      </c>
      <c r="G10" s="107" t="s">
        <v>40</v>
      </c>
      <c r="H10" s="107"/>
    </row>
    <row r="12" spans="1:8" ht="15.75" thickBot="1" x14ac:dyDescent="0.3">
      <c r="A12" t="s">
        <v>43</v>
      </c>
    </row>
    <row r="13" spans="1:8" x14ac:dyDescent="0.25">
      <c r="A13" s="100">
        <v>1</v>
      </c>
      <c r="B13" s="157" t="s">
        <v>44</v>
      </c>
      <c r="C13" s="157" t="s">
        <v>44</v>
      </c>
      <c r="D13" s="157" t="s">
        <v>32</v>
      </c>
      <c r="E13" s="157" t="s">
        <v>45</v>
      </c>
      <c r="F13" s="157" t="s">
        <v>46</v>
      </c>
      <c r="G13" s="104" t="s">
        <v>47</v>
      </c>
      <c r="H13" t="s">
        <v>316</v>
      </c>
    </row>
    <row r="14" spans="1:8" x14ac:dyDescent="0.25">
      <c r="B14" s="479" t="str">
        <f>CONCATENATE(,D14,"-",E14,"-",G14,)</f>
        <v>Y-Ref-1020</v>
      </c>
      <c r="C14" t="str">
        <f>CONCATENATE(,D14,"-",E14)</f>
        <v>Y-Ref</v>
      </c>
      <c r="D14" s="477" t="s">
        <v>50</v>
      </c>
      <c r="E14" t="s">
        <v>1</v>
      </c>
      <c r="G14">
        <v>1020</v>
      </c>
    </row>
    <row r="15" spans="1:8" x14ac:dyDescent="0.25">
      <c r="B15" s="479" t="str">
        <f>CONCATENATE(,D15,"-",E15,"-",G15,)</f>
        <v>Y-Ref-1030</v>
      </c>
      <c r="C15" t="str">
        <f>CONCATENATE(,D15,"-",E15)</f>
        <v>Y-Ref</v>
      </c>
      <c r="D15" s="477" t="s">
        <v>50</v>
      </c>
      <c r="E15" t="s">
        <v>1</v>
      </c>
      <c r="G15">
        <v>1030</v>
      </c>
    </row>
    <row r="16" spans="1:8" x14ac:dyDescent="0.25">
      <c r="B16" s="479" t="str">
        <f>CONCATENATE(,D16,"-",E16,"-",G16,)</f>
        <v>Y-Ref-1030</v>
      </c>
      <c r="C16" t="str">
        <f>CONCATENATE(,D16,"-",E16)</f>
        <v>Y-Ref</v>
      </c>
      <c r="D16" s="477" t="s">
        <v>50</v>
      </c>
      <c r="E16" t="s">
        <v>1</v>
      </c>
      <c r="G16">
        <v>1030</v>
      </c>
    </row>
    <row r="17" spans="2:7" x14ac:dyDescent="0.25">
      <c r="B17" s="479" t="str">
        <f t="shared" ref="B17:B31" si="0">CONCATENATE(,D17,"-",E17,"-",F17,"-",G17,)</f>
        <v>Y-P1-Raw-1020</v>
      </c>
      <c r="C17" t="str">
        <f t="shared" ref="C17:C31" si="1">CONCATENATE(,D17,"-",E17,"-",F17,)</f>
        <v>Y-P1-Raw</v>
      </c>
      <c r="D17" s="477" t="s">
        <v>50</v>
      </c>
      <c r="E17" t="s">
        <v>317</v>
      </c>
      <c r="F17" t="s">
        <v>49</v>
      </c>
      <c r="G17">
        <f>H$6</f>
        <v>1020</v>
      </c>
    </row>
    <row r="18" spans="2:7" x14ac:dyDescent="0.25">
      <c r="B18" s="479" t="str">
        <f t="shared" si="0"/>
        <v>Y-P1-Raw-1030</v>
      </c>
      <c r="C18" t="str">
        <f t="shared" si="1"/>
        <v>Y-P1-Raw</v>
      </c>
      <c r="D18" s="477" t="s">
        <v>50</v>
      </c>
      <c r="E18" t="s">
        <v>317</v>
      </c>
      <c r="F18" t="s">
        <v>49</v>
      </c>
      <c r="G18">
        <f>H$7</f>
        <v>1030</v>
      </c>
    </row>
    <row r="19" spans="2:7" x14ac:dyDescent="0.25">
      <c r="B19" s="479" t="str">
        <f t="shared" si="0"/>
        <v>Y-P1-Raw-1050</v>
      </c>
      <c r="C19" t="str">
        <f t="shared" si="1"/>
        <v>Y-P1-Raw</v>
      </c>
      <c r="D19" s="477" t="s">
        <v>50</v>
      </c>
      <c r="E19" t="s">
        <v>317</v>
      </c>
      <c r="F19" t="s">
        <v>49</v>
      </c>
      <c r="G19">
        <f>H$8</f>
        <v>1050</v>
      </c>
    </row>
    <row r="20" spans="2:7" x14ac:dyDescent="0.25">
      <c r="B20" s="479" t="str">
        <f t="shared" si="0"/>
        <v>Y-P1-ED-1020</v>
      </c>
      <c r="C20" t="str">
        <f t="shared" si="1"/>
        <v>Y-P1-ED</v>
      </c>
      <c r="D20" s="477" t="s">
        <v>50</v>
      </c>
      <c r="E20" t="s">
        <v>317</v>
      </c>
      <c r="F20" t="s">
        <v>51</v>
      </c>
      <c r="G20">
        <f>H$6</f>
        <v>1020</v>
      </c>
    </row>
    <row r="21" spans="2:7" x14ac:dyDescent="0.25">
      <c r="B21" s="479" t="str">
        <f t="shared" si="0"/>
        <v>Y-P1-ED-1030</v>
      </c>
      <c r="C21" t="str">
        <f t="shared" si="1"/>
        <v>Y-P1-ED</v>
      </c>
      <c r="D21" s="477" t="s">
        <v>50</v>
      </c>
      <c r="E21" t="s">
        <v>317</v>
      </c>
      <c r="F21" t="s">
        <v>51</v>
      </c>
      <c r="G21">
        <f>H$7</f>
        <v>1030</v>
      </c>
    </row>
    <row r="22" spans="2:7" x14ac:dyDescent="0.25">
      <c r="B22" s="479" t="str">
        <f t="shared" si="0"/>
        <v>Y-P1-ED-1050</v>
      </c>
      <c r="C22" t="str">
        <f t="shared" si="1"/>
        <v>Y-P1-ED</v>
      </c>
      <c r="D22" s="477" t="s">
        <v>50</v>
      </c>
      <c r="E22" t="s">
        <v>317</v>
      </c>
      <c r="F22" t="s">
        <v>51</v>
      </c>
      <c r="G22">
        <f>H$8</f>
        <v>1050</v>
      </c>
    </row>
    <row r="23" spans="2:7" x14ac:dyDescent="0.25">
      <c r="B23" s="479" t="str">
        <f t="shared" si="0"/>
        <v>Y-P2-Raw-1020</v>
      </c>
      <c r="C23" t="str">
        <f t="shared" si="1"/>
        <v>Y-P2-Raw</v>
      </c>
      <c r="D23" s="477" t="s">
        <v>50</v>
      </c>
      <c r="E23" t="s">
        <v>318</v>
      </c>
      <c r="F23" t="s">
        <v>49</v>
      </c>
      <c r="G23">
        <f>H$6</f>
        <v>1020</v>
      </c>
    </row>
    <row r="24" spans="2:7" x14ac:dyDescent="0.25">
      <c r="B24" s="479" t="str">
        <f t="shared" si="0"/>
        <v>Y-P2-Raw-1030</v>
      </c>
      <c r="C24" t="str">
        <f t="shared" si="1"/>
        <v>Y-P2-Raw</v>
      </c>
      <c r="D24" s="477" t="s">
        <v>50</v>
      </c>
      <c r="E24" t="s">
        <v>318</v>
      </c>
      <c r="F24" t="s">
        <v>49</v>
      </c>
      <c r="G24">
        <f>H$7</f>
        <v>1030</v>
      </c>
    </row>
    <row r="25" spans="2:7" x14ac:dyDescent="0.25">
      <c r="B25" s="479" t="str">
        <f t="shared" si="0"/>
        <v>Y-P2-Raw-1050</v>
      </c>
      <c r="C25" t="str">
        <f t="shared" si="1"/>
        <v>Y-P2-Raw</v>
      </c>
      <c r="D25" s="477" t="s">
        <v>50</v>
      </c>
      <c r="E25" t="s">
        <v>318</v>
      </c>
      <c r="F25" t="s">
        <v>49</v>
      </c>
      <c r="G25">
        <f>H$8</f>
        <v>1050</v>
      </c>
    </row>
    <row r="26" spans="2:7" x14ac:dyDescent="0.25">
      <c r="B26" s="479" t="str">
        <f t="shared" si="0"/>
        <v>Y-P2-ED-1020</v>
      </c>
      <c r="C26" t="str">
        <f t="shared" si="1"/>
        <v>Y-P2-ED</v>
      </c>
      <c r="D26" s="477" t="s">
        <v>50</v>
      </c>
      <c r="E26" t="s">
        <v>318</v>
      </c>
      <c r="F26" t="s">
        <v>51</v>
      </c>
      <c r="G26">
        <f>H$6</f>
        <v>1020</v>
      </c>
    </row>
    <row r="27" spans="2:7" x14ac:dyDescent="0.25">
      <c r="B27" s="479" t="str">
        <f t="shared" si="0"/>
        <v>Y-P2-ED-1030</v>
      </c>
      <c r="C27" t="str">
        <f t="shared" si="1"/>
        <v>Y-P2-ED</v>
      </c>
      <c r="D27" s="477" t="s">
        <v>50</v>
      </c>
      <c r="E27" t="s">
        <v>318</v>
      </c>
      <c r="F27" t="s">
        <v>51</v>
      </c>
      <c r="G27">
        <f>H$7</f>
        <v>1030</v>
      </c>
    </row>
    <row r="28" spans="2:7" x14ac:dyDescent="0.25">
      <c r="B28" s="479" t="str">
        <f t="shared" si="0"/>
        <v>Y-P2-ED-1050</v>
      </c>
      <c r="C28" t="str">
        <f t="shared" si="1"/>
        <v>Y-P2-ED</v>
      </c>
      <c r="D28" s="477" t="s">
        <v>50</v>
      </c>
      <c r="E28" t="s">
        <v>318</v>
      </c>
      <c r="F28" t="s">
        <v>51</v>
      </c>
      <c r="G28">
        <f>H$8</f>
        <v>1050</v>
      </c>
    </row>
    <row r="29" spans="2:7" x14ac:dyDescent="0.25">
      <c r="B29" s="479" t="str">
        <f t="shared" si="0"/>
        <v>Y-P2-A2P-1020</v>
      </c>
      <c r="C29" t="str">
        <f t="shared" si="1"/>
        <v>Y-P2-A2P</v>
      </c>
      <c r="D29" s="477" t="s">
        <v>50</v>
      </c>
      <c r="E29" t="s">
        <v>318</v>
      </c>
      <c r="F29" t="s">
        <v>54</v>
      </c>
      <c r="G29">
        <f>H$6</f>
        <v>1020</v>
      </c>
    </row>
    <row r="30" spans="2:7" x14ac:dyDescent="0.25">
      <c r="B30" s="479" t="str">
        <f t="shared" si="0"/>
        <v>Y-P2-A2P-1030</v>
      </c>
      <c r="C30" t="str">
        <f t="shared" si="1"/>
        <v>Y-P2-A2P</v>
      </c>
      <c r="D30" s="477" t="s">
        <v>50</v>
      </c>
      <c r="E30" t="s">
        <v>318</v>
      </c>
      <c r="F30" t="s">
        <v>54</v>
      </c>
      <c r="G30">
        <f>H$7</f>
        <v>1030</v>
      </c>
    </row>
    <row r="31" spans="2:7" x14ac:dyDescent="0.25">
      <c r="B31" s="479" t="str">
        <f t="shared" si="0"/>
        <v>Y-P2-A2P-1050</v>
      </c>
      <c r="C31" t="str">
        <f t="shared" si="1"/>
        <v>Y-P2-A2P</v>
      </c>
      <c r="D31" s="477" t="s">
        <v>50</v>
      </c>
      <c r="E31" t="s">
        <v>318</v>
      </c>
      <c r="F31" t="s">
        <v>54</v>
      </c>
      <c r="G31">
        <f>H$8</f>
        <v>1050</v>
      </c>
    </row>
    <row r="32" spans="2:7" x14ac:dyDescent="0.25">
      <c r="B32" s="478" t="str">
        <f>CONCATENATE(,D32,"-",E32,"-",G32,)</f>
        <v>R-Ref-1020</v>
      </c>
      <c r="C32" t="str">
        <f>CONCATENATE(,D32,"-",E32)</f>
        <v>R-Ref</v>
      </c>
      <c r="D32" s="477" t="s">
        <v>52</v>
      </c>
      <c r="E32" t="s">
        <v>1</v>
      </c>
      <c r="G32">
        <v>1020</v>
      </c>
    </row>
    <row r="33" spans="2:7" x14ac:dyDescent="0.25">
      <c r="B33" s="478" t="str">
        <f>CONCATENATE(,D33,"-",E33,"-",G33,)</f>
        <v>R-Ref-1030</v>
      </c>
      <c r="C33" t="str">
        <f>CONCATENATE(,D33,"-",E33)</f>
        <v>R-Ref</v>
      </c>
      <c r="D33" s="477" t="s">
        <v>52</v>
      </c>
      <c r="E33" t="s">
        <v>1</v>
      </c>
      <c r="G33">
        <v>1030</v>
      </c>
    </row>
    <row r="34" spans="2:7" x14ac:dyDescent="0.25">
      <c r="B34" s="478" t="str">
        <f>CONCATENATE(,D34,"-",E34,"-",G34,)</f>
        <v>R-Ref-1030</v>
      </c>
      <c r="C34" t="str">
        <f>CONCATENATE(,D34,"-",E34)</f>
        <v>R-Ref</v>
      </c>
      <c r="D34" s="477" t="s">
        <v>52</v>
      </c>
      <c r="E34" t="s">
        <v>1</v>
      </c>
      <c r="G34">
        <v>1030</v>
      </c>
    </row>
    <row r="35" spans="2:7" x14ac:dyDescent="0.25">
      <c r="B35" s="478" t="str">
        <f t="shared" ref="B35:B49" si="2">CONCATENATE(,D35,"-",E35,"-",F35,"-",G35,)</f>
        <v>R-P1-Raw-1020</v>
      </c>
      <c r="C35" t="str">
        <f t="shared" ref="C35:C49" si="3">CONCATENATE(,D35,"-",E35,"-",F35,)</f>
        <v>R-P1-Raw</v>
      </c>
      <c r="D35" s="477" t="s">
        <v>52</v>
      </c>
      <c r="E35" t="s">
        <v>317</v>
      </c>
      <c r="F35" t="s">
        <v>49</v>
      </c>
      <c r="G35">
        <f>H$6</f>
        <v>1020</v>
      </c>
    </row>
    <row r="36" spans="2:7" x14ac:dyDescent="0.25">
      <c r="B36" s="478" t="str">
        <f t="shared" si="2"/>
        <v>R-P1-Raw-1030</v>
      </c>
      <c r="C36" t="str">
        <f t="shared" si="3"/>
        <v>R-P1-Raw</v>
      </c>
      <c r="D36" s="477" t="s">
        <v>52</v>
      </c>
      <c r="E36" t="s">
        <v>317</v>
      </c>
      <c r="F36" t="s">
        <v>49</v>
      </c>
      <c r="G36">
        <f>H$7</f>
        <v>1030</v>
      </c>
    </row>
    <row r="37" spans="2:7" x14ac:dyDescent="0.25">
      <c r="B37" s="478" t="str">
        <f t="shared" si="2"/>
        <v>R-P1-Raw-1050</v>
      </c>
      <c r="C37" t="str">
        <f t="shared" si="3"/>
        <v>R-P1-Raw</v>
      </c>
      <c r="D37" s="477" t="s">
        <v>52</v>
      </c>
      <c r="E37" t="s">
        <v>317</v>
      </c>
      <c r="F37" t="s">
        <v>49</v>
      </c>
      <c r="G37">
        <f>H$8</f>
        <v>1050</v>
      </c>
    </row>
    <row r="38" spans="2:7" x14ac:dyDescent="0.25">
      <c r="B38" s="478" t="str">
        <f t="shared" si="2"/>
        <v>R-P1-ED-1020</v>
      </c>
      <c r="C38" t="str">
        <f t="shared" si="3"/>
        <v>R-P1-ED</v>
      </c>
      <c r="D38" s="477" t="s">
        <v>52</v>
      </c>
      <c r="E38" t="s">
        <v>317</v>
      </c>
      <c r="F38" t="s">
        <v>51</v>
      </c>
      <c r="G38">
        <f>H$6</f>
        <v>1020</v>
      </c>
    </row>
    <row r="39" spans="2:7" x14ac:dyDescent="0.25">
      <c r="B39" s="478" t="str">
        <f t="shared" si="2"/>
        <v>R-P1-ED-1030</v>
      </c>
      <c r="C39" t="str">
        <f t="shared" si="3"/>
        <v>R-P1-ED</v>
      </c>
      <c r="D39" s="477" t="s">
        <v>52</v>
      </c>
      <c r="E39" t="s">
        <v>317</v>
      </c>
      <c r="F39" t="s">
        <v>51</v>
      </c>
      <c r="G39">
        <f>H$7</f>
        <v>1030</v>
      </c>
    </row>
    <row r="40" spans="2:7" x14ac:dyDescent="0.25">
      <c r="B40" s="478" t="str">
        <f t="shared" si="2"/>
        <v>R-P1-ED-1050</v>
      </c>
      <c r="C40" t="str">
        <f t="shared" si="3"/>
        <v>R-P1-ED</v>
      </c>
      <c r="D40" s="477" t="s">
        <v>52</v>
      </c>
      <c r="E40" t="s">
        <v>317</v>
      </c>
      <c r="F40" t="s">
        <v>51</v>
      </c>
      <c r="G40">
        <f>H$8</f>
        <v>1050</v>
      </c>
    </row>
    <row r="41" spans="2:7" x14ac:dyDescent="0.25">
      <c r="B41" s="478" t="str">
        <f t="shared" si="2"/>
        <v>R-P2-Raw-1020</v>
      </c>
      <c r="C41" t="str">
        <f t="shared" si="3"/>
        <v>R-P2-Raw</v>
      </c>
      <c r="D41" s="477" t="s">
        <v>52</v>
      </c>
      <c r="E41" t="s">
        <v>318</v>
      </c>
      <c r="F41" t="s">
        <v>49</v>
      </c>
      <c r="G41">
        <f>H$6</f>
        <v>1020</v>
      </c>
    </row>
    <row r="42" spans="2:7" x14ac:dyDescent="0.25">
      <c r="B42" s="478" t="str">
        <f t="shared" si="2"/>
        <v>R-P2-Raw-1030</v>
      </c>
      <c r="C42" t="str">
        <f t="shared" si="3"/>
        <v>R-P2-Raw</v>
      </c>
      <c r="D42" s="477" t="s">
        <v>52</v>
      </c>
      <c r="E42" t="s">
        <v>318</v>
      </c>
      <c r="F42" t="s">
        <v>49</v>
      </c>
      <c r="G42">
        <f>H$7</f>
        <v>1030</v>
      </c>
    </row>
    <row r="43" spans="2:7" x14ac:dyDescent="0.25">
      <c r="B43" s="478" t="str">
        <f t="shared" si="2"/>
        <v>R-P2-Raw-1050</v>
      </c>
      <c r="C43" t="str">
        <f t="shared" si="3"/>
        <v>R-P2-Raw</v>
      </c>
      <c r="D43" s="477" t="s">
        <v>52</v>
      </c>
      <c r="E43" t="s">
        <v>318</v>
      </c>
      <c r="F43" t="s">
        <v>49</v>
      </c>
      <c r="G43">
        <f>H$8</f>
        <v>1050</v>
      </c>
    </row>
    <row r="44" spans="2:7" x14ac:dyDescent="0.25">
      <c r="B44" s="478" t="str">
        <f t="shared" si="2"/>
        <v>R-P2-ED-1020</v>
      </c>
      <c r="C44" t="str">
        <f t="shared" si="3"/>
        <v>R-P2-ED</v>
      </c>
      <c r="D44" s="477" t="s">
        <v>52</v>
      </c>
      <c r="E44" t="s">
        <v>318</v>
      </c>
      <c r="F44" t="s">
        <v>51</v>
      </c>
      <c r="G44">
        <f>H$6</f>
        <v>1020</v>
      </c>
    </row>
    <row r="45" spans="2:7" x14ac:dyDescent="0.25">
      <c r="B45" s="478" t="str">
        <f t="shared" si="2"/>
        <v>R-P2-ED-1030</v>
      </c>
      <c r="C45" t="str">
        <f t="shared" si="3"/>
        <v>R-P2-ED</v>
      </c>
      <c r="D45" s="477" t="s">
        <v>52</v>
      </c>
      <c r="E45" t="s">
        <v>318</v>
      </c>
      <c r="F45" t="s">
        <v>51</v>
      </c>
      <c r="G45">
        <f>H$7</f>
        <v>1030</v>
      </c>
    </row>
    <row r="46" spans="2:7" x14ac:dyDescent="0.25">
      <c r="B46" s="478" t="str">
        <f t="shared" si="2"/>
        <v>R-P2-ED-1050</v>
      </c>
      <c r="C46" t="str">
        <f t="shared" si="3"/>
        <v>R-P2-ED</v>
      </c>
      <c r="D46" s="477" t="s">
        <v>52</v>
      </c>
      <c r="E46" t="s">
        <v>318</v>
      </c>
      <c r="F46" t="s">
        <v>51</v>
      </c>
      <c r="G46">
        <f>H$8</f>
        <v>1050</v>
      </c>
    </row>
    <row r="47" spans="2:7" x14ac:dyDescent="0.25">
      <c r="B47" s="478" t="str">
        <f t="shared" si="2"/>
        <v>R-P2-A2P-1020</v>
      </c>
      <c r="C47" t="str">
        <f t="shared" si="3"/>
        <v>R-P2-A2P</v>
      </c>
      <c r="D47" s="477" t="s">
        <v>52</v>
      </c>
      <c r="E47" t="s">
        <v>318</v>
      </c>
      <c r="F47" t="s">
        <v>54</v>
      </c>
      <c r="G47">
        <f>H$6</f>
        <v>1020</v>
      </c>
    </row>
    <row r="48" spans="2:7" x14ac:dyDescent="0.25">
      <c r="B48" s="478" t="str">
        <f t="shared" si="2"/>
        <v>R-P2-A2P-1030</v>
      </c>
      <c r="C48" t="str">
        <f t="shared" si="3"/>
        <v>R-P2-A2P</v>
      </c>
      <c r="D48" s="477" t="s">
        <v>52</v>
      </c>
      <c r="E48" t="s">
        <v>318</v>
      </c>
      <c r="F48" t="s">
        <v>54</v>
      </c>
      <c r="G48">
        <f>H$7</f>
        <v>1030</v>
      </c>
    </row>
    <row r="49" spans="2:7" x14ac:dyDescent="0.25">
      <c r="B49" s="478" t="str">
        <f t="shared" si="2"/>
        <v>R-P2-A2P-1050</v>
      </c>
      <c r="C49" t="str">
        <f t="shared" si="3"/>
        <v>R-P2-A2P</v>
      </c>
      <c r="D49" s="477" t="s">
        <v>52</v>
      </c>
      <c r="E49" t="s">
        <v>318</v>
      </c>
      <c r="F49" t="s">
        <v>54</v>
      </c>
      <c r="G49">
        <f>H$8</f>
        <v>1050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BB10-7803-4E3F-B35E-E18E3A315D5D}">
  <dimension ref="A1:Z98"/>
  <sheetViews>
    <sheetView zoomScale="70" zoomScaleNormal="70" workbookViewId="0">
      <selection activeCell="V45" sqref="V45"/>
    </sheetView>
  </sheetViews>
  <sheetFormatPr defaultColWidth="8.85546875" defaultRowHeight="15" x14ac:dyDescent="0.25"/>
  <cols>
    <col min="1" max="1" width="23.140625" customWidth="1"/>
    <col min="2" max="2" width="10.42578125" bestFit="1" customWidth="1"/>
    <col min="3" max="3" width="10.140625" customWidth="1"/>
    <col min="4" max="4" width="10.7109375" customWidth="1"/>
    <col min="5" max="5" width="11.5703125" customWidth="1"/>
    <col min="6" max="6" width="11.42578125" customWidth="1"/>
    <col min="7" max="7" width="10.28515625" customWidth="1"/>
    <col min="8" max="8" width="16" bestFit="1" customWidth="1"/>
    <col min="9" max="9" width="11.28515625" customWidth="1"/>
    <col min="10" max="10" width="11.7109375" customWidth="1"/>
    <col min="11" max="16" width="9.85546875" customWidth="1"/>
    <col min="17" max="17" width="16" bestFit="1" customWidth="1"/>
    <col min="18" max="24" width="9.85546875" customWidth="1"/>
    <col min="26" max="26" width="16" customWidth="1"/>
  </cols>
  <sheetData>
    <row r="1" spans="1:17" ht="18.75" x14ac:dyDescent="0.3">
      <c r="A1" s="483" t="s">
        <v>55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</row>
    <row r="3" spans="1:17" x14ac:dyDescent="0.25">
      <c r="A3" s="1" t="s">
        <v>56</v>
      </c>
      <c r="B3" s="1"/>
    </row>
    <row r="4" spans="1:17" x14ac:dyDescent="0.25">
      <c r="A4" s="1" t="s">
        <v>57</v>
      </c>
      <c r="B4" s="2"/>
    </row>
    <row r="5" spans="1:17" x14ac:dyDescent="0.25">
      <c r="A5" s="1" t="s">
        <v>58</v>
      </c>
      <c r="B5" s="1"/>
    </row>
    <row r="7" spans="1:17" x14ac:dyDescent="0.25">
      <c r="A7" s="1" t="s">
        <v>59</v>
      </c>
    </row>
    <row r="8" spans="1:17" x14ac:dyDescent="0.25">
      <c r="A8" s="1"/>
    </row>
    <row r="9" spans="1:17" x14ac:dyDescent="0.25">
      <c r="A9" s="1" t="s">
        <v>60</v>
      </c>
      <c r="B9" t="s">
        <v>53</v>
      </c>
    </row>
    <row r="10" spans="1:17" x14ac:dyDescent="0.25">
      <c r="A10" s="1" t="s">
        <v>61</v>
      </c>
      <c r="B10" t="s">
        <v>48</v>
      </c>
      <c r="L10" s="9"/>
      <c r="M10" s="9"/>
      <c r="N10" s="9"/>
      <c r="O10" s="9"/>
      <c r="P10" s="9"/>
      <c r="Q10" s="9"/>
    </row>
    <row r="11" spans="1:17" x14ac:dyDescent="0.25">
      <c r="A11" s="1" t="s">
        <v>62</v>
      </c>
      <c r="B11" t="s">
        <v>51</v>
      </c>
      <c r="Q11" s="13"/>
    </row>
    <row r="12" spans="1:17" x14ac:dyDescent="0.25">
      <c r="A12" s="1" t="s">
        <v>63</v>
      </c>
      <c r="B12" t="s">
        <v>54</v>
      </c>
      <c r="M12" s="197"/>
      <c r="N12" s="196"/>
      <c r="O12" s="67"/>
      <c r="P12" s="67"/>
      <c r="Q12" s="198"/>
    </row>
    <row r="13" spans="1:17" x14ac:dyDescent="0.25">
      <c r="A13" s="1"/>
      <c r="M13" s="197"/>
      <c r="N13" s="196"/>
      <c r="O13" s="67"/>
      <c r="P13" s="67"/>
      <c r="Q13" s="198"/>
    </row>
    <row r="14" spans="1:17" x14ac:dyDescent="0.25">
      <c r="A14" s="1" t="s">
        <v>64</v>
      </c>
      <c r="M14" s="197"/>
      <c r="N14" s="196"/>
      <c r="O14" s="67"/>
      <c r="P14" s="67"/>
      <c r="Q14" s="198"/>
    </row>
    <row r="15" spans="1:17" x14ac:dyDescent="0.25">
      <c r="A15" s="1"/>
      <c r="C15" t="s">
        <v>65</v>
      </c>
      <c r="D15" t="s">
        <v>66</v>
      </c>
      <c r="E15" t="s">
        <v>67</v>
      </c>
      <c r="F15" t="s">
        <v>68</v>
      </c>
      <c r="G15" t="s">
        <v>69</v>
      </c>
      <c r="M15" s="9"/>
      <c r="N15" s="9"/>
      <c r="O15" s="9"/>
    </row>
    <row r="16" spans="1:17" x14ac:dyDescent="0.25">
      <c r="A16" s="1"/>
      <c r="B16" t="s">
        <v>1</v>
      </c>
      <c r="C16">
        <v>0</v>
      </c>
      <c r="D16">
        <v>25</v>
      </c>
      <c r="E16">
        <v>0</v>
      </c>
      <c r="F16">
        <v>6.25</v>
      </c>
      <c r="G16">
        <v>20</v>
      </c>
    </row>
    <row r="17" spans="1:7" x14ac:dyDescent="0.25">
      <c r="A17" s="1"/>
      <c r="B17" t="s">
        <v>70</v>
      </c>
      <c r="C17" s="195">
        <v>0.3</v>
      </c>
      <c r="D17">
        <v>17.5</v>
      </c>
      <c r="E17">
        <v>7.5</v>
      </c>
      <c r="F17" t="s">
        <v>71</v>
      </c>
      <c r="G17" t="s">
        <v>72</v>
      </c>
    </row>
    <row r="18" spans="1:7" x14ac:dyDescent="0.25">
      <c r="A18" s="1"/>
    </row>
    <row r="19" spans="1:7" x14ac:dyDescent="0.25">
      <c r="A19" s="1" t="s">
        <v>73</v>
      </c>
    </row>
    <row r="20" spans="1:7" x14ac:dyDescent="0.25">
      <c r="A20" s="1" t="s">
        <v>74</v>
      </c>
    </row>
    <row r="21" spans="1:7" x14ac:dyDescent="0.25">
      <c r="A21" s="1" t="s">
        <v>75</v>
      </c>
      <c r="B21" t="s">
        <v>76</v>
      </c>
    </row>
    <row r="22" spans="1:7" x14ac:dyDescent="0.25">
      <c r="A22" s="1" t="s">
        <v>77</v>
      </c>
      <c r="B22" t="s">
        <v>78</v>
      </c>
    </row>
    <row r="23" spans="1:7" x14ac:dyDescent="0.25">
      <c r="A23" s="1" t="s">
        <v>79</v>
      </c>
      <c r="B23" t="s">
        <v>80</v>
      </c>
    </row>
    <row r="24" spans="1:7" x14ac:dyDescent="0.25">
      <c r="A24" s="1" t="s">
        <v>81</v>
      </c>
      <c r="B24" t="s">
        <v>82</v>
      </c>
    </row>
    <row r="25" spans="1:7" x14ac:dyDescent="0.25">
      <c r="A25" s="1" t="s">
        <v>83</v>
      </c>
      <c r="B25" t="s">
        <v>84</v>
      </c>
    </row>
    <row r="27" spans="1:7" x14ac:dyDescent="0.25">
      <c r="A27" s="1" t="s">
        <v>85</v>
      </c>
    </row>
    <row r="28" spans="1:7" x14ac:dyDescent="0.25">
      <c r="A28" s="1" t="s">
        <v>75</v>
      </c>
      <c r="B28" t="s">
        <v>86</v>
      </c>
    </row>
    <row r="29" spans="1:7" x14ac:dyDescent="0.25">
      <c r="A29" s="1" t="s">
        <v>77</v>
      </c>
      <c r="B29" t="s">
        <v>87</v>
      </c>
    </row>
    <row r="30" spans="1:7" x14ac:dyDescent="0.25">
      <c r="A30" s="1" t="s">
        <v>79</v>
      </c>
      <c r="B30" t="s">
        <v>88</v>
      </c>
    </row>
    <row r="31" spans="1:7" x14ac:dyDescent="0.25">
      <c r="A31" s="1" t="s">
        <v>81</v>
      </c>
      <c r="B31" t="s">
        <v>89</v>
      </c>
    </row>
    <row r="32" spans="1:7" x14ac:dyDescent="0.25">
      <c r="A32" s="1" t="s">
        <v>83</v>
      </c>
      <c r="B32" t="s">
        <v>90</v>
      </c>
    </row>
    <row r="33" spans="1:26" x14ac:dyDescent="0.25">
      <c r="A33" s="1"/>
    </row>
    <row r="34" spans="1:26" x14ac:dyDescent="0.25">
      <c r="A34" s="1" t="s">
        <v>85</v>
      </c>
    </row>
    <row r="35" spans="1:26" x14ac:dyDescent="0.25">
      <c r="A35" s="1" t="s">
        <v>75</v>
      </c>
      <c r="B35" t="s">
        <v>91</v>
      </c>
    </row>
    <row r="36" spans="1:26" x14ac:dyDescent="0.25">
      <c r="A36" s="1" t="s">
        <v>77</v>
      </c>
      <c r="B36" t="s">
        <v>92</v>
      </c>
    </row>
    <row r="37" spans="1:26" x14ac:dyDescent="0.25">
      <c r="A37" s="1" t="s">
        <v>79</v>
      </c>
      <c r="B37" t="s">
        <v>93</v>
      </c>
    </row>
    <row r="38" spans="1:26" x14ac:dyDescent="0.25">
      <c r="A38" s="1" t="s">
        <v>81</v>
      </c>
      <c r="B38" t="s">
        <v>91</v>
      </c>
    </row>
    <row r="39" spans="1:26" x14ac:dyDescent="0.25">
      <c r="A39" s="1"/>
    </row>
    <row r="40" spans="1:26" ht="15.75" thickBot="1" x14ac:dyDescent="0.3"/>
    <row r="41" spans="1:26" ht="19.5" thickBot="1" x14ac:dyDescent="0.35">
      <c r="A41" s="216" t="s">
        <v>94</v>
      </c>
      <c r="B41" s="217"/>
      <c r="C41" s="217"/>
      <c r="D41" s="217"/>
      <c r="E41" s="217"/>
      <c r="F41" s="217"/>
      <c r="G41" s="217"/>
      <c r="H41" s="218"/>
      <c r="J41" s="132" t="s">
        <v>95</v>
      </c>
      <c r="K41" s="133"/>
      <c r="L41" s="133"/>
      <c r="M41" s="133"/>
      <c r="N41" s="133"/>
      <c r="O41" s="133"/>
      <c r="P41" s="133"/>
      <c r="Q41" s="134"/>
      <c r="S41" s="132" t="s">
        <v>96</v>
      </c>
      <c r="T41" s="133"/>
      <c r="U41" s="133"/>
      <c r="V41" s="133"/>
      <c r="W41" s="133"/>
      <c r="X41" s="133"/>
      <c r="Y41" s="133"/>
      <c r="Z41" s="134"/>
    </row>
    <row r="42" spans="1:26" ht="15.75" thickBot="1" x14ac:dyDescent="0.3">
      <c r="A42" s="199" t="s">
        <v>97</v>
      </c>
      <c r="B42" s="5"/>
      <c r="C42" s="5" t="s">
        <v>98</v>
      </c>
      <c r="D42" s="5" t="s">
        <v>99</v>
      </c>
      <c r="E42" s="5" t="s">
        <v>100</v>
      </c>
      <c r="F42" s="5" t="s">
        <v>101</v>
      </c>
      <c r="G42" s="5" t="s">
        <v>102</v>
      </c>
      <c r="H42" s="215" t="s">
        <v>103</v>
      </c>
      <c r="J42" s="208" t="s">
        <v>104</v>
      </c>
      <c r="K42" s="219"/>
      <c r="L42" s="219" t="s">
        <v>98</v>
      </c>
      <c r="M42" s="219" t="s">
        <v>99</v>
      </c>
      <c r="N42" s="219" t="s">
        <v>100</v>
      </c>
      <c r="O42" s="219" t="s">
        <v>101</v>
      </c>
      <c r="P42" s="219" t="s">
        <v>102</v>
      </c>
      <c r="Q42" s="220" t="s">
        <v>103</v>
      </c>
      <c r="S42" s="208" t="s">
        <v>104</v>
      </c>
      <c r="T42" s="219"/>
      <c r="U42" s="219" t="s">
        <v>98</v>
      </c>
      <c r="V42" s="219" t="s">
        <v>99</v>
      </c>
      <c r="W42" s="221" t="s">
        <v>100</v>
      </c>
      <c r="X42" s="208" t="s">
        <v>101</v>
      </c>
      <c r="Y42" s="222" t="s">
        <v>102</v>
      </c>
      <c r="Z42" s="220" t="s">
        <v>103</v>
      </c>
    </row>
    <row r="43" spans="1:26" ht="15.75" thickBot="1" x14ac:dyDescent="0.3">
      <c r="A43" t="s">
        <v>105</v>
      </c>
      <c r="B43" s="10" t="s">
        <v>1</v>
      </c>
      <c r="C43" s="6">
        <v>0</v>
      </c>
      <c r="D43" s="6">
        <v>25</v>
      </c>
      <c r="E43" s="6">
        <v>0</v>
      </c>
      <c r="F43" s="6">
        <v>6.26</v>
      </c>
      <c r="G43" s="6">
        <f t="shared" ref="G43:G48" si="0">SUM(F43:F43)</f>
        <v>6.26</v>
      </c>
      <c r="H43" s="225">
        <f>G43/(G43+E43+D43)*100</f>
        <v>20.025591810620604</v>
      </c>
      <c r="J43" t="s">
        <v>106</v>
      </c>
      <c r="K43" s="10" t="s">
        <v>1</v>
      </c>
      <c r="L43" s="6">
        <v>0</v>
      </c>
      <c r="M43" s="6">
        <v>25</v>
      </c>
      <c r="N43" s="6">
        <v>0</v>
      </c>
      <c r="O43" s="6">
        <v>6.28</v>
      </c>
      <c r="P43" s="6">
        <f t="shared" ref="P43:P48" si="1">SUM(O43:O43)</f>
        <v>6.28</v>
      </c>
      <c r="Q43" s="225">
        <f>P43/(P43+N43+M43)*100</f>
        <v>20.076726342710998</v>
      </c>
      <c r="S43" t="s">
        <v>107</v>
      </c>
      <c r="T43" s="10" t="s">
        <v>1</v>
      </c>
      <c r="U43" s="6">
        <v>0</v>
      </c>
      <c r="V43" s="6">
        <v>25</v>
      </c>
      <c r="W43" s="6">
        <v>0</v>
      </c>
      <c r="X43" s="6">
        <v>6.44</v>
      </c>
      <c r="Y43" s="6">
        <f t="shared" ref="Y43:Y48" si="2">SUM(X43:X43)</f>
        <v>6.44</v>
      </c>
      <c r="Z43" s="291">
        <f>Y43/(Y43+W43+V43)*100</f>
        <v>20.483460559796438</v>
      </c>
    </row>
    <row r="44" spans="1:26" x14ac:dyDescent="0.25">
      <c r="A44" t="s">
        <v>108</v>
      </c>
      <c r="B44" s="486" t="s">
        <v>109</v>
      </c>
      <c r="C44" s="128" t="s">
        <v>49</v>
      </c>
      <c r="D44" s="7">
        <v>17.5</v>
      </c>
      <c r="E44" s="7">
        <v>7.5</v>
      </c>
      <c r="F44" s="7">
        <v>6.68</v>
      </c>
      <c r="G44" s="7">
        <f t="shared" si="0"/>
        <v>6.68</v>
      </c>
      <c r="H44" s="223">
        <f>G44/(G44+E44+D44)*100</f>
        <v>21.085858585858585</v>
      </c>
      <c r="J44" t="s">
        <v>110</v>
      </c>
      <c r="K44" s="486" t="s">
        <v>109</v>
      </c>
      <c r="L44" s="128" t="s">
        <v>49</v>
      </c>
      <c r="M44" s="7">
        <v>17.5</v>
      </c>
      <c r="N44" s="7">
        <v>7.5</v>
      </c>
      <c r="O44" s="7">
        <v>7.53</v>
      </c>
      <c r="P44" s="7">
        <f t="shared" si="1"/>
        <v>7.53</v>
      </c>
      <c r="Q44" s="213">
        <f>P44/(P44+N44+M44)*100</f>
        <v>23.147863510605596</v>
      </c>
      <c r="S44" t="s">
        <v>111</v>
      </c>
      <c r="T44" s="486" t="s">
        <v>109</v>
      </c>
      <c r="U44" s="128" t="s">
        <v>49</v>
      </c>
      <c r="V44" s="7">
        <v>17.5</v>
      </c>
      <c r="W44" s="7">
        <v>7.5</v>
      </c>
      <c r="X44" s="7">
        <v>6.77</v>
      </c>
      <c r="Y44" s="7">
        <f t="shared" si="2"/>
        <v>6.77</v>
      </c>
      <c r="Z44" s="223">
        <f>Y44/(Y44+W44+V44)*100</f>
        <v>21.30941139439723</v>
      </c>
    </row>
    <row r="45" spans="1:26" ht="15.75" thickBot="1" x14ac:dyDescent="0.3">
      <c r="A45" t="s">
        <v>108</v>
      </c>
      <c r="B45" s="487"/>
      <c r="C45" s="129" t="s">
        <v>51</v>
      </c>
      <c r="D45" s="8">
        <v>17.5</v>
      </c>
      <c r="E45" s="8">
        <v>7.5</v>
      </c>
      <c r="F45" s="8">
        <v>7.02</v>
      </c>
      <c r="G45" s="8">
        <f t="shared" si="0"/>
        <v>7.02</v>
      </c>
      <c r="H45" s="224">
        <f>G45/(G45+E45+D45)*100</f>
        <v>21.923797626483449</v>
      </c>
      <c r="J45" t="s">
        <v>110</v>
      </c>
      <c r="K45" s="487"/>
      <c r="L45" s="129" t="s">
        <v>51</v>
      </c>
      <c r="M45" s="8">
        <v>17.5</v>
      </c>
      <c r="N45" s="8">
        <v>7.5</v>
      </c>
      <c r="O45" s="8">
        <v>7.25</v>
      </c>
      <c r="P45" s="8">
        <f t="shared" si="1"/>
        <v>7.25</v>
      </c>
      <c r="Q45" s="214">
        <f t="shared" ref="Q45:Q48" si="3">P45/(P45+N45+M45)*100</f>
        <v>22.480620155038761</v>
      </c>
      <c r="S45" t="s">
        <v>111</v>
      </c>
      <c r="T45" s="487"/>
      <c r="U45" s="129" t="s">
        <v>51</v>
      </c>
      <c r="V45" s="8">
        <v>17.5</v>
      </c>
      <c r="W45" s="8">
        <v>7.5</v>
      </c>
      <c r="X45" s="8">
        <v>6.75</v>
      </c>
      <c r="Y45" s="8">
        <f t="shared" si="2"/>
        <v>6.75</v>
      </c>
      <c r="Z45" s="224">
        <f t="shared" ref="Z45:Z48" si="4">Y45/(Y45+W45+V45)*100</f>
        <v>21.259842519685041</v>
      </c>
    </row>
    <row r="46" spans="1:26" ht="16.5" customHeight="1" x14ac:dyDescent="0.25">
      <c r="A46" t="s">
        <v>112</v>
      </c>
      <c r="B46" s="488" t="s">
        <v>113</v>
      </c>
      <c r="C46" s="130" t="s">
        <v>49</v>
      </c>
      <c r="D46" s="11">
        <v>17.5</v>
      </c>
      <c r="E46" s="11">
        <v>7.5</v>
      </c>
      <c r="F46" s="11">
        <v>6.66</v>
      </c>
      <c r="G46" s="11">
        <f t="shared" si="0"/>
        <v>6.66</v>
      </c>
      <c r="H46" s="226">
        <f t="shared" ref="H46:H48" si="5">G46/(G46+E46+D46)*100</f>
        <v>21.036007580543274</v>
      </c>
      <c r="J46" t="s">
        <v>114</v>
      </c>
      <c r="K46" s="488" t="s">
        <v>113</v>
      </c>
      <c r="L46" s="130" t="s">
        <v>49</v>
      </c>
      <c r="M46" s="11">
        <v>17.5</v>
      </c>
      <c r="N46" s="11">
        <v>7.5</v>
      </c>
      <c r="O46" s="11">
        <v>6.66</v>
      </c>
      <c r="P46" s="11">
        <f t="shared" si="1"/>
        <v>6.66</v>
      </c>
      <c r="Q46" s="226">
        <f t="shared" si="3"/>
        <v>21.036007580543274</v>
      </c>
      <c r="S46" t="s">
        <v>115</v>
      </c>
      <c r="T46" s="488" t="s">
        <v>113</v>
      </c>
      <c r="U46" s="130" t="s">
        <v>49</v>
      </c>
      <c r="V46" s="11">
        <v>17.5</v>
      </c>
      <c r="W46" s="11">
        <v>7.5</v>
      </c>
      <c r="X46" s="11">
        <v>6.68</v>
      </c>
      <c r="Y46" s="11">
        <f t="shared" si="2"/>
        <v>6.68</v>
      </c>
      <c r="Z46" s="292">
        <f t="shared" si="4"/>
        <v>21.085858585858585</v>
      </c>
    </row>
    <row r="47" spans="1:26" ht="15.75" thickBot="1" x14ac:dyDescent="0.3">
      <c r="A47" t="s">
        <v>112</v>
      </c>
      <c r="B47" s="489"/>
      <c r="C47" s="131" t="s">
        <v>51</v>
      </c>
      <c r="D47" s="12">
        <v>17.5</v>
      </c>
      <c r="E47" s="12">
        <v>7.5</v>
      </c>
      <c r="F47" s="12">
        <v>6.97</v>
      </c>
      <c r="G47" s="12">
        <f t="shared" si="0"/>
        <v>6.97</v>
      </c>
      <c r="H47" s="227">
        <f t="shared" si="5"/>
        <v>21.801689083515797</v>
      </c>
      <c r="J47" t="s">
        <v>114</v>
      </c>
      <c r="K47" s="489"/>
      <c r="L47" s="131" t="s">
        <v>51</v>
      </c>
      <c r="M47" s="12">
        <v>17.5</v>
      </c>
      <c r="N47" s="12">
        <v>7.5</v>
      </c>
      <c r="O47" s="12">
        <v>7.08</v>
      </c>
      <c r="P47" s="12">
        <f t="shared" si="1"/>
        <v>7.08</v>
      </c>
      <c r="Q47" s="227">
        <f t="shared" si="3"/>
        <v>22.06982543640898</v>
      </c>
      <c r="S47" t="s">
        <v>115</v>
      </c>
      <c r="T47" s="489"/>
      <c r="U47" s="131" t="s">
        <v>51</v>
      </c>
      <c r="V47" s="12">
        <v>17.5</v>
      </c>
      <c r="W47" s="12">
        <v>7.5</v>
      </c>
      <c r="X47" s="12">
        <v>7.01</v>
      </c>
      <c r="Y47" s="12">
        <f t="shared" si="2"/>
        <v>7.01</v>
      </c>
      <c r="Z47" s="293">
        <f t="shared" si="4"/>
        <v>21.89940643548891</v>
      </c>
    </row>
    <row r="48" spans="1:26" ht="15.75" thickBot="1" x14ac:dyDescent="0.3">
      <c r="A48" t="s">
        <v>105</v>
      </c>
      <c r="B48" s="209" t="s">
        <v>45</v>
      </c>
      <c r="C48" s="210" t="s">
        <v>54</v>
      </c>
      <c r="D48" s="211">
        <v>17.5</v>
      </c>
      <c r="E48" s="211">
        <v>7.5</v>
      </c>
      <c r="F48" s="211">
        <v>7.64</v>
      </c>
      <c r="G48" s="211">
        <f t="shared" si="0"/>
        <v>7.64</v>
      </c>
      <c r="H48" s="212">
        <f t="shared" si="5"/>
        <v>23.406862745098035</v>
      </c>
      <c r="J48" t="s">
        <v>106</v>
      </c>
      <c r="K48" s="209" t="s">
        <v>45</v>
      </c>
      <c r="L48" s="210" t="s">
        <v>54</v>
      </c>
      <c r="M48" s="211">
        <v>17.5</v>
      </c>
      <c r="N48" s="211">
        <v>7.5</v>
      </c>
      <c r="O48" s="211">
        <v>7.42</v>
      </c>
      <c r="P48" s="211">
        <f t="shared" si="1"/>
        <v>7.42</v>
      </c>
      <c r="Q48" s="212">
        <f t="shared" si="3"/>
        <v>22.88710672424429</v>
      </c>
      <c r="S48" t="s">
        <v>107</v>
      </c>
      <c r="T48" s="209" t="s">
        <v>45</v>
      </c>
      <c r="U48" s="210" t="s">
        <v>54</v>
      </c>
      <c r="V48" s="211">
        <v>17.5</v>
      </c>
      <c r="W48" s="211">
        <v>7.5</v>
      </c>
      <c r="X48" s="211">
        <v>7.11</v>
      </c>
      <c r="Y48" s="211">
        <f t="shared" si="2"/>
        <v>7.11</v>
      </c>
      <c r="Z48" s="294">
        <f t="shared" si="4"/>
        <v>22.142634693241984</v>
      </c>
    </row>
    <row r="50" spans="1:26" ht="15.75" thickBot="1" x14ac:dyDescent="0.3"/>
    <row r="51" spans="1:26" ht="19.5" thickBot="1" x14ac:dyDescent="0.35">
      <c r="A51" s="132" t="s">
        <v>116</v>
      </c>
      <c r="B51" s="133"/>
      <c r="C51" s="133"/>
      <c r="D51" s="133"/>
      <c r="E51" s="133"/>
      <c r="F51" s="133"/>
      <c r="G51" s="134"/>
      <c r="H51" s="207"/>
      <c r="J51" s="132" t="s">
        <v>117</v>
      </c>
      <c r="K51" s="133"/>
      <c r="L51" s="133"/>
      <c r="M51" s="133"/>
      <c r="N51" s="133"/>
      <c r="O51" s="133"/>
      <c r="P51" s="133"/>
      <c r="Q51" s="134"/>
      <c r="S51" s="132" t="s">
        <v>0</v>
      </c>
      <c r="T51" s="133"/>
      <c r="U51" s="133"/>
      <c r="V51" s="133"/>
      <c r="W51" s="133"/>
      <c r="X51" s="133"/>
      <c r="Y51" s="133"/>
      <c r="Z51" s="134"/>
    </row>
    <row r="52" spans="1:26" ht="15.75" thickBot="1" x14ac:dyDescent="0.3">
      <c r="A52" s="4" t="s">
        <v>104</v>
      </c>
      <c r="B52" s="5"/>
      <c r="C52" s="5" t="s">
        <v>98</v>
      </c>
      <c r="D52" s="5" t="s">
        <v>99</v>
      </c>
      <c r="E52" s="5" t="s">
        <v>100</v>
      </c>
      <c r="F52" s="5" t="s">
        <v>101</v>
      </c>
      <c r="G52" s="5" t="s">
        <v>102</v>
      </c>
      <c r="H52" s="215" t="s">
        <v>103</v>
      </c>
      <c r="J52" s="208" t="s">
        <v>104</v>
      </c>
      <c r="K52" s="219"/>
      <c r="L52" s="219" t="s">
        <v>98</v>
      </c>
      <c r="M52" s="219" t="s">
        <v>99</v>
      </c>
      <c r="N52" s="219" t="s">
        <v>100</v>
      </c>
      <c r="O52" s="219" t="s">
        <v>101</v>
      </c>
      <c r="P52" s="219" t="s">
        <v>102</v>
      </c>
      <c r="Q52" s="220" t="s">
        <v>103</v>
      </c>
      <c r="S52" s="208" t="s">
        <v>104</v>
      </c>
      <c r="T52" s="219"/>
      <c r="U52" s="219" t="s">
        <v>98</v>
      </c>
      <c r="V52" s="219" t="s">
        <v>99</v>
      </c>
      <c r="W52" s="221" t="s">
        <v>100</v>
      </c>
      <c r="X52" s="208" t="s">
        <v>101</v>
      </c>
      <c r="Y52" s="222" t="s">
        <v>102</v>
      </c>
      <c r="Z52" s="220" t="s">
        <v>103</v>
      </c>
    </row>
    <row r="53" spans="1:26" ht="15.75" thickBot="1" x14ac:dyDescent="0.3">
      <c r="A53" t="s">
        <v>105</v>
      </c>
      <c r="B53" s="10" t="s">
        <v>1</v>
      </c>
      <c r="C53" s="6">
        <v>0</v>
      </c>
      <c r="D53" s="6">
        <v>25</v>
      </c>
      <c r="E53" s="6">
        <v>0</v>
      </c>
      <c r="F53" s="6">
        <v>6.26</v>
      </c>
      <c r="G53" s="6">
        <f t="shared" ref="G53:G58" si="6">SUM(F53:F53)</f>
        <v>6.26</v>
      </c>
      <c r="H53" s="225">
        <f>G53/(G53+E53+D53)*100</f>
        <v>20.025591810620604</v>
      </c>
      <c r="J53" t="s">
        <v>106</v>
      </c>
      <c r="K53" s="10" t="s">
        <v>1</v>
      </c>
      <c r="L53" s="6">
        <v>0</v>
      </c>
      <c r="M53" s="6">
        <v>25</v>
      </c>
      <c r="N53" s="6">
        <v>0</v>
      </c>
      <c r="O53" s="6">
        <v>6.26</v>
      </c>
      <c r="P53" s="6">
        <f t="shared" ref="P53:P58" si="7">SUM(O53:O53)</f>
        <v>6.26</v>
      </c>
      <c r="Q53" s="225">
        <f>P53/(P53+N53+M53)*100</f>
        <v>20.025591810620604</v>
      </c>
      <c r="S53" t="s">
        <v>107</v>
      </c>
      <c r="T53" s="10" t="s">
        <v>1</v>
      </c>
      <c r="U53" s="6">
        <v>0</v>
      </c>
      <c r="V53" s="6">
        <v>25</v>
      </c>
      <c r="W53" s="6">
        <v>0</v>
      </c>
      <c r="X53" s="6">
        <v>6.47</v>
      </c>
      <c r="Y53" s="6">
        <f t="shared" ref="Y53:Y58" si="8">SUM(X53:X53)</f>
        <v>6.47</v>
      </c>
      <c r="Z53" s="291">
        <f>Y53/(Y53+W53+V53)*100</f>
        <v>20.559262789958691</v>
      </c>
    </row>
    <row r="54" spans="1:26" x14ac:dyDescent="0.25">
      <c r="A54" t="s">
        <v>108</v>
      </c>
      <c r="B54" s="486" t="s">
        <v>109</v>
      </c>
      <c r="C54" s="128" t="s">
        <v>49</v>
      </c>
      <c r="D54" s="7">
        <v>17.5</v>
      </c>
      <c r="E54" s="7">
        <v>7.5</v>
      </c>
      <c r="F54" s="7">
        <v>6.43</v>
      </c>
      <c r="G54" s="7">
        <f t="shared" si="6"/>
        <v>6.43</v>
      </c>
      <c r="H54" s="223">
        <f>G54/(G54+E54+D54)*100</f>
        <v>20.458160992682149</v>
      </c>
      <c r="J54" t="s">
        <v>110</v>
      </c>
      <c r="K54" s="486" t="s">
        <v>109</v>
      </c>
      <c r="L54" s="128" t="s">
        <v>49</v>
      </c>
      <c r="M54" s="7">
        <v>17.5</v>
      </c>
      <c r="N54" s="7">
        <v>7.5</v>
      </c>
      <c r="O54" s="7">
        <v>7.05</v>
      </c>
      <c r="P54" s="7">
        <f t="shared" si="7"/>
        <v>7.05</v>
      </c>
      <c r="Q54" s="213">
        <f>P54/(P54+N54+M54)*100</f>
        <v>21.996879875195006</v>
      </c>
      <c r="S54" t="s">
        <v>111</v>
      </c>
      <c r="T54" s="490" t="s">
        <v>109</v>
      </c>
      <c r="U54" s="128" t="s">
        <v>49</v>
      </c>
      <c r="V54" s="7">
        <v>17.5</v>
      </c>
      <c r="W54" s="7">
        <v>7.5</v>
      </c>
      <c r="X54" s="7">
        <v>6.78</v>
      </c>
      <c r="Y54" s="7">
        <f t="shared" si="8"/>
        <v>6.78</v>
      </c>
      <c r="Z54" s="223">
        <f>Y54/(Y54+W54+V54)*100</f>
        <v>21.334172435494022</v>
      </c>
    </row>
    <row r="55" spans="1:26" ht="15.75" thickBot="1" x14ac:dyDescent="0.3">
      <c r="A55" t="s">
        <v>108</v>
      </c>
      <c r="B55" s="487"/>
      <c r="C55" s="129" t="s">
        <v>51</v>
      </c>
      <c r="D55" s="8">
        <v>17.5</v>
      </c>
      <c r="E55" s="8">
        <v>7.5</v>
      </c>
      <c r="F55" s="8">
        <v>7.31</v>
      </c>
      <c r="G55" s="8">
        <f t="shared" si="6"/>
        <v>7.31</v>
      </c>
      <c r="H55" s="224">
        <f t="shared" ref="H55:H58" si="9">G55/(G55+E55+D55)*100</f>
        <v>22.624574435159392</v>
      </c>
      <c r="J55" t="s">
        <v>110</v>
      </c>
      <c r="K55" s="487"/>
      <c r="L55" s="129" t="s">
        <v>51</v>
      </c>
      <c r="M55" s="8">
        <v>17.5</v>
      </c>
      <c r="N55" s="8">
        <v>7.5</v>
      </c>
      <c r="O55" s="8">
        <v>7.13</v>
      </c>
      <c r="P55" s="8">
        <f t="shared" si="7"/>
        <v>7.13</v>
      </c>
      <c r="Q55" s="214">
        <f t="shared" ref="Q55:Q58" si="10">P55/(P55+N55+M55)*100</f>
        <v>22.191098661686901</v>
      </c>
      <c r="S55" t="s">
        <v>111</v>
      </c>
      <c r="T55" s="491"/>
      <c r="U55" s="129" t="s">
        <v>51</v>
      </c>
      <c r="V55" s="8">
        <v>17.5</v>
      </c>
      <c r="W55" s="8">
        <v>7.5</v>
      </c>
      <c r="X55" s="8">
        <v>6.69</v>
      </c>
      <c r="Y55" s="8">
        <f t="shared" si="8"/>
        <v>6.69</v>
      </c>
      <c r="Z55" s="224">
        <f t="shared" ref="Z55:Z58" si="11">Y55/(Y55+W55+V55)*100</f>
        <v>21.110760492268852</v>
      </c>
    </row>
    <row r="56" spans="1:26" ht="16.5" customHeight="1" x14ac:dyDescent="0.25">
      <c r="A56" t="s">
        <v>112</v>
      </c>
      <c r="B56" s="488" t="s">
        <v>113</v>
      </c>
      <c r="C56" s="130" t="s">
        <v>49</v>
      </c>
      <c r="D56" s="11">
        <v>17.5</v>
      </c>
      <c r="E56" s="11">
        <v>7.5</v>
      </c>
      <c r="F56" s="11">
        <v>6.98</v>
      </c>
      <c r="G56" s="11">
        <f t="shared" si="6"/>
        <v>6.98</v>
      </c>
      <c r="H56" s="226">
        <f t="shared" si="9"/>
        <v>21.826141338336459</v>
      </c>
      <c r="J56" t="s">
        <v>114</v>
      </c>
      <c r="K56" s="488" t="s">
        <v>113</v>
      </c>
      <c r="L56" s="130" t="s">
        <v>49</v>
      </c>
      <c r="M56" s="11">
        <v>17.5</v>
      </c>
      <c r="N56" s="11">
        <v>7.5</v>
      </c>
      <c r="O56" s="11">
        <v>6.68</v>
      </c>
      <c r="P56" s="11">
        <f t="shared" si="7"/>
        <v>6.68</v>
      </c>
      <c r="Q56" s="226">
        <f t="shared" si="10"/>
        <v>21.085858585858585</v>
      </c>
      <c r="S56" t="s">
        <v>115</v>
      </c>
      <c r="T56" s="484" t="s">
        <v>113</v>
      </c>
      <c r="U56" s="130" t="s">
        <v>49</v>
      </c>
      <c r="V56" s="11">
        <v>17.5</v>
      </c>
      <c r="W56" s="11">
        <v>7.5</v>
      </c>
      <c r="X56" s="11">
        <v>6.68</v>
      </c>
      <c r="Y56" s="11">
        <f t="shared" si="8"/>
        <v>6.68</v>
      </c>
      <c r="Z56" s="292">
        <f t="shared" si="11"/>
        <v>21.085858585858585</v>
      </c>
    </row>
    <row r="57" spans="1:26" ht="15.75" thickBot="1" x14ac:dyDescent="0.3">
      <c r="A57" t="s">
        <v>112</v>
      </c>
      <c r="B57" s="489"/>
      <c r="C57" s="131" t="s">
        <v>51</v>
      </c>
      <c r="D57" s="12">
        <v>17.5</v>
      </c>
      <c r="E57" s="12">
        <v>7.5</v>
      </c>
      <c r="F57" s="12">
        <v>6.97</v>
      </c>
      <c r="G57" s="12">
        <f t="shared" si="6"/>
        <v>6.97</v>
      </c>
      <c r="H57" s="227">
        <f t="shared" si="9"/>
        <v>21.801689083515797</v>
      </c>
      <c r="J57" t="s">
        <v>114</v>
      </c>
      <c r="K57" s="489"/>
      <c r="L57" s="131" t="s">
        <v>51</v>
      </c>
      <c r="M57" s="12">
        <v>17.5</v>
      </c>
      <c r="N57" s="12">
        <v>7.5</v>
      </c>
      <c r="O57" s="12">
        <v>6.76</v>
      </c>
      <c r="P57" s="12">
        <f t="shared" si="7"/>
        <v>6.76</v>
      </c>
      <c r="Q57" s="227">
        <f t="shared" si="10"/>
        <v>21.284634760705291</v>
      </c>
      <c r="S57" t="s">
        <v>115</v>
      </c>
      <c r="T57" s="485"/>
      <c r="U57" s="131" t="s">
        <v>51</v>
      </c>
      <c r="V57" s="12">
        <v>17.5</v>
      </c>
      <c r="W57" s="12">
        <v>7.5</v>
      </c>
      <c r="X57" s="12">
        <v>6.86</v>
      </c>
      <c r="Y57" s="12">
        <f t="shared" si="8"/>
        <v>6.86</v>
      </c>
      <c r="Z57" s="293">
        <f t="shared" si="11"/>
        <v>21.531701192718145</v>
      </c>
    </row>
    <row r="58" spans="1:26" ht="15.75" thickBot="1" x14ac:dyDescent="0.3">
      <c r="A58" t="s">
        <v>105</v>
      </c>
      <c r="B58" s="209" t="s">
        <v>45</v>
      </c>
      <c r="C58" s="210" t="s">
        <v>54</v>
      </c>
      <c r="D58" s="211">
        <v>17.5</v>
      </c>
      <c r="E58" s="211">
        <v>7.5</v>
      </c>
      <c r="F58" s="211">
        <v>7.5</v>
      </c>
      <c r="G58" s="211">
        <f t="shared" si="6"/>
        <v>7.5</v>
      </c>
      <c r="H58" s="212">
        <f t="shared" si="9"/>
        <v>23.076923076923077</v>
      </c>
      <c r="J58" t="s">
        <v>106</v>
      </c>
      <c r="K58" s="209" t="s">
        <v>45</v>
      </c>
      <c r="L58" s="210" t="s">
        <v>54</v>
      </c>
      <c r="M58" s="211">
        <v>17.5</v>
      </c>
      <c r="N58" s="211">
        <v>7.5</v>
      </c>
      <c r="O58" s="211">
        <v>7.51</v>
      </c>
      <c r="P58" s="211">
        <f t="shared" si="7"/>
        <v>7.51</v>
      </c>
      <c r="Q58" s="212">
        <f t="shared" si="10"/>
        <v>23.100584435558289</v>
      </c>
      <c r="S58" t="s">
        <v>107</v>
      </c>
      <c r="T58" s="209" t="s">
        <v>45</v>
      </c>
      <c r="U58" s="210" t="s">
        <v>54</v>
      </c>
      <c r="V58" s="211">
        <v>17.5</v>
      </c>
      <c r="W58" s="211">
        <v>7.5</v>
      </c>
      <c r="X58" s="211">
        <v>7.53</v>
      </c>
      <c r="Y58" s="211">
        <f t="shared" si="8"/>
        <v>7.53</v>
      </c>
      <c r="Z58" s="294">
        <f t="shared" si="11"/>
        <v>23.147863510605596</v>
      </c>
    </row>
    <row r="60" spans="1:26" ht="15.75" thickBot="1" x14ac:dyDescent="0.3"/>
    <row r="61" spans="1:26" ht="15.75" thickBot="1" x14ac:dyDescent="0.3">
      <c r="A61" s="480" t="s">
        <v>118</v>
      </c>
      <c r="B61" s="481"/>
      <c r="C61" s="482"/>
    </row>
    <row r="62" spans="1:26" x14ac:dyDescent="0.25">
      <c r="A62" s="100" t="s">
        <v>119</v>
      </c>
      <c r="B62" s="157">
        <f>SUM(D43:D48)+SUM(M43:M49)+SUM(V43:V49)</f>
        <v>337.5</v>
      </c>
      <c r="C62" s="104" t="s">
        <v>120</v>
      </c>
    </row>
    <row r="63" spans="1:26" x14ac:dyDescent="0.25">
      <c r="A63" s="101" t="s">
        <v>121</v>
      </c>
      <c r="B63">
        <f>SUM(D53:D59)+SUM(M53:M59)+SUM(V53:V59)</f>
        <v>337.5</v>
      </c>
      <c r="C63" s="158" t="s">
        <v>120</v>
      </c>
    </row>
    <row r="64" spans="1:26" x14ac:dyDescent="0.25">
      <c r="A64" s="101"/>
      <c r="C64" s="158"/>
    </row>
    <row r="65" spans="1:10" x14ac:dyDescent="0.25">
      <c r="A65" s="101" t="s">
        <v>122</v>
      </c>
      <c r="B65">
        <f>E44+N44+W44+E54+N54+W54</f>
        <v>45</v>
      </c>
      <c r="C65" s="158" t="s">
        <v>120</v>
      </c>
    </row>
    <row r="66" spans="1:10" x14ac:dyDescent="0.25">
      <c r="A66" s="101" t="s">
        <v>123</v>
      </c>
      <c r="B66">
        <f>E45+N45+W45+E55+N55+W55</f>
        <v>45</v>
      </c>
      <c r="C66" s="158" t="s">
        <v>120</v>
      </c>
      <c r="J66">
        <f>15*0.3</f>
        <v>4.5</v>
      </c>
    </row>
    <row r="67" spans="1:10" ht="16.5" customHeight="1" x14ac:dyDescent="0.25">
      <c r="A67" s="101" t="s">
        <v>124</v>
      </c>
      <c r="B67">
        <f>E48+N46+W46+E56+N56+W56</f>
        <v>45</v>
      </c>
      <c r="C67" s="158" t="s">
        <v>120</v>
      </c>
    </row>
    <row r="68" spans="1:10" x14ac:dyDescent="0.25">
      <c r="A68" s="101" t="s">
        <v>125</v>
      </c>
      <c r="B68">
        <f>E46+N47+W47+E57+N57+W57</f>
        <v>45</v>
      </c>
      <c r="C68" s="158" t="s">
        <v>120</v>
      </c>
    </row>
    <row r="69" spans="1:10" ht="15.75" thickBot="1" x14ac:dyDescent="0.3">
      <c r="A69" s="106" t="s">
        <v>126</v>
      </c>
      <c r="B69" s="159">
        <f>E47+N48+W48+E58+N58+W58</f>
        <v>45</v>
      </c>
      <c r="C69" s="107" t="s">
        <v>120</v>
      </c>
    </row>
    <row r="71" spans="1:10" x14ac:dyDescent="0.25">
      <c r="A71" t="s">
        <v>127</v>
      </c>
      <c r="B71">
        <f>SUM(G43:G48,G53:G58,P43:P48,P53:P58,Y43:Y48,Y53:Y58)</f>
        <v>248.06000000000003</v>
      </c>
      <c r="C71" t="s">
        <v>120</v>
      </c>
    </row>
    <row r="72" spans="1:10" x14ac:dyDescent="0.25">
      <c r="B72">
        <f>MIN(G43:G48,G53:G58,P43:P48,P53:P58,Y43:Y48,Y53:Y58)</f>
        <v>6.26</v>
      </c>
      <c r="C72">
        <f>MIN(H43:H48,H53:H58,Q43:Q48,Q53:Q58,Z43:Z48,Z53:Z58)</f>
        <v>20.025591810620604</v>
      </c>
    </row>
    <row r="73" spans="1:10" x14ac:dyDescent="0.25">
      <c r="B73">
        <f>MAX(G43:G48,G53:G58,P43:P48,P53:P58,Y43:Y48,Y53:Y58)</f>
        <v>7.64</v>
      </c>
      <c r="C73">
        <f>MAX(H43:H48,H53:H58,Q43:Q48,Q53:Q58,Z43:Z48,Z53:Z58)</f>
        <v>23.406862745098035</v>
      </c>
    </row>
    <row r="77" spans="1:10" ht="16.5" customHeight="1" x14ac:dyDescent="0.25">
      <c r="B77" s="92"/>
    </row>
    <row r="78" spans="1:10" x14ac:dyDescent="0.25">
      <c r="B78" s="92"/>
    </row>
    <row r="88" ht="17.25" customHeight="1" x14ac:dyDescent="0.25"/>
    <row r="98" ht="18" customHeight="1" x14ac:dyDescent="0.25"/>
  </sheetData>
  <mergeCells count="14">
    <mergeCell ref="A61:C61"/>
    <mergeCell ref="A1:L1"/>
    <mergeCell ref="T56:T57"/>
    <mergeCell ref="B44:B45"/>
    <mergeCell ref="B46:B47"/>
    <mergeCell ref="B54:B55"/>
    <mergeCell ref="B56:B57"/>
    <mergeCell ref="K44:K45"/>
    <mergeCell ref="K46:K47"/>
    <mergeCell ref="T44:T45"/>
    <mergeCell ref="T46:T47"/>
    <mergeCell ref="K54:K55"/>
    <mergeCell ref="T54:T55"/>
    <mergeCell ref="K56:K5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23DB-607B-4EED-9443-F11EEB984D11}">
  <dimension ref="A1:AJ210"/>
  <sheetViews>
    <sheetView topLeftCell="A130" zoomScale="70" zoomScaleNormal="70" workbookViewId="0">
      <selection activeCell="F149" sqref="F149"/>
    </sheetView>
  </sheetViews>
  <sheetFormatPr defaultColWidth="8.85546875" defaultRowHeight="15" x14ac:dyDescent="0.25"/>
  <cols>
    <col min="1" max="1" width="13.42578125" bestFit="1" customWidth="1"/>
    <col min="2" max="2" width="8.140625" customWidth="1"/>
    <col min="3" max="3" width="14.42578125" style="13" customWidth="1"/>
    <col min="4" max="4" width="12.42578125" bestFit="1" customWidth="1"/>
    <col min="5" max="5" width="14.140625" bestFit="1" customWidth="1"/>
    <col min="6" max="6" width="15.140625" customWidth="1"/>
    <col min="7" max="8" width="15.42578125" customWidth="1"/>
    <col min="9" max="9" width="14.85546875" customWidth="1"/>
    <col min="10" max="10" width="15.42578125" customWidth="1"/>
    <col min="11" max="11" width="15" customWidth="1"/>
    <col min="12" max="13" width="16.42578125" customWidth="1"/>
    <col min="14" max="14" width="15.85546875" customWidth="1"/>
    <col min="15" max="15" width="18.140625" bestFit="1" customWidth="1"/>
    <col min="16" max="16" width="15" customWidth="1"/>
    <col min="17" max="17" width="15.5703125" customWidth="1"/>
    <col min="18" max="18" width="15.42578125" customWidth="1"/>
    <col min="19" max="19" width="16" customWidth="1"/>
    <col min="20" max="20" width="13.85546875" customWidth="1"/>
    <col min="21" max="21" width="15.140625" customWidth="1"/>
    <col min="22" max="22" width="15.7109375" customWidth="1"/>
    <col min="23" max="23" width="17.42578125" style="13" bestFit="1" customWidth="1"/>
    <col min="26" max="26" width="11.140625" bestFit="1" customWidth="1"/>
    <col min="28" max="28" width="11.140625" bestFit="1" customWidth="1"/>
    <col min="34" max="34" width="11.140625" bestFit="1" customWidth="1"/>
    <col min="36" max="36" width="11.140625" bestFit="1" customWidth="1"/>
  </cols>
  <sheetData>
    <row r="1" spans="1:27" ht="18.75" x14ac:dyDescent="0.3">
      <c r="A1" s="483" t="s">
        <v>128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</row>
    <row r="3" spans="1:27" x14ac:dyDescent="0.25">
      <c r="A3" s="1" t="s">
        <v>56</v>
      </c>
      <c r="B3" s="1">
        <f>[1]Mixing!B3</f>
        <v>0</v>
      </c>
    </row>
    <row r="4" spans="1:27" x14ac:dyDescent="0.25">
      <c r="A4" s="1" t="s">
        <v>57</v>
      </c>
      <c r="B4" s="14"/>
    </row>
    <row r="5" spans="1:27" x14ac:dyDescent="0.25">
      <c r="A5" s="1" t="s">
        <v>58</v>
      </c>
      <c r="B5" s="1"/>
    </row>
    <row r="6" spans="1:27" ht="15.75" thickBot="1" x14ac:dyDescent="0.3">
      <c r="B6" s="1"/>
    </row>
    <row r="7" spans="1:27" ht="16.5" thickBot="1" x14ac:dyDescent="0.3">
      <c r="A7" s="15" t="s">
        <v>129</v>
      </c>
      <c r="B7" s="492" t="s">
        <v>130</v>
      </c>
      <c r="C7" s="493"/>
      <c r="D7" s="493"/>
      <c r="E7" s="493"/>
      <c r="F7" s="493"/>
      <c r="G7" s="494"/>
      <c r="H7" s="492" t="s">
        <v>131</v>
      </c>
      <c r="I7" s="493"/>
      <c r="J7" s="493"/>
      <c r="K7" s="493"/>
      <c r="L7" s="494"/>
      <c r="W7" s="3"/>
      <c r="X7" s="3"/>
      <c r="Y7" s="3"/>
      <c r="Z7" s="3"/>
      <c r="AA7" s="3"/>
    </row>
    <row r="8" spans="1:27" ht="15.75" customHeight="1" thickBot="1" x14ac:dyDescent="0.3">
      <c r="A8" s="16"/>
      <c r="B8" s="18" t="s">
        <v>6</v>
      </c>
      <c r="C8" s="18" t="s">
        <v>7</v>
      </c>
      <c r="D8" s="17" t="s">
        <v>8</v>
      </c>
      <c r="E8" s="19" t="s">
        <v>9</v>
      </c>
      <c r="F8" s="20" t="s">
        <v>132</v>
      </c>
      <c r="G8" s="21" t="s">
        <v>133</v>
      </c>
      <c r="H8" s="17" t="s">
        <v>7</v>
      </c>
      <c r="I8" s="17" t="s">
        <v>8</v>
      </c>
      <c r="J8" s="19" t="s">
        <v>9</v>
      </c>
      <c r="K8" s="20" t="s">
        <v>132</v>
      </c>
      <c r="L8" s="21" t="s">
        <v>133</v>
      </c>
      <c r="W8" s="3"/>
      <c r="X8" s="3"/>
      <c r="Y8" s="3"/>
      <c r="Z8" s="3"/>
      <c r="AA8" s="3"/>
    </row>
    <row r="9" spans="1:27" ht="15" customHeight="1" x14ac:dyDescent="0.25">
      <c r="A9" s="495" t="s">
        <v>134</v>
      </c>
      <c r="B9" s="281" t="s">
        <v>135</v>
      </c>
      <c r="C9" s="29">
        <v>3.8197999999999999</v>
      </c>
      <c r="D9" s="30">
        <v>3.1242999999999999</v>
      </c>
      <c r="E9" s="31">
        <f>((C9-D9)/C9)*100</f>
        <v>18.207759568563802</v>
      </c>
      <c r="F9" s="32">
        <v>2.8395000000000001</v>
      </c>
      <c r="G9" s="33">
        <f t="shared" ref="G9:G38" si="0">((D9-F9)/D9)*100</f>
        <v>9.1156419037864396</v>
      </c>
      <c r="H9" s="34">
        <v>4.0456000000000003</v>
      </c>
      <c r="I9" s="30">
        <v>3.1456</v>
      </c>
      <c r="J9" s="31">
        <f t="shared" ref="J9:J22" si="1">((H9-I9)/H9)*100</f>
        <v>22.246391140992692</v>
      </c>
      <c r="K9" s="34">
        <v>2.9268999999999998</v>
      </c>
      <c r="L9" s="33">
        <f t="shared" ref="L9:L22" si="2">((I9-K9)/I9)*100</f>
        <v>6.9525686673448659</v>
      </c>
      <c r="W9" s="3"/>
      <c r="X9" s="3"/>
      <c r="Y9" s="3"/>
      <c r="Z9" s="3"/>
      <c r="AA9" s="3"/>
    </row>
    <row r="10" spans="1:27" ht="15" customHeight="1" x14ac:dyDescent="0.25">
      <c r="A10" s="496"/>
      <c r="B10" s="282" t="s">
        <v>136</v>
      </c>
      <c r="C10" s="28">
        <v>3.9058000000000002</v>
      </c>
      <c r="D10" s="35">
        <v>3.1890000000000001</v>
      </c>
      <c r="E10" s="26">
        <f t="shared" ref="E10:E38" si="3">((C10-D10)/C10)*100</f>
        <v>18.352194172768705</v>
      </c>
      <c r="F10" s="36">
        <v>2.9005999999999998</v>
      </c>
      <c r="G10" s="37">
        <f t="shared" si="0"/>
        <v>9.0435873314518709</v>
      </c>
      <c r="H10" s="38">
        <v>3.9853999999999998</v>
      </c>
      <c r="I10" s="35">
        <v>3.0880000000000001</v>
      </c>
      <c r="J10" s="26">
        <f t="shared" si="1"/>
        <v>22.517187735233598</v>
      </c>
      <c r="K10" s="38">
        <v>2.8730000000000002</v>
      </c>
      <c r="L10" s="37">
        <f t="shared" si="2"/>
        <v>6.9624352331606172</v>
      </c>
      <c r="W10" s="3"/>
      <c r="X10" s="3"/>
      <c r="Y10" s="3"/>
      <c r="Z10" s="3"/>
      <c r="AA10" s="3"/>
    </row>
    <row r="11" spans="1:27" ht="15" customHeight="1" x14ac:dyDescent="0.25">
      <c r="A11" s="496"/>
      <c r="B11" s="282" t="s">
        <v>137</v>
      </c>
      <c r="C11" s="28">
        <v>3.8626</v>
      </c>
      <c r="D11" s="35">
        <v>3.1486999999999998</v>
      </c>
      <c r="E11" s="26">
        <f t="shared" si="3"/>
        <v>18.482369388494803</v>
      </c>
      <c r="F11" s="36">
        <v>2.8620999999999999</v>
      </c>
      <c r="G11" s="37">
        <f t="shared" si="0"/>
        <v>9.1021691491726742</v>
      </c>
      <c r="H11" s="38">
        <v>4.0431999999999997</v>
      </c>
      <c r="I11" s="35">
        <v>3.1254</v>
      </c>
      <c r="J11" s="26">
        <f t="shared" si="1"/>
        <v>22.699841709536994</v>
      </c>
      <c r="K11" s="38">
        <v>2.9072</v>
      </c>
      <c r="L11" s="37">
        <f t="shared" si="2"/>
        <v>6.9815063671849993</v>
      </c>
      <c r="W11" s="3"/>
      <c r="X11" s="3"/>
      <c r="Y11" s="3"/>
      <c r="Z11" s="3"/>
      <c r="AA11" s="3"/>
    </row>
    <row r="12" spans="1:27" ht="15" customHeight="1" x14ac:dyDescent="0.25">
      <c r="A12" s="496"/>
      <c r="B12" s="282" t="s">
        <v>138</v>
      </c>
      <c r="C12" s="28">
        <v>3.9077000000000002</v>
      </c>
      <c r="D12" s="35">
        <v>3.1861000000000002</v>
      </c>
      <c r="E12" s="26">
        <f>((C12-D12)/C12)*100</f>
        <v>18.466105381682318</v>
      </c>
      <c r="F12" s="36">
        <v>2.8963000000000001</v>
      </c>
      <c r="G12" s="37">
        <f t="shared" si="0"/>
        <v>9.0957597062239124</v>
      </c>
      <c r="H12" s="38">
        <v>3.89</v>
      </c>
      <c r="I12" s="35">
        <v>3.0072000000000001</v>
      </c>
      <c r="J12" s="26">
        <f t="shared" si="1"/>
        <v>22.694087403598971</v>
      </c>
      <c r="K12" s="38">
        <v>2.7991999999999999</v>
      </c>
      <c r="L12" s="37">
        <f t="shared" si="2"/>
        <v>6.9167331737164206</v>
      </c>
      <c r="W12" s="3"/>
      <c r="X12" s="3"/>
      <c r="Y12" s="3"/>
      <c r="Z12" s="3"/>
      <c r="AA12" s="3"/>
    </row>
    <row r="13" spans="1:27" ht="15" customHeight="1" x14ac:dyDescent="0.25">
      <c r="A13" s="496"/>
      <c r="B13" s="282" t="s">
        <v>139</v>
      </c>
      <c r="C13" s="28">
        <v>3.8929999999999998</v>
      </c>
      <c r="D13" s="35">
        <v>3.1642999999999999</v>
      </c>
      <c r="E13" s="26">
        <f t="shared" si="3"/>
        <v>18.718212175699971</v>
      </c>
      <c r="F13" s="36">
        <v>2.8744999999999998</v>
      </c>
      <c r="G13" s="37">
        <f>((D13-F13)/D13)*100</f>
        <v>9.1584236640015195</v>
      </c>
      <c r="H13" s="38">
        <v>3.9527999999999999</v>
      </c>
      <c r="I13" s="35">
        <v>3.0661999999999998</v>
      </c>
      <c r="J13" s="26">
        <f t="shared" si="1"/>
        <v>22.429670107265736</v>
      </c>
      <c r="K13" s="38">
        <v>2.8546</v>
      </c>
      <c r="L13" s="37">
        <f t="shared" si="2"/>
        <v>6.9010501598069212</v>
      </c>
      <c r="W13" s="3"/>
      <c r="X13" s="3"/>
      <c r="Y13" s="3"/>
      <c r="Z13" s="3"/>
      <c r="AA13" s="3"/>
    </row>
    <row r="14" spans="1:27" ht="15" customHeight="1" x14ac:dyDescent="0.25">
      <c r="A14" s="496"/>
      <c r="B14" s="282" t="s">
        <v>140</v>
      </c>
      <c r="C14" s="28">
        <v>3.8717999999999999</v>
      </c>
      <c r="D14" s="35">
        <v>3.1497999999999999</v>
      </c>
      <c r="E14" s="26">
        <f t="shared" si="3"/>
        <v>18.647657420321298</v>
      </c>
      <c r="F14" s="36">
        <v>2.863</v>
      </c>
      <c r="G14" s="37">
        <f t="shared" si="0"/>
        <v>9.1053400215886704</v>
      </c>
      <c r="H14" s="38">
        <v>3.9220000000000002</v>
      </c>
      <c r="I14" s="35">
        <v>3.0377000000000001</v>
      </c>
      <c r="J14" s="26">
        <f t="shared" si="1"/>
        <v>22.547169811320757</v>
      </c>
      <c r="K14" s="38">
        <v>2.8275999999999999</v>
      </c>
      <c r="L14" s="37">
        <f t="shared" si="2"/>
        <v>6.9164170260394435</v>
      </c>
      <c r="W14" s="3"/>
      <c r="X14" s="3"/>
      <c r="Y14" s="3"/>
      <c r="Z14" s="3"/>
      <c r="AA14" s="3"/>
    </row>
    <row r="15" spans="1:27" ht="15.75" customHeight="1" thickBot="1" x14ac:dyDescent="0.3">
      <c r="A15" s="497"/>
      <c r="B15" s="283" t="s">
        <v>141</v>
      </c>
      <c r="C15" s="39">
        <v>3.9459</v>
      </c>
      <c r="D15" s="40">
        <v>3.2256999999999998</v>
      </c>
      <c r="E15" s="41">
        <f t="shared" si="3"/>
        <v>18.25185635723156</v>
      </c>
      <c r="F15" s="42">
        <v>2.9276</v>
      </c>
      <c r="G15" s="43">
        <f t="shared" si="0"/>
        <v>9.2414049663638842</v>
      </c>
      <c r="H15" s="44">
        <v>4.0465999999999998</v>
      </c>
      <c r="I15" s="40">
        <v>3.1478999999999999</v>
      </c>
      <c r="J15" s="41">
        <f t="shared" si="1"/>
        <v>22.208767854495129</v>
      </c>
      <c r="K15" s="44">
        <v>2.9283000000000001</v>
      </c>
      <c r="L15" s="43">
        <f t="shared" si="2"/>
        <v>6.9760792909558695</v>
      </c>
      <c r="W15" s="3"/>
      <c r="X15" s="3"/>
      <c r="Y15" s="3"/>
      <c r="Z15" s="3"/>
      <c r="AA15" s="3"/>
    </row>
    <row r="16" spans="1:27" ht="15" customHeight="1" x14ac:dyDescent="0.25">
      <c r="A16" s="498" t="s">
        <v>20</v>
      </c>
      <c r="B16" s="284" t="s">
        <v>135</v>
      </c>
      <c r="C16" s="45">
        <v>3.9676999999999998</v>
      </c>
      <c r="D16" s="45">
        <v>3.2176</v>
      </c>
      <c r="E16" s="46">
        <f t="shared" si="3"/>
        <v>18.905159160218762</v>
      </c>
      <c r="F16" s="47">
        <v>3.0929000000000002</v>
      </c>
      <c r="G16" s="48">
        <f t="shared" si="0"/>
        <v>3.875559423172545</v>
      </c>
      <c r="H16" s="49">
        <v>4.0862999999999996</v>
      </c>
      <c r="I16" s="50">
        <v>3.1686999999999999</v>
      </c>
      <c r="J16" s="51">
        <f t="shared" si="1"/>
        <v>22.455522110466678</v>
      </c>
      <c r="K16" s="52">
        <v>3.0628000000000002</v>
      </c>
      <c r="L16" s="53">
        <f t="shared" si="2"/>
        <v>3.3420645690661681</v>
      </c>
      <c r="W16" s="3"/>
      <c r="X16" s="3"/>
      <c r="Y16" s="3"/>
      <c r="Z16" s="3"/>
      <c r="AA16" s="3"/>
    </row>
    <row r="17" spans="1:27" ht="15" customHeight="1" x14ac:dyDescent="0.25">
      <c r="A17" s="498"/>
      <c r="B17" s="285" t="s">
        <v>136</v>
      </c>
      <c r="C17" s="25">
        <v>3.9605999999999999</v>
      </c>
      <c r="D17" s="25">
        <v>3.1966000000000001</v>
      </c>
      <c r="E17" s="26">
        <f t="shared" si="3"/>
        <v>19.290006564661915</v>
      </c>
      <c r="F17" s="28">
        <v>3.0729000000000002</v>
      </c>
      <c r="G17" s="27">
        <f t="shared" si="0"/>
        <v>3.8697365951323253</v>
      </c>
      <c r="H17" s="25">
        <v>3.9847000000000001</v>
      </c>
      <c r="I17" s="55">
        <v>3.0746000000000002</v>
      </c>
      <c r="J17" s="56">
        <f t="shared" si="1"/>
        <v>22.839862473962906</v>
      </c>
      <c r="K17" s="57">
        <v>2.9725000000000001</v>
      </c>
      <c r="L17" s="27">
        <f t="shared" si="2"/>
        <v>3.3207571716646087</v>
      </c>
      <c r="W17" s="3"/>
      <c r="X17" s="3"/>
      <c r="Y17" s="3"/>
      <c r="Z17" s="3"/>
      <c r="AA17" s="3"/>
    </row>
    <row r="18" spans="1:27" ht="15" customHeight="1" x14ac:dyDescent="0.25">
      <c r="A18" s="498"/>
      <c r="B18" s="285" t="s">
        <v>137</v>
      </c>
      <c r="C18" s="25">
        <v>4.0370999999999997</v>
      </c>
      <c r="D18" s="25">
        <v>3.2625000000000002</v>
      </c>
      <c r="E18" s="26">
        <f t="shared" si="3"/>
        <v>19.187040202125278</v>
      </c>
      <c r="F18" s="28">
        <v>3.1374</v>
      </c>
      <c r="G18" s="27">
        <f t="shared" si="0"/>
        <v>3.8344827586206955</v>
      </c>
      <c r="H18" s="25">
        <v>3.9866999999999999</v>
      </c>
      <c r="I18" s="25">
        <v>3.0865999999999998</v>
      </c>
      <c r="J18" s="26">
        <f t="shared" si="1"/>
        <v>22.577570421651995</v>
      </c>
      <c r="K18" s="28">
        <v>2.9845000000000002</v>
      </c>
      <c r="L18" s="27">
        <f t="shared" si="2"/>
        <v>3.3078468217455983</v>
      </c>
      <c r="W18" s="3"/>
      <c r="X18" s="3"/>
      <c r="Y18" s="3"/>
      <c r="Z18" s="3"/>
      <c r="AA18" s="3"/>
    </row>
    <row r="19" spans="1:27" ht="15" customHeight="1" x14ac:dyDescent="0.25">
      <c r="A19" s="498"/>
      <c r="B19" s="285" t="s">
        <v>138</v>
      </c>
      <c r="C19" s="25">
        <v>3.9424999999999999</v>
      </c>
      <c r="D19" s="25">
        <v>3.1817000000000002</v>
      </c>
      <c r="E19" s="26">
        <f t="shared" si="3"/>
        <v>19.297400126823074</v>
      </c>
      <c r="F19" s="28">
        <v>3.0598000000000001</v>
      </c>
      <c r="G19" s="27">
        <f t="shared" si="0"/>
        <v>3.8312851620203072</v>
      </c>
      <c r="H19" s="25">
        <v>3.9643999999999999</v>
      </c>
      <c r="I19" s="25">
        <v>3.0695999999999999</v>
      </c>
      <c r="J19" s="26">
        <f t="shared" si="1"/>
        <v>22.570880839471297</v>
      </c>
      <c r="K19" s="28">
        <v>2.968</v>
      </c>
      <c r="L19" s="27">
        <f t="shared" si="2"/>
        <v>3.3098775084701564</v>
      </c>
      <c r="W19" s="3"/>
      <c r="X19" s="3"/>
      <c r="Y19" s="3"/>
      <c r="Z19" s="3"/>
      <c r="AA19" s="3"/>
    </row>
    <row r="20" spans="1:27" ht="15" customHeight="1" x14ac:dyDescent="0.25">
      <c r="A20" s="498"/>
      <c r="B20" s="285" t="s">
        <v>139</v>
      </c>
      <c r="C20" s="25">
        <v>3.8069999999999999</v>
      </c>
      <c r="D20" s="25">
        <v>3.0807000000000002</v>
      </c>
      <c r="E20" s="26">
        <f t="shared" si="3"/>
        <v>19.078014184397158</v>
      </c>
      <c r="F20" s="28">
        <v>2.9622000000000002</v>
      </c>
      <c r="G20" s="27">
        <f t="shared" si="0"/>
        <v>3.8465283864056885</v>
      </c>
      <c r="H20" s="25">
        <v>3.9918</v>
      </c>
      <c r="I20" s="25">
        <v>3.0918999999999999</v>
      </c>
      <c r="J20" s="26">
        <f t="shared" si="1"/>
        <v>22.54371461496067</v>
      </c>
      <c r="K20" s="28">
        <v>2.9885999999999999</v>
      </c>
      <c r="L20" s="27">
        <f t="shared" si="2"/>
        <v>3.34098774216501</v>
      </c>
      <c r="W20" s="3"/>
      <c r="X20" s="3"/>
      <c r="Y20" s="3"/>
      <c r="Z20" s="3"/>
      <c r="AA20" s="3"/>
    </row>
    <row r="21" spans="1:27" ht="15" customHeight="1" x14ac:dyDescent="0.25">
      <c r="A21" s="498"/>
      <c r="B21" s="285" t="s">
        <v>140</v>
      </c>
      <c r="C21" s="25">
        <v>3.8374000000000001</v>
      </c>
      <c r="D21" s="25">
        <v>3.1029</v>
      </c>
      <c r="E21" s="26">
        <f t="shared" si="3"/>
        <v>19.140563923489868</v>
      </c>
      <c r="F21" s="28">
        <v>2.9828999999999999</v>
      </c>
      <c r="G21" s="27">
        <f t="shared" si="0"/>
        <v>3.8673498984820682</v>
      </c>
      <c r="H21" s="25">
        <v>4.0060000000000002</v>
      </c>
      <c r="I21" s="25">
        <v>3.1032000000000002</v>
      </c>
      <c r="J21" s="26">
        <f t="shared" si="1"/>
        <v>22.536195706440338</v>
      </c>
      <c r="K21" s="28">
        <v>2.9990000000000001</v>
      </c>
      <c r="L21" s="27">
        <f t="shared" si="2"/>
        <v>3.3578241814900767</v>
      </c>
      <c r="W21" s="3"/>
      <c r="X21" s="3"/>
      <c r="Y21" s="3"/>
      <c r="Z21" s="3"/>
      <c r="AA21" s="3"/>
    </row>
    <row r="22" spans="1:27" ht="15.95" customHeight="1" thickBot="1" x14ac:dyDescent="0.3">
      <c r="A22" s="499"/>
      <c r="B22" s="286" t="s">
        <v>141</v>
      </c>
      <c r="C22" s="58">
        <v>3.8029000000000002</v>
      </c>
      <c r="D22" s="58">
        <v>3.0773000000000001</v>
      </c>
      <c r="E22" s="59">
        <f t="shared" si="3"/>
        <v>19.080175655420863</v>
      </c>
      <c r="F22" s="60">
        <v>2.9573999999999998</v>
      </c>
      <c r="G22" s="61">
        <f t="shared" si="0"/>
        <v>3.8962727065934533</v>
      </c>
      <c r="H22" s="58">
        <v>4.0141999999999998</v>
      </c>
      <c r="I22" s="58">
        <v>3.1154999999999999</v>
      </c>
      <c r="J22" s="59">
        <f t="shared" si="1"/>
        <v>22.388022520053809</v>
      </c>
      <c r="K22" s="60">
        <v>3.0110999999999999</v>
      </c>
      <c r="L22" s="61">
        <f t="shared" si="2"/>
        <v>3.3509870004814655</v>
      </c>
      <c r="W22" s="3"/>
      <c r="X22" s="3"/>
      <c r="Y22" s="3"/>
      <c r="Z22" s="3"/>
      <c r="AA22" s="3"/>
    </row>
    <row r="23" spans="1:27" ht="16.5" thickBot="1" x14ac:dyDescent="0.3">
      <c r="A23" s="15" t="s">
        <v>142</v>
      </c>
      <c r="B23" s="492" t="s">
        <v>143</v>
      </c>
      <c r="C23" s="493"/>
      <c r="D23" s="493"/>
      <c r="E23" s="493"/>
      <c r="F23" s="493"/>
      <c r="G23" s="494"/>
      <c r="H23" s="492" t="s">
        <v>144</v>
      </c>
      <c r="I23" s="493"/>
      <c r="J23" s="493"/>
      <c r="K23" s="493"/>
      <c r="L23" s="494"/>
      <c r="W23" s="3"/>
      <c r="X23" s="3"/>
      <c r="Y23" s="3"/>
      <c r="Z23" s="3"/>
      <c r="AA23" s="3"/>
    </row>
    <row r="24" spans="1:27" ht="15.75" customHeight="1" thickBot="1" x14ac:dyDescent="0.3">
      <c r="A24" s="16"/>
      <c r="B24" s="18" t="s">
        <v>6</v>
      </c>
      <c r="C24" s="18" t="s">
        <v>7</v>
      </c>
      <c r="D24" s="17" t="s">
        <v>8</v>
      </c>
      <c r="E24" s="19" t="s">
        <v>9</v>
      </c>
      <c r="F24" s="20" t="s">
        <v>145</v>
      </c>
      <c r="G24" s="21" t="s">
        <v>146</v>
      </c>
      <c r="H24" s="17" t="s">
        <v>7</v>
      </c>
      <c r="I24" s="17" t="s">
        <v>8</v>
      </c>
      <c r="J24" s="19" t="s">
        <v>9</v>
      </c>
      <c r="K24" s="20" t="s">
        <v>145</v>
      </c>
      <c r="L24" s="21" t="s">
        <v>146</v>
      </c>
      <c r="W24" s="3"/>
      <c r="X24" s="3"/>
      <c r="Y24" s="3"/>
      <c r="Z24" s="3"/>
      <c r="AA24" s="3"/>
    </row>
    <row r="25" spans="1:27" ht="15" customHeight="1" x14ac:dyDescent="0.25">
      <c r="A25" s="495" t="s">
        <v>134</v>
      </c>
      <c r="B25" s="281" t="s">
        <v>135</v>
      </c>
      <c r="C25" s="22">
        <v>3.8086000000000002</v>
      </c>
      <c r="D25" s="22">
        <v>3.1505000000000001</v>
      </c>
      <c r="E25" s="62">
        <f t="shared" si="3"/>
        <v>17.279315233944235</v>
      </c>
      <c r="F25" s="24">
        <v>2.8712</v>
      </c>
      <c r="G25" s="23">
        <f t="shared" si="0"/>
        <v>8.8652594826218092</v>
      </c>
      <c r="H25" s="22">
        <v>3.9359999999999999</v>
      </c>
      <c r="I25" s="22">
        <v>3.0838999999999999</v>
      </c>
      <c r="J25" s="62">
        <f t="shared" ref="J25:J38" si="4">((H25-I25)/H25)*100</f>
        <v>21.648882113821141</v>
      </c>
      <c r="K25" s="24">
        <v>2.8712</v>
      </c>
      <c r="L25" s="23">
        <f t="shared" ref="L25:L38" si="5">((I25-K25)/I25)*100</f>
        <v>6.8971108012581439</v>
      </c>
      <c r="W25" s="3"/>
      <c r="X25" s="3"/>
      <c r="Y25" s="3"/>
      <c r="Z25" s="3"/>
      <c r="AA25" s="3"/>
    </row>
    <row r="26" spans="1:27" ht="15" customHeight="1" x14ac:dyDescent="0.25">
      <c r="A26" s="496"/>
      <c r="B26" s="282" t="s">
        <v>136</v>
      </c>
      <c r="C26" s="25">
        <v>3.8582999999999998</v>
      </c>
      <c r="D26" s="25">
        <v>3.1633</v>
      </c>
      <c r="E26" s="26">
        <f t="shared" si="3"/>
        <v>18.01311458414327</v>
      </c>
      <c r="F26" s="28">
        <v>2.8812000000000002</v>
      </c>
      <c r="G26" s="27">
        <f t="shared" si="0"/>
        <v>8.9179021907501603</v>
      </c>
      <c r="H26" s="25">
        <v>4.0057</v>
      </c>
      <c r="I26" s="25">
        <v>3.1267</v>
      </c>
      <c r="J26" s="26">
        <f t="shared" si="4"/>
        <v>21.943730184487105</v>
      </c>
      <c r="K26" s="28">
        <v>2.9085999999999999</v>
      </c>
      <c r="L26" s="27">
        <f t="shared" si="5"/>
        <v>6.975405379473572</v>
      </c>
      <c r="W26" s="3"/>
      <c r="X26" s="3"/>
      <c r="Y26" s="3"/>
      <c r="Z26" s="3"/>
      <c r="AA26" s="3"/>
    </row>
    <row r="27" spans="1:27" ht="15" customHeight="1" x14ac:dyDescent="0.25">
      <c r="A27" s="496"/>
      <c r="B27" s="282" t="s">
        <v>137</v>
      </c>
      <c r="C27" s="25">
        <v>3.7949000000000002</v>
      </c>
      <c r="D27" s="25">
        <v>3.1004</v>
      </c>
      <c r="E27" s="26">
        <f t="shared" si="3"/>
        <v>18.30087749347809</v>
      </c>
      <c r="F27" s="28">
        <v>2.8210999999999999</v>
      </c>
      <c r="G27" s="27">
        <f t="shared" si="0"/>
        <v>9.0085150303186712</v>
      </c>
      <c r="H27" s="25">
        <v>3.9571000000000001</v>
      </c>
      <c r="I27" s="25">
        <v>3.0905999999999998</v>
      </c>
      <c r="J27" s="26">
        <f t="shared" si="4"/>
        <v>21.897349068762484</v>
      </c>
      <c r="K27" s="28">
        <v>2.8759999999999999</v>
      </c>
      <c r="L27" s="27">
        <f t="shared" si="5"/>
        <v>6.9436355400245882</v>
      </c>
      <c r="W27" s="3"/>
      <c r="X27" s="3"/>
      <c r="Y27" s="3"/>
      <c r="Z27" s="3"/>
      <c r="AA27" s="3"/>
    </row>
    <row r="28" spans="1:27" ht="15" customHeight="1" x14ac:dyDescent="0.25">
      <c r="A28" s="496"/>
      <c r="B28" s="282" t="s">
        <v>138</v>
      </c>
      <c r="C28" s="25">
        <v>3.8380000000000001</v>
      </c>
      <c r="D28" s="25">
        <v>3.1337999999999999</v>
      </c>
      <c r="E28" s="26">
        <f t="shared" si="3"/>
        <v>18.348097967691508</v>
      </c>
      <c r="F28" s="28">
        <v>2.8573</v>
      </c>
      <c r="G28" s="27">
        <f t="shared" si="0"/>
        <v>8.8231539983406719</v>
      </c>
      <c r="H28" s="25">
        <v>3.8778999999999999</v>
      </c>
      <c r="I28" s="25">
        <v>3.0246</v>
      </c>
      <c r="J28" s="26">
        <f t="shared" si="4"/>
        <v>22.004177518760155</v>
      </c>
      <c r="K28" s="28">
        <v>2.8149999999999999</v>
      </c>
      <c r="L28" s="27">
        <f t="shared" si="5"/>
        <v>6.9298419625735646</v>
      </c>
      <c r="W28" s="3"/>
      <c r="X28" s="3"/>
      <c r="Y28" s="3"/>
      <c r="Z28" s="3"/>
      <c r="AA28" s="3"/>
    </row>
    <row r="29" spans="1:27" ht="15" customHeight="1" x14ac:dyDescent="0.25">
      <c r="A29" s="496"/>
      <c r="B29" s="282" t="s">
        <v>139</v>
      </c>
      <c r="C29" s="25">
        <v>3.7719</v>
      </c>
      <c r="D29" s="25">
        <v>3.0710000000000002</v>
      </c>
      <c r="E29" s="26">
        <f t="shared" si="3"/>
        <v>18.582146928603617</v>
      </c>
      <c r="F29" s="28">
        <v>2.7966000000000002</v>
      </c>
      <c r="G29" s="27">
        <f t="shared" si="0"/>
        <v>8.935200260501464</v>
      </c>
      <c r="H29" s="25">
        <v>3.9741</v>
      </c>
      <c r="I29" s="25">
        <v>3.1084000000000001</v>
      </c>
      <c r="J29" s="26">
        <f t="shared" si="4"/>
        <v>21.783548476384588</v>
      </c>
      <c r="K29" s="28">
        <v>2.8938000000000001</v>
      </c>
      <c r="L29" s="27">
        <f t="shared" si="5"/>
        <v>6.9038733753699617</v>
      </c>
      <c r="W29" s="3"/>
      <c r="X29" s="3"/>
      <c r="Y29" s="3"/>
      <c r="Z29" s="3"/>
      <c r="AA29" s="3"/>
    </row>
    <row r="30" spans="1:27" ht="15" customHeight="1" x14ac:dyDescent="0.25">
      <c r="A30" s="496"/>
      <c r="B30" s="282" t="s">
        <v>140</v>
      </c>
      <c r="C30" s="25">
        <v>3.8302999999999998</v>
      </c>
      <c r="D30" s="25">
        <v>3.1318000000000001</v>
      </c>
      <c r="E30" s="26">
        <f t="shared" si="3"/>
        <v>18.23616949064041</v>
      </c>
      <c r="F30" s="28">
        <v>2.8513000000000002</v>
      </c>
      <c r="G30" s="27">
        <f>((D30-F30)/D30)*100</f>
        <v>8.956510632862889</v>
      </c>
      <c r="H30" s="25">
        <v>3.9525999999999999</v>
      </c>
      <c r="I30" s="25">
        <v>3.101</v>
      </c>
      <c r="J30" s="26">
        <f t="shared" si="4"/>
        <v>21.545311946566812</v>
      </c>
      <c r="K30" s="28">
        <v>2.8860999999999999</v>
      </c>
      <c r="L30" s="27">
        <f t="shared" si="5"/>
        <v>6.9300225733634342</v>
      </c>
      <c r="W30" s="3"/>
      <c r="X30" s="3"/>
      <c r="Y30" s="3"/>
      <c r="Z30" s="3"/>
      <c r="AA30" s="3"/>
    </row>
    <row r="31" spans="1:27" ht="15.75" customHeight="1" thickBot="1" x14ac:dyDescent="0.3">
      <c r="A31" s="497"/>
      <c r="B31" s="283" t="s">
        <v>141</v>
      </c>
      <c r="C31" s="58">
        <v>3.7816999999999998</v>
      </c>
      <c r="D31" s="58">
        <v>3.1011000000000002</v>
      </c>
      <c r="E31" s="59">
        <f t="shared" si="3"/>
        <v>17.997197027791724</v>
      </c>
      <c r="F31" s="60">
        <v>2.8237999999999999</v>
      </c>
      <c r="G31" s="61">
        <f>((D31-F31)/D31)*100</f>
        <v>8.941988326722786</v>
      </c>
      <c r="H31" s="58">
        <v>3.9739</v>
      </c>
      <c r="I31" s="58">
        <v>3.1044999999999998</v>
      </c>
      <c r="J31" s="59">
        <f t="shared" si="4"/>
        <v>21.87775233397922</v>
      </c>
      <c r="K31" s="60">
        <v>2.8862999999999999</v>
      </c>
      <c r="L31" s="61">
        <f t="shared" si="5"/>
        <v>7.0285070059590904</v>
      </c>
      <c r="W31" s="3"/>
      <c r="X31" s="3"/>
      <c r="Y31" s="3"/>
      <c r="Z31" s="3"/>
      <c r="AA31" s="3"/>
    </row>
    <row r="32" spans="1:27" ht="15" customHeight="1" x14ac:dyDescent="0.25">
      <c r="A32" s="498" t="s">
        <v>20</v>
      </c>
      <c r="B32" s="284" t="s">
        <v>135</v>
      </c>
      <c r="C32" s="22">
        <v>3.9990999999999999</v>
      </c>
      <c r="D32" s="22">
        <v>3.2509000000000001</v>
      </c>
      <c r="E32" s="62">
        <f t="shared" si="3"/>
        <v>18.709209572153728</v>
      </c>
      <c r="F32" s="24">
        <v>3.1271</v>
      </c>
      <c r="G32" s="23">
        <f t="shared" si="0"/>
        <v>3.8081761973607344</v>
      </c>
      <c r="H32" s="22">
        <v>4.0271999999999997</v>
      </c>
      <c r="I32" s="22">
        <v>3.1263000000000001</v>
      </c>
      <c r="J32" s="62">
        <f t="shared" si="4"/>
        <v>22.370381406436227</v>
      </c>
      <c r="K32" s="24">
        <v>3.0253000000000001</v>
      </c>
      <c r="L32" s="23">
        <f t="shared" si="5"/>
        <v>3.2306560470844117</v>
      </c>
      <c r="W32" s="3"/>
      <c r="X32" s="3"/>
      <c r="Y32" s="3"/>
      <c r="Z32" s="3"/>
      <c r="AA32" s="3"/>
    </row>
    <row r="33" spans="1:27" ht="15" customHeight="1" x14ac:dyDescent="0.25">
      <c r="A33" s="498"/>
      <c r="B33" s="285" t="s">
        <v>136</v>
      </c>
      <c r="C33" s="25">
        <v>4.0149999999999997</v>
      </c>
      <c r="D33" s="25">
        <v>3.2549000000000001</v>
      </c>
      <c r="E33" s="26">
        <f t="shared" si="3"/>
        <v>18.931506849315056</v>
      </c>
      <c r="F33" s="28">
        <v>3.1320000000000001</v>
      </c>
      <c r="G33" s="27">
        <f t="shared" si="0"/>
        <v>3.7758456480997884</v>
      </c>
      <c r="H33" s="25">
        <v>4.0278</v>
      </c>
      <c r="I33" s="25">
        <v>3.1455000000000002</v>
      </c>
      <c r="J33" s="26">
        <f t="shared" si="4"/>
        <v>21.905258453746459</v>
      </c>
      <c r="K33" s="28">
        <v>3.0424000000000002</v>
      </c>
      <c r="L33" s="27">
        <f t="shared" si="5"/>
        <v>3.2776982991575254</v>
      </c>
      <c r="W33" s="3"/>
      <c r="X33" s="3"/>
      <c r="Y33" s="3"/>
      <c r="Z33" s="3"/>
      <c r="AA33" s="3"/>
    </row>
    <row r="34" spans="1:27" ht="15" customHeight="1" x14ac:dyDescent="0.25">
      <c r="A34" s="498"/>
      <c r="B34" s="285" t="s">
        <v>137</v>
      </c>
      <c r="C34" s="25">
        <v>3.9018000000000002</v>
      </c>
      <c r="D34" s="25">
        <v>3.1642000000000001</v>
      </c>
      <c r="E34" s="26">
        <f t="shared" si="3"/>
        <v>18.9040955456456</v>
      </c>
      <c r="F34" s="28">
        <v>3.0438999999999998</v>
      </c>
      <c r="G34" s="27">
        <f t="shared" si="0"/>
        <v>3.8019088553188891</v>
      </c>
      <c r="H34" s="25">
        <v>4.0652999999999997</v>
      </c>
      <c r="I34" s="25">
        <v>3.1690999999999998</v>
      </c>
      <c r="J34" s="26">
        <f t="shared" si="4"/>
        <v>22.045113521757312</v>
      </c>
      <c r="K34" s="28">
        <v>3.0663</v>
      </c>
      <c r="L34" s="27">
        <f t="shared" si="5"/>
        <v>3.2438231674607869</v>
      </c>
      <c r="W34" s="3"/>
      <c r="X34" s="3"/>
      <c r="Y34" s="3"/>
      <c r="Z34" s="3"/>
      <c r="AA34" s="3"/>
    </row>
    <row r="35" spans="1:27" ht="15" customHeight="1" x14ac:dyDescent="0.25">
      <c r="A35" s="498"/>
      <c r="B35" s="285" t="s">
        <v>138</v>
      </c>
      <c r="C35" s="25">
        <v>3.9394999999999998</v>
      </c>
      <c r="D35" s="25">
        <v>3.1941999999999999</v>
      </c>
      <c r="E35" s="26">
        <f t="shared" si="3"/>
        <v>18.918644498032741</v>
      </c>
      <c r="F35" s="28">
        <v>3.0724999999999998</v>
      </c>
      <c r="G35" s="27">
        <f t="shared" si="0"/>
        <v>3.8100306806086075</v>
      </c>
      <c r="H35" s="25">
        <v>3.9710000000000001</v>
      </c>
      <c r="I35" s="25">
        <v>3.0834999999999999</v>
      </c>
      <c r="J35" s="26">
        <f t="shared" si="4"/>
        <v>22.349534122387311</v>
      </c>
      <c r="K35" s="28">
        <v>2.9832000000000001</v>
      </c>
      <c r="L35" s="27">
        <f t="shared" si="5"/>
        <v>3.252797146100205</v>
      </c>
      <c r="W35" s="3"/>
      <c r="X35" s="3"/>
      <c r="Y35" s="3"/>
      <c r="Z35" s="3"/>
      <c r="AA35" s="3"/>
    </row>
    <row r="36" spans="1:27" ht="15" customHeight="1" x14ac:dyDescent="0.25">
      <c r="A36" s="498"/>
      <c r="B36" s="285" t="s">
        <v>139</v>
      </c>
      <c r="C36" s="25">
        <v>3.8799000000000001</v>
      </c>
      <c r="D36" s="25">
        <v>3.1495000000000002</v>
      </c>
      <c r="E36" s="26">
        <f t="shared" si="3"/>
        <v>18.825227454315829</v>
      </c>
      <c r="F36" s="28">
        <v>3.0295999999999998</v>
      </c>
      <c r="G36" s="27">
        <f t="shared" si="0"/>
        <v>3.8069534846801187</v>
      </c>
      <c r="H36" s="25">
        <v>4.0709</v>
      </c>
      <c r="I36" s="25">
        <v>3.1707999999999998</v>
      </c>
      <c r="J36" s="26">
        <f t="shared" si="4"/>
        <v>22.110589795868236</v>
      </c>
      <c r="K36" s="28">
        <v>3.0680999999999998</v>
      </c>
      <c r="L36" s="27">
        <f t="shared" si="5"/>
        <v>3.2389302384256342</v>
      </c>
      <c r="W36" s="3"/>
      <c r="X36" s="3"/>
      <c r="Y36" s="3"/>
      <c r="Z36" s="3"/>
      <c r="AA36" s="3"/>
    </row>
    <row r="37" spans="1:27" ht="15" customHeight="1" x14ac:dyDescent="0.25">
      <c r="A37" s="498"/>
      <c r="B37" s="285" t="s">
        <v>140</v>
      </c>
      <c r="C37" s="25">
        <v>3.9102999999999999</v>
      </c>
      <c r="D37" s="25">
        <v>3.1619999999999999</v>
      </c>
      <c r="E37" s="26">
        <f t="shared" si="3"/>
        <v>19.136639132547376</v>
      </c>
      <c r="F37" s="28">
        <v>3.0404</v>
      </c>
      <c r="G37" s="27">
        <f t="shared" si="0"/>
        <v>3.8456672991777339</v>
      </c>
      <c r="H37" s="25">
        <v>3.9190999999999998</v>
      </c>
      <c r="I37" s="25">
        <v>3.0464000000000002</v>
      </c>
      <c r="J37" s="26">
        <f t="shared" si="4"/>
        <v>22.267867622668462</v>
      </c>
      <c r="K37" s="28">
        <v>2.9472</v>
      </c>
      <c r="L37" s="27">
        <f t="shared" si="5"/>
        <v>3.2563025210084091</v>
      </c>
      <c r="W37" s="3"/>
      <c r="X37" s="3"/>
      <c r="Y37" s="3"/>
      <c r="Z37" s="3"/>
      <c r="AA37" s="3"/>
    </row>
    <row r="38" spans="1:27" ht="15.75" customHeight="1" thickBot="1" x14ac:dyDescent="0.3">
      <c r="A38" s="499"/>
      <c r="B38" s="286" t="s">
        <v>141</v>
      </c>
      <c r="C38" s="58">
        <v>3.8557000000000001</v>
      </c>
      <c r="D38" s="25">
        <v>3.137</v>
      </c>
      <c r="E38" s="63">
        <f t="shared" si="3"/>
        <v>18.639935679643127</v>
      </c>
      <c r="F38" s="60">
        <v>3.0165999999999999</v>
      </c>
      <c r="G38" s="61">
        <f t="shared" si="0"/>
        <v>3.8380618425247071</v>
      </c>
      <c r="H38" s="58">
        <v>4.0433000000000003</v>
      </c>
      <c r="I38" s="58">
        <v>3.1534</v>
      </c>
      <c r="J38" s="63">
        <f t="shared" si="4"/>
        <v>22.009249870155571</v>
      </c>
      <c r="K38" s="60">
        <v>3.0495999999999999</v>
      </c>
      <c r="L38" s="61">
        <f t="shared" si="5"/>
        <v>3.2916851652184977</v>
      </c>
      <c r="W38" s="3"/>
      <c r="X38" s="3"/>
      <c r="Y38" s="3"/>
      <c r="Z38" s="3"/>
      <c r="AA38" s="3"/>
    </row>
    <row r="39" spans="1:27" ht="16.5" thickBot="1" x14ac:dyDescent="0.3">
      <c r="A39" s="15" t="s">
        <v>2</v>
      </c>
      <c r="B39" s="492" t="s">
        <v>147</v>
      </c>
      <c r="C39" s="493"/>
      <c r="D39" s="493"/>
      <c r="E39" s="493"/>
      <c r="F39" s="493"/>
      <c r="G39" s="494"/>
      <c r="H39" s="492" t="s">
        <v>148</v>
      </c>
      <c r="I39" s="493"/>
      <c r="J39" s="493"/>
      <c r="K39" s="493"/>
      <c r="L39" s="494"/>
      <c r="W39" s="3"/>
      <c r="X39" s="3"/>
      <c r="Y39" s="3"/>
      <c r="Z39" s="3"/>
      <c r="AA39" s="3"/>
    </row>
    <row r="40" spans="1:27" ht="15.75" customHeight="1" thickBot="1" x14ac:dyDescent="0.3">
      <c r="A40" s="16"/>
      <c r="B40" s="18" t="s">
        <v>6</v>
      </c>
      <c r="C40" s="18" t="s">
        <v>7</v>
      </c>
      <c r="D40" s="17" t="s">
        <v>8</v>
      </c>
      <c r="E40" s="19" t="s">
        <v>9</v>
      </c>
      <c r="F40" s="20" t="s">
        <v>10</v>
      </c>
      <c r="G40" s="21" t="s">
        <v>11</v>
      </c>
      <c r="H40" s="17" t="s">
        <v>7</v>
      </c>
      <c r="I40" s="17" t="s">
        <v>8</v>
      </c>
      <c r="J40" s="19" t="s">
        <v>9</v>
      </c>
      <c r="K40" s="20" t="s">
        <v>10</v>
      </c>
      <c r="L40" s="21" t="s">
        <v>11</v>
      </c>
      <c r="W40" s="3"/>
      <c r="X40" s="3"/>
      <c r="Y40" s="3"/>
      <c r="Z40" s="3"/>
      <c r="AA40" s="3"/>
    </row>
    <row r="41" spans="1:27" ht="15" customHeight="1" x14ac:dyDescent="0.25">
      <c r="A41" s="495" t="s">
        <v>134</v>
      </c>
      <c r="B41" s="281" t="s">
        <v>135</v>
      </c>
      <c r="C41" s="29">
        <v>3.8887999999999998</v>
      </c>
      <c r="D41" s="30">
        <v>3.1248999999999998</v>
      </c>
      <c r="E41" s="31">
        <f>((C41-D41)/C41)*100</f>
        <v>19.643591853528083</v>
      </c>
      <c r="F41" s="32">
        <v>2.8365</v>
      </c>
      <c r="G41" s="33">
        <f t="shared" ref="G41:G44" si="6">((D41-F41)/D41)*100</f>
        <v>9.229095331050587</v>
      </c>
      <c r="H41" s="34">
        <v>3.992</v>
      </c>
      <c r="I41" s="30">
        <v>3.1211000000000002</v>
      </c>
      <c r="J41" s="31">
        <f t="shared" ref="J41:J54" si="7">((H41-I41)/H41)*100</f>
        <v>21.816132264529053</v>
      </c>
      <c r="K41" s="297">
        <v>2.8972000000000002</v>
      </c>
      <c r="L41" s="23">
        <f t="shared" ref="L41:L54" si="8">((I41-K41)/I41)*100</f>
        <v>7.1737528435487476</v>
      </c>
      <c r="W41" s="3"/>
      <c r="X41" s="3"/>
      <c r="Y41" s="3"/>
      <c r="Z41" s="3"/>
      <c r="AA41" s="3"/>
    </row>
    <row r="42" spans="1:27" ht="15" customHeight="1" x14ac:dyDescent="0.25">
      <c r="A42" s="496"/>
      <c r="B42" s="282" t="s">
        <v>136</v>
      </c>
      <c r="C42" s="28">
        <v>3.8447</v>
      </c>
      <c r="D42" s="35">
        <v>3.0876999999999999</v>
      </c>
      <c r="E42" s="26">
        <f t="shared" ref="E42:E43" si="9">((C42-D42)/C42)*100</f>
        <v>19.689442609306322</v>
      </c>
      <c r="F42" s="36">
        <v>2.8012999999999999</v>
      </c>
      <c r="G42" s="37">
        <f t="shared" si="6"/>
        <v>9.2755125174077779</v>
      </c>
      <c r="H42" s="38">
        <v>3.9754999999999998</v>
      </c>
      <c r="I42" s="35">
        <v>3.1084999999999998</v>
      </c>
      <c r="J42" s="26">
        <f t="shared" si="7"/>
        <v>21.808577537416678</v>
      </c>
      <c r="K42" s="298">
        <v>2.8851</v>
      </c>
      <c r="L42" s="27">
        <f t="shared" si="8"/>
        <v>7.1867460189802097</v>
      </c>
      <c r="W42" s="3"/>
      <c r="X42" s="3"/>
      <c r="Y42" s="3"/>
      <c r="Z42" s="3"/>
      <c r="AA42" s="3"/>
    </row>
    <row r="43" spans="1:27" ht="15" customHeight="1" x14ac:dyDescent="0.25">
      <c r="A43" s="496"/>
      <c r="B43" s="282" t="s">
        <v>137</v>
      </c>
      <c r="C43" s="28">
        <v>3.976</v>
      </c>
      <c r="D43" s="35">
        <v>3.1806000000000001</v>
      </c>
      <c r="E43" s="26">
        <f t="shared" si="9"/>
        <v>20.005030181086518</v>
      </c>
      <c r="F43" s="36">
        <v>2.8843000000000001</v>
      </c>
      <c r="G43" s="37">
        <f t="shared" si="6"/>
        <v>9.3158523549015904</v>
      </c>
      <c r="H43" s="38">
        <v>4.0964</v>
      </c>
      <c r="I43" s="35">
        <v>3.2178</v>
      </c>
      <c r="J43" s="26">
        <f t="shared" si="7"/>
        <v>21.448100771409042</v>
      </c>
      <c r="K43" s="298">
        <v>2.9860000000000002</v>
      </c>
      <c r="L43" s="27">
        <f t="shared" si="8"/>
        <v>7.2036795325999066</v>
      </c>
      <c r="W43" s="3"/>
      <c r="X43" s="3"/>
      <c r="Y43" s="3"/>
      <c r="Z43" s="3"/>
      <c r="AA43" s="3"/>
    </row>
    <row r="44" spans="1:27" ht="15" customHeight="1" x14ac:dyDescent="0.25">
      <c r="A44" s="496"/>
      <c r="B44" s="282" t="s">
        <v>138</v>
      </c>
      <c r="C44" s="28">
        <v>3.9752999999999998</v>
      </c>
      <c r="D44" s="35">
        <v>3.1966000000000001</v>
      </c>
      <c r="E44" s="26">
        <f>((C44-D44)/C44)*100</f>
        <v>19.588458732674258</v>
      </c>
      <c r="F44" s="36">
        <v>2.9005999999999998</v>
      </c>
      <c r="G44" s="37">
        <f t="shared" si="6"/>
        <v>9.2598385784896529</v>
      </c>
      <c r="H44" s="38">
        <v>4.0357000000000003</v>
      </c>
      <c r="I44" s="35">
        <v>3.1711</v>
      </c>
      <c r="J44" s="26">
        <f t="shared" si="7"/>
        <v>21.423792650593459</v>
      </c>
      <c r="K44" s="298">
        <v>2.9436</v>
      </c>
      <c r="L44" s="27">
        <f t="shared" si="8"/>
        <v>7.1741666929456658</v>
      </c>
      <c r="W44" s="3"/>
      <c r="X44" s="3"/>
      <c r="Y44" s="3"/>
      <c r="Z44" s="3"/>
      <c r="AA44" s="3"/>
    </row>
    <row r="45" spans="1:27" ht="15" customHeight="1" x14ac:dyDescent="0.25">
      <c r="A45" s="496"/>
      <c r="B45" s="282" t="s">
        <v>139</v>
      </c>
      <c r="C45" s="28">
        <v>3.8304</v>
      </c>
      <c r="D45" s="35">
        <v>3.0714999999999999</v>
      </c>
      <c r="E45" s="26">
        <f t="shared" ref="E45:E54" si="10">((C45-D45)/C45)*100</f>
        <v>19.812552213868006</v>
      </c>
      <c r="F45" s="36">
        <v>2.7850999999999999</v>
      </c>
      <c r="G45" s="37">
        <f>((D45-F45)/D45)*100</f>
        <v>9.3244343154810352</v>
      </c>
      <c r="H45" s="38">
        <v>4.1116000000000001</v>
      </c>
      <c r="I45" s="35">
        <v>3.2218</v>
      </c>
      <c r="J45" s="26">
        <f t="shared" si="7"/>
        <v>21.641210234458608</v>
      </c>
      <c r="K45" s="298">
        <v>2.9914000000000001</v>
      </c>
      <c r="L45" s="27">
        <f t="shared" si="8"/>
        <v>7.1512818921099992</v>
      </c>
      <c r="W45" s="3"/>
      <c r="X45" s="3"/>
      <c r="Y45" s="3"/>
      <c r="Z45" s="3"/>
      <c r="AA45" s="3"/>
    </row>
    <row r="46" spans="1:27" ht="15" customHeight="1" x14ac:dyDescent="0.25">
      <c r="A46" s="496"/>
      <c r="B46" s="282" t="s">
        <v>140</v>
      </c>
      <c r="C46" s="28">
        <v>3.8769999999999998</v>
      </c>
      <c r="D46" s="35">
        <v>3.1162999999999998</v>
      </c>
      <c r="E46" s="26">
        <f t="shared" si="10"/>
        <v>19.620840856332215</v>
      </c>
      <c r="F46" s="36">
        <v>2.8250999999999999</v>
      </c>
      <c r="G46" s="37">
        <f t="shared" ref="G46:G53" si="11">((D46-F46)/D46)*100</f>
        <v>9.3444148509450287</v>
      </c>
      <c r="H46" s="38">
        <v>4.0370999999999997</v>
      </c>
      <c r="I46" s="35">
        <v>3.1528</v>
      </c>
      <c r="J46" s="26">
        <f t="shared" si="7"/>
        <v>21.90433727180401</v>
      </c>
      <c r="K46" s="298">
        <v>2.9275000000000002</v>
      </c>
      <c r="L46" s="27">
        <f t="shared" si="8"/>
        <v>7.146028926668353</v>
      </c>
      <c r="W46" s="3"/>
      <c r="X46" s="3"/>
      <c r="Y46" s="3"/>
      <c r="Z46" s="3"/>
      <c r="AA46" s="3"/>
    </row>
    <row r="47" spans="1:27" ht="15.75" customHeight="1" thickBot="1" x14ac:dyDescent="0.3">
      <c r="A47" s="497"/>
      <c r="B47" s="283" t="s">
        <v>141</v>
      </c>
      <c r="C47" s="39">
        <v>3.9270999999999998</v>
      </c>
      <c r="D47" s="40">
        <v>3.1594000000000002</v>
      </c>
      <c r="E47" s="41">
        <f t="shared" si="10"/>
        <v>19.548776450816117</v>
      </c>
      <c r="F47" s="42">
        <v>2.8662999999999998</v>
      </c>
      <c r="G47" s="43">
        <f t="shared" si="11"/>
        <v>9.277077926188527</v>
      </c>
      <c r="H47" s="44">
        <v>4.0129999999999999</v>
      </c>
      <c r="I47" s="40">
        <v>3.1564999999999999</v>
      </c>
      <c r="J47" s="41">
        <f t="shared" si="7"/>
        <v>21.343134811861454</v>
      </c>
      <c r="K47" s="299">
        <v>2.9302000000000001</v>
      </c>
      <c r="L47" s="61">
        <f t="shared" si="8"/>
        <v>7.1693331221289318</v>
      </c>
      <c r="W47" s="3"/>
      <c r="X47" s="3"/>
      <c r="Y47" s="3"/>
      <c r="Z47" s="3"/>
      <c r="AA47" s="3"/>
    </row>
    <row r="48" spans="1:27" ht="15" customHeight="1" x14ac:dyDescent="0.25">
      <c r="A48" s="498" t="s">
        <v>20</v>
      </c>
      <c r="B48" s="284" t="s">
        <v>135</v>
      </c>
      <c r="C48" s="45">
        <v>3.9296000000000002</v>
      </c>
      <c r="D48" s="45">
        <v>3.1545000000000001</v>
      </c>
      <c r="E48" s="46">
        <f t="shared" si="10"/>
        <v>19.724653908794789</v>
      </c>
      <c r="F48" s="47">
        <v>3.0356000000000001</v>
      </c>
      <c r="G48" s="48">
        <f t="shared" si="11"/>
        <v>3.7692185766365509</v>
      </c>
      <c r="H48" s="49">
        <v>3.9127999999999998</v>
      </c>
      <c r="I48" s="50">
        <v>3.0289000000000001</v>
      </c>
      <c r="J48" s="51">
        <f t="shared" si="7"/>
        <v>22.589961153138411</v>
      </c>
      <c r="K48" s="52">
        <v>2.9304000000000001</v>
      </c>
      <c r="L48" s="53">
        <f t="shared" si="8"/>
        <v>3.2520056786292066</v>
      </c>
      <c r="W48" s="3"/>
      <c r="X48" s="3"/>
      <c r="Y48" s="3"/>
      <c r="Z48" s="3"/>
      <c r="AA48" s="3"/>
    </row>
    <row r="49" spans="1:36" ht="15" customHeight="1" x14ac:dyDescent="0.25">
      <c r="A49" s="498"/>
      <c r="B49" s="285" t="s">
        <v>136</v>
      </c>
      <c r="C49" s="25">
        <v>3.92</v>
      </c>
      <c r="D49" s="25">
        <v>3.1294</v>
      </c>
      <c r="E49" s="26">
        <f t="shared" si="10"/>
        <v>20.168367346938776</v>
      </c>
      <c r="F49" s="28">
        <v>3.0116000000000001</v>
      </c>
      <c r="G49" s="27">
        <f t="shared" si="11"/>
        <v>3.7642998657889661</v>
      </c>
      <c r="H49" s="25">
        <v>3.9594999999999998</v>
      </c>
      <c r="I49" s="55">
        <v>3.0598999999999998</v>
      </c>
      <c r="J49" s="56">
        <f t="shared" si="7"/>
        <v>22.72004040914257</v>
      </c>
      <c r="K49" s="57">
        <v>2.9594</v>
      </c>
      <c r="L49" s="27">
        <f t="shared" si="8"/>
        <v>3.2844210595117427</v>
      </c>
      <c r="W49" s="3"/>
      <c r="X49" s="3"/>
      <c r="Y49" s="3"/>
      <c r="Z49" s="3"/>
      <c r="AA49" s="3"/>
    </row>
    <row r="50" spans="1:36" ht="15" customHeight="1" x14ac:dyDescent="0.25">
      <c r="A50" s="498"/>
      <c r="B50" s="285" t="s">
        <v>137</v>
      </c>
      <c r="C50" s="25">
        <v>3.9842</v>
      </c>
      <c r="D50" s="25">
        <v>3.1856</v>
      </c>
      <c r="E50" s="26">
        <f t="shared" si="10"/>
        <v>20.044174489232468</v>
      </c>
      <c r="F50" s="28">
        <v>3.0651000000000002</v>
      </c>
      <c r="G50" s="27">
        <f t="shared" si="11"/>
        <v>3.7826469110999446</v>
      </c>
      <c r="H50" s="25">
        <v>3.8763000000000001</v>
      </c>
      <c r="I50" s="25">
        <v>2.9937999999999998</v>
      </c>
      <c r="J50" s="26">
        <f t="shared" si="7"/>
        <v>22.766555736140141</v>
      </c>
      <c r="K50" s="28">
        <v>2.8957999999999999</v>
      </c>
      <c r="L50" s="27">
        <f t="shared" si="8"/>
        <v>3.2734317589685307</v>
      </c>
      <c r="W50" s="3"/>
      <c r="X50" s="3"/>
      <c r="Y50" s="3"/>
      <c r="Z50" s="3"/>
      <c r="AA50" s="3"/>
    </row>
    <row r="51" spans="1:36" ht="15" customHeight="1" x14ac:dyDescent="0.25">
      <c r="A51" s="498"/>
      <c r="B51" s="285" t="s">
        <v>138</v>
      </c>
      <c r="C51" s="25">
        <v>3.9348000000000001</v>
      </c>
      <c r="D51" s="25">
        <v>3.1385999999999998</v>
      </c>
      <c r="E51" s="26">
        <f t="shared" si="10"/>
        <v>20.234827691369325</v>
      </c>
      <c r="F51" s="28">
        <v>3.0202</v>
      </c>
      <c r="G51" s="27">
        <f t="shared" si="11"/>
        <v>3.7723825909641193</v>
      </c>
      <c r="H51" s="25">
        <v>3.9316</v>
      </c>
      <c r="I51" s="25">
        <v>3.0127999999999999</v>
      </c>
      <c r="J51" s="26">
        <f t="shared" si="7"/>
        <v>23.369620510733547</v>
      </c>
      <c r="K51" s="28">
        <v>2.9150999999999998</v>
      </c>
      <c r="L51" s="27">
        <f t="shared" si="8"/>
        <v>3.2428305894848686</v>
      </c>
      <c r="W51" s="3"/>
      <c r="X51" s="3"/>
      <c r="Y51" s="3"/>
      <c r="Z51" s="3"/>
      <c r="AA51" s="3"/>
    </row>
    <row r="52" spans="1:36" ht="15" customHeight="1" x14ac:dyDescent="0.25">
      <c r="A52" s="498"/>
      <c r="B52" s="285" t="s">
        <v>139</v>
      </c>
      <c r="C52" s="25">
        <v>3.9615999999999998</v>
      </c>
      <c r="D52" s="25">
        <v>3.1735000000000002</v>
      </c>
      <c r="E52" s="26">
        <f t="shared" si="10"/>
        <v>19.893477382875595</v>
      </c>
      <c r="F52" s="28">
        <v>3.0537999999999998</v>
      </c>
      <c r="G52" s="27">
        <f t="shared" si="11"/>
        <v>3.7718607216007669</v>
      </c>
      <c r="H52" s="25">
        <v>3.9716</v>
      </c>
      <c r="I52" s="25">
        <v>3.0687000000000002</v>
      </c>
      <c r="J52" s="26">
        <f t="shared" si="7"/>
        <v>22.733910766441731</v>
      </c>
      <c r="K52" s="28">
        <v>2.9683000000000002</v>
      </c>
      <c r="L52" s="27">
        <f t="shared" si="8"/>
        <v>3.2717437351321417</v>
      </c>
      <c r="W52" s="3"/>
      <c r="X52" s="3"/>
      <c r="Y52" s="3"/>
      <c r="Z52" s="3"/>
      <c r="AA52" s="3"/>
    </row>
    <row r="53" spans="1:36" ht="15" customHeight="1" x14ac:dyDescent="0.25">
      <c r="A53" s="498"/>
      <c r="B53" s="285" t="s">
        <v>140</v>
      </c>
      <c r="C53" s="25">
        <v>3.9268999999999998</v>
      </c>
      <c r="D53" s="25">
        <v>3.1484999999999999</v>
      </c>
      <c r="E53" s="26">
        <f t="shared" si="10"/>
        <v>19.822251648883345</v>
      </c>
      <c r="F53" s="28">
        <v>3.0293999999999999</v>
      </c>
      <c r="G53" s="27">
        <f t="shared" si="11"/>
        <v>3.7827536922343965</v>
      </c>
      <c r="H53" s="25">
        <v>3.9601000000000002</v>
      </c>
      <c r="I53" s="25">
        <v>3.0577999999999999</v>
      </c>
      <c r="J53" s="26">
        <f t="shared" si="7"/>
        <v>22.78477816216763</v>
      </c>
      <c r="K53" s="28">
        <v>2.9575999999999998</v>
      </c>
      <c r="L53" s="27">
        <f t="shared" si="8"/>
        <v>3.2768657204526153</v>
      </c>
      <c r="W53" s="3"/>
      <c r="X53" s="3"/>
      <c r="Y53" s="3"/>
      <c r="Z53" s="3"/>
      <c r="AA53" s="3"/>
    </row>
    <row r="54" spans="1:36" ht="15.95" customHeight="1" thickBot="1" x14ac:dyDescent="0.3">
      <c r="A54" s="499"/>
      <c r="B54" s="286" t="s">
        <v>141</v>
      </c>
      <c r="C54" s="58">
        <v>3.8572000000000002</v>
      </c>
      <c r="D54" s="58">
        <v>3.1015000000000001</v>
      </c>
      <c r="E54" s="59">
        <f t="shared" si="10"/>
        <v>19.591931971378202</v>
      </c>
      <c r="F54" s="60">
        <v>2.984</v>
      </c>
      <c r="G54" s="61">
        <f>((D54-F54)/D54)*100</f>
        <v>3.7884894405932665</v>
      </c>
      <c r="H54" s="58">
        <v>3.9075000000000002</v>
      </c>
      <c r="I54" s="58">
        <v>3.0327999999999999</v>
      </c>
      <c r="J54" s="59">
        <f t="shared" si="7"/>
        <v>22.385156749840057</v>
      </c>
      <c r="K54" s="60">
        <v>2.9325999999999999</v>
      </c>
      <c r="L54" s="61">
        <f t="shared" si="8"/>
        <v>3.3038776048536027</v>
      </c>
      <c r="W54" s="3"/>
      <c r="X54" s="3"/>
      <c r="Y54" s="3"/>
      <c r="Z54" s="3"/>
      <c r="AA54" s="3"/>
    </row>
    <row r="55" spans="1:36" x14ac:dyDescent="0.25">
      <c r="A55" s="66"/>
      <c r="B55" s="67"/>
      <c r="C55" s="68"/>
      <c r="D55" s="68"/>
      <c r="E55" s="69"/>
      <c r="F55" s="68"/>
      <c r="G55" s="69"/>
      <c r="V55" s="66"/>
      <c r="W55" s="71"/>
      <c r="X55" s="68"/>
      <c r="Y55" s="68"/>
      <c r="Z55" s="69"/>
      <c r="AA55" s="68"/>
      <c r="AB55" s="69"/>
      <c r="AD55" s="66"/>
      <c r="AE55" s="71"/>
      <c r="AF55" s="68"/>
      <c r="AG55" s="68"/>
      <c r="AH55" s="69"/>
      <c r="AI55" s="68"/>
      <c r="AJ55" s="69"/>
    </row>
    <row r="56" spans="1:36" ht="15.75" thickBot="1" x14ac:dyDescent="0.3">
      <c r="A56" s="66"/>
      <c r="B56" s="67"/>
      <c r="C56" s="68"/>
      <c r="D56" s="68"/>
      <c r="E56" s="69"/>
      <c r="F56" s="68"/>
      <c r="G56" s="69"/>
      <c r="V56" s="66"/>
      <c r="W56" s="71"/>
      <c r="X56" s="68"/>
      <c r="Y56" s="68"/>
      <c r="Z56" s="69"/>
      <c r="AA56" s="68"/>
      <c r="AB56" s="69"/>
      <c r="AD56" s="66"/>
      <c r="AE56" s="71"/>
      <c r="AF56" s="68"/>
      <c r="AG56" s="68"/>
      <c r="AH56" s="69"/>
      <c r="AI56" s="68"/>
      <c r="AJ56" s="69"/>
    </row>
    <row r="57" spans="1:36" ht="16.5" thickBot="1" x14ac:dyDescent="0.3">
      <c r="A57" s="15" t="s">
        <v>129</v>
      </c>
      <c r="B57" s="492" t="s">
        <v>149</v>
      </c>
      <c r="C57" s="493"/>
      <c r="D57" s="493"/>
      <c r="E57" s="493"/>
      <c r="F57" s="493"/>
      <c r="G57" s="494"/>
      <c r="H57" s="492" t="s">
        <v>150</v>
      </c>
      <c r="I57" s="493"/>
      <c r="J57" s="493"/>
      <c r="K57" s="493"/>
      <c r="L57" s="494"/>
      <c r="V57" s="66"/>
      <c r="W57" s="71"/>
      <c r="X57" s="68"/>
      <c r="Y57" s="68"/>
      <c r="Z57" s="69"/>
      <c r="AA57" s="68"/>
      <c r="AB57" s="69"/>
      <c r="AD57" s="66"/>
      <c r="AE57" s="71"/>
      <c r="AF57" s="68"/>
      <c r="AG57" s="68"/>
      <c r="AH57" s="69"/>
      <c r="AI57" s="68"/>
      <c r="AJ57" s="69"/>
    </row>
    <row r="58" spans="1:36" ht="15.75" thickBot="1" x14ac:dyDescent="0.3">
      <c r="A58" s="16"/>
      <c r="B58" s="309" t="s">
        <v>6</v>
      </c>
      <c r="C58" s="310" t="s">
        <v>7</v>
      </c>
      <c r="D58" s="310" t="s">
        <v>8</v>
      </c>
      <c r="E58" s="136" t="s">
        <v>9</v>
      </c>
      <c r="F58" s="311" t="s">
        <v>132</v>
      </c>
      <c r="G58" s="312" t="s">
        <v>133</v>
      </c>
      <c r="H58" s="274" t="s">
        <v>7</v>
      </c>
      <c r="I58" s="17" t="s">
        <v>8</v>
      </c>
      <c r="J58" s="19" t="s">
        <v>9</v>
      </c>
      <c r="K58" s="304" t="s">
        <v>132</v>
      </c>
      <c r="L58" s="303" t="s">
        <v>133</v>
      </c>
      <c r="V58" s="66"/>
      <c r="W58" s="71"/>
      <c r="X58" s="68"/>
      <c r="Y58" s="68"/>
      <c r="Z58" s="69"/>
      <c r="AA58" s="68"/>
      <c r="AB58" s="69"/>
      <c r="AD58" s="66"/>
      <c r="AE58" s="71"/>
      <c r="AF58" s="68"/>
      <c r="AG58" s="68"/>
      <c r="AH58" s="69"/>
      <c r="AI58" s="68"/>
      <c r="AJ58" s="69"/>
    </row>
    <row r="59" spans="1:36" x14ac:dyDescent="0.25">
      <c r="A59" s="500" t="s">
        <v>134</v>
      </c>
      <c r="B59" s="313" t="s">
        <v>135</v>
      </c>
      <c r="C59" s="314">
        <v>3.9923000000000002</v>
      </c>
      <c r="D59" s="315">
        <v>3.2299000000000002</v>
      </c>
      <c r="E59" s="62">
        <f t="shared" ref="E59:E72" si="12">((C59-D59)/C59)*100</f>
        <v>19.096761265435962</v>
      </c>
      <c r="F59" s="319">
        <v>3.0182000000000002</v>
      </c>
      <c r="G59" s="23">
        <f t="shared" ref="G59:G72" si="13">((D59-F59)/D59)*100</f>
        <v>6.554382488621938</v>
      </c>
      <c r="H59" s="275">
        <v>4.0792000000000002</v>
      </c>
      <c r="I59" s="50">
        <v>3.2322000000000002</v>
      </c>
      <c r="J59" s="31">
        <f t="shared" ref="J59:J72" si="14">((H59-I59)/H59)*100</f>
        <v>20.763875269660716</v>
      </c>
      <c r="K59" s="305">
        <v>3.0070000000000001</v>
      </c>
      <c r="L59" s="33">
        <f t="shared" ref="L59:L72" si="15">((I59-K59)/I59)*100</f>
        <v>6.967390631767838</v>
      </c>
      <c r="V59" s="66"/>
      <c r="W59" s="71"/>
      <c r="X59" s="68"/>
      <c r="Y59" s="68"/>
      <c r="Z59" s="69"/>
      <c r="AA59" s="68"/>
      <c r="AB59" s="69"/>
      <c r="AD59" s="66"/>
      <c r="AE59" s="71"/>
      <c r="AF59" s="68"/>
      <c r="AG59" s="68"/>
      <c r="AH59" s="69"/>
      <c r="AI59" s="68"/>
      <c r="AJ59" s="69"/>
    </row>
    <row r="60" spans="1:36" x14ac:dyDescent="0.25">
      <c r="A60" s="501"/>
      <c r="B60" s="282" t="s">
        <v>136</v>
      </c>
      <c r="C60" s="38">
        <v>4.0006000000000004</v>
      </c>
      <c r="D60" s="35">
        <v>3.2132999999999998</v>
      </c>
      <c r="E60" s="26">
        <f t="shared" si="12"/>
        <v>19.679548067789842</v>
      </c>
      <c r="F60" s="298">
        <v>3.0026000000000002</v>
      </c>
      <c r="G60" s="27">
        <f t="shared" si="13"/>
        <v>6.5571219618460672</v>
      </c>
      <c r="H60" s="276">
        <v>3.9295</v>
      </c>
      <c r="I60" s="55">
        <v>3.1040000000000001</v>
      </c>
      <c r="J60" s="26">
        <f t="shared" si="14"/>
        <v>21.007761801755944</v>
      </c>
      <c r="K60" s="306">
        <v>2.8893</v>
      </c>
      <c r="L60" s="37">
        <f t="shared" si="15"/>
        <v>6.9168814432989727</v>
      </c>
      <c r="V60" s="66"/>
      <c r="W60" s="71"/>
      <c r="X60" s="68"/>
      <c r="Y60" s="68"/>
      <c r="Z60" s="69"/>
      <c r="AA60" s="68"/>
      <c r="AB60" s="69"/>
      <c r="AD60" s="66"/>
      <c r="AE60" s="71"/>
      <c r="AF60" s="68"/>
      <c r="AG60" s="68"/>
      <c r="AH60" s="69"/>
      <c r="AI60" s="68"/>
      <c r="AJ60" s="69"/>
    </row>
    <row r="61" spans="1:36" x14ac:dyDescent="0.25">
      <c r="A61" s="501"/>
      <c r="B61" s="282" t="s">
        <v>137</v>
      </c>
      <c r="C61" s="38">
        <v>3.8757999999999999</v>
      </c>
      <c r="D61" s="35">
        <v>3.1221000000000001</v>
      </c>
      <c r="E61" s="26">
        <f t="shared" si="12"/>
        <v>19.446307859022649</v>
      </c>
      <c r="F61" s="298">
        <v>2.9174000000000002</v>
      </c>
      <c r="G61" s="27">
        <f t="shared" si="13"/>
        <v>6.5564844175394725</v>
      </c>
      <c r="H61" s="276">
        <v>4.0357000000000003</v>
      </c>
      <c r="I61" s="25">
        <v>3.1892</v>
      </c>
      <c r="J61" s="26">
        <f t="shared" si="14"/>
        <v>20.975295487771643</v>
      </c>
      <c r="K61" s="306">
        <v>2.9674999999999998</v>
      </c>
      <c r="L61" s="37">
        <f t="shared" si="15"/>
        <v>6.951586604791177</v>
      </c>
      <c r="V61" s="66"/>
      <c r="W61" s="71"/>
      <c r="X61" s="68"/>
      <c r="Y61" s="68"/>
      <c r="Z61" s="69"/>
      <c r="AA61" s="68"/>
      <c r="AB61" s="69"/>
      <c r="AD61" s="66"/>
      <c r="AE61" s="71"/>
      <c r="AF61" s="68"/>
      <c r="AG61" s="68"/>
      <c r="AH61" s="69"/>
      <c r="AI61" s="68"/>
      <c r="AJ61" s="69"/>
    </row>
    <row r="62" spans="1:36" x14ac:dyDescent="0.25">
      <c r="A62" s="501"/>
      <c r="B62" s="282" t="s">
        <v>138</v>
      </c>
      <c r="C62" s="38">
        <v>3.9834000000000001</v>
      </c>
      <c r="D62" s="35">
        <v>3.2012</v>
      </c>
      <c r="E62" s="26">
        <f t="shared" si="12"/>
        <v>19.636491439473815</v>
      </c>
      <c r="F62" s="298">
        <v>2.9910999999999999</v>
      </c>
      <c r="G62" s="27">
        <f t="shared" si="13"/>
        <v>6.5631638135699166</v>
      </c>
      <c r="H62" s="276">
        <v>3.9443999999999999</v>
      </c>
      <c r="I62" s="25">
        <v>3.0878999999999999</v>
      </c>
      <c r="J62" s="26">
        <f t="shared" si="14"/>
        <v>21.714329175540005</v>
      </c>
      <c r="K62" s="306">
        <v>2.8738999999999999</v>
      </c>
      <c r="L62" s="37">
        <f t="shared" si="15"/>
        <v>6.9302762395155275</v>
      </c>
      <c r="V62" s="66"/>
      <c r="W62" s="71"/>
      <c r="X62" s="68"/>
      <c r="Y62" s="68"/>
      <c r="Z62" s="69"/>
      <c r="AA62" s="68"/>
      <c r="AB62" s="69"/>
      <c r="AD62" s="66"/>
      <c r="AE62" s="71"/>
      <c r="AF62" s="68"/>
      <c r="AG62" s="68"/>
      <c r="AH62" s="69"/>
      <c r="AI62" s="68"/>
      <c r="AJ62" s="69"/>
    </row>
    <row r="63" spans="1:36" x14ac:dyDescent="0.25">
      <c r="A63" s="501"/>
      <c r="B63" s="282" t="s">
        <v>139</v>
      </c>
      <c r="C63" s="38">
        <v>3.9925000000000002</v>
      </c>
      <c r="D63" s="35">
        <v>3.2124999999999999</v>
      </c>
      <c r="E63" s="26">
        <f t="shared" si="12"/>
        <v>19.536631183469012</v>
      </c>
      <c r="F63" s="298">
        <v>3.0026999999999999</v>
      </c>
      <c r="G63" s="27">
        <f t="shared" si="13"/>
        <v>6.5307392996108948</v>
      </c>
      <c r="H63" s="276">
        <v>3.9615999999999998</v>
      </c>
      <c r="I63" s="25">
        <v>3.1255000000000002</v>
      </c>
      <c r="J63" s="26">
        <f t="shared" si="14"/>
        <v>21.105109046849748</v>
      </c>
      <c r="K63" s="306">
        <v>2.9085000000000001</v>
      </c>
      <c r="L63" s="37">
        <f t="shared" si="15"/>
        <v>6.9428891377379651</v>
      </c>
      <c r="V63" s="66"/>
      <c r="W63" s="71"/>
      <c r="X63" s="68"/>
      <c r="Y63" s="68"/>
      <c r="Z63" s="69"/>
      <c r="AA63" s="68"/>
      <c r="AB63" s="69"/>
      <c r="AD63" s="66"/>
      <c r="AE63" s="71"/>
      <c r="AF63" s="68"/>
      <c r="AG63" s="68"/>
      <c r="AH63" s="69"/>
      <c r="AI63" s="68"/>
      <c r="AJ63" s="69"/>
    </row>
    <row r="64" spans="1:36" x14ac:dyDescent="0.25">
      <c r="A64" s="501"/>
      <c r="B64" s="282" t="s">
        <v>140</v>
      </c>
      <c r="C64" s="38">
        <v>3.8995000000000002</v>
      </c>
      <c r="D64" s="35">
        <v>3.1442999999999999</v>
      </c>
      <c r="E64" s="26">
        <f t="shared" si="12"/>
        <v>19.366585459674322</v>
      </c>
      <c r="F64" s="298">
        <v>2.9384000000000001</v>
      </c>
      <c r="G64" s="27">
        <f t="shared" si="13"/>
        <v>6.5483573450370436</v>
      </c>
      <c r="H64" s="276">
        <v>4.0728999999999997</v>
      </c>
      <c r="I64" s="25">
        <v>3.2151000000000001</v>
      </c>
      <c r="J64" s="26">
        <f t="shared" si="14"/>
        <v>21.061160352574326</v>
      </c>
      <c r="K64" s="306">
        <v>2.9935</v>
      </c>
      <c r="L64" s="37">
        <f t="shared" si="15"/>
        <v>6.8924761282697284</v>
      </c>
      <c r="V64" s="66"/>
      <c r="W64" s="71"/>
      <c r="X64" s="68"/>
      <c r="Y64" s="68"/>
      <c r="Z64" s="69"/>
      <c r="AA64" s="68"/>
      <c r="AB64" s="69"/>
      <c r="AD64" s="66"/>
      <c r="AE64" s="71"/>
      <c r="AF64" s="68"/>
      <c r="AG64" s="68"/>
      <c r="AH64" s="69"/>
      <c r="AI64" s="68"/>
      <c r="AJ64" s="69"/>
    </row>
    <row r="65" spans="1:36" ht="15.75" thickBot="1" x14ac:dyDescent="0.3">
      <c r="A65" s="502"/>
      <c r="B65" s="316" t="s">
        <v>141</v>
      </c>
      <c r="C65" s="317">
        <v>3.9887000000000001</v>
      </c>
      <c r="D65" s="318">
        <v>3.2286000000000001</v>
      </c>
      <c r="E65" s="59">
        <f t="shared" si="12"/>
        <v>19.056334143956676</v>
      </c>
      <c r="F65" s="320">
        <v>3.0165000000000002</v>
      </c>
      <c r="G65" s="61">
        <f t="shared" si="13"/>
        <v>6.5694108901691122</v>
      </c>
      <c r="H65" s="307">
        <v>4.0476000000000001</v>
      </c>
      <c r="I65" s="58">
        <v>3.2025000000000001</v>
      </c>
      <c r="J65" s="59">
        <f t="shared" si="14"/>
        <v>20.879039430773791</v>
      </c>
      <c r="K65" s="308">
        <v>2.9796</v>
      </c>
      <c r="L65" s="43">
        <f t="shared" si="15"/>
        <v>6.960187353629979</v>
      </c>
      <c r="V65" s="66"/>
      <c r="W65" s="71"/>
      <c r="X65" s="68"/>
      <c r="Y65" s="68"/>
      <c r="Z65" s="69"/>
      <c r="AA65" s="68"/>
      <c r="AB65" s="69"/>
      <c r="AD65" s="66"/>
      <c r="AE65" s="71"/>
      <c r="AF65" s="68"/>
      <c r="AG65" s="68"/>
      <c r="AH65" s="69"/>
      <c r="AI65" s="68"/>
      <c r="AJ65" s="69"/>
    </row>
    <row r="66" spans="1:36" x14ac:dyDescent="0.25">
      <c r="A66" s="498" t="s">
        <v>20</v>
      </c>
      <c r="B66" s="284" t="s">
        <v>135</v>
      </c>
      <c r="C66" s="49">
        <v>4.0351999999999997</v>
      </c>
      <c r="D66" s="50">
        <v>3.2330000000000001</v>
      </c>
      <c r="E66" s="51">
        <f t="shared" si="12"/>
        <v>19.880055511498799</v>
      </c>
      <c r="F66" s="52">
        <v>3.1326999999999998</v>
      </c>
      <c r="G66" s="53">
        <f t="shared" si="13"/>
        <v>3.1023816888339089</v>
      </c>
      <c r="H66" s="45">
        <v>4.0307000000000004</v>
      </c>
      <c r="I66" s="45">
        <v>3.1551</v>
      </c>
      <c r="J66" s="54">
        <f t="shared" si="14"/>
        <v>21.723273873024542</v>
      </c>
      <c r="K66" s="45">
        <v>3.0438000000000001</v>
      </c>
      <c r="L66" s="48">
        <f t="shared" si="15"/>
        <v>3.5276219454216968</v>
      </c>
      <c r="V66" s="66"/>
      <c r="W66" s="71"/>
      <c r="X66" s="68"/>
      <c r="Y66" s="68"/>
      <c r="Z66" s="69"/>
      <c r="AA66" s="68"/>
      <c r="AB66" s="69"/>
      <c r="AD66" s="66"/>
      <c r="AE66" s="71"/>
      <c r="AF66" s="68"/>
      <c r="AG66" s="68"/>
      <c r="AH66" s="69"/>
      <c r="AI66" s="68"/>
      <c r="AJ66" s="69"/>
    </row>
    <row r="67" spans="1:36" x14ac:dyDescent="0.25">
      <c r="A67" s="498"/>
      <c r="B67" s="285" t="s">
        <v>136</v>
      </c>
      <c r="C67" s="25">
        <v>3.9453</v>
      </c>
      <c r="D67" s="55">
        <v>3.1615000000000002</v>
      </c>
      <c r="E67" s="56">
        <f t="shared" si="12"/>
        <v>19.866676805312647</v>
      </c>
      <c r="F67" s="57">
        <v>3.0644999999999998</v>
      </c>
      <c r="G67" s="27">
        <f t="shared" si="13"/>
        <v>3.0681638462755152</v>
      </c>
      <c r="H67" s="25">
        <v>4.0274999999999999</v>
      </c>
      <c r="I67" s="25">
        <v>3.1520000000000001</v>
      </c>
      <c r="J67" s="26">
        <f t="shared" si="14"/>
        <v>21.738050900062067</v>
      </c>
      <c r="K67" s="25">
        <v>3.0409999999999999</v>
      </c>
      <c r="L67" s="27">
        <f t="shared" si="15"/>
        <v>3.52157360406092</v>
      </c>
      <c r="V67" s="66"/>
      <c r="W67" s="71"/>
      <c r="X67" s="68"/>
      <c r="Y67" s="68"/>
      <c r="Z67" s="69"/>
      <c r="AA67" s="68"/>
      <c r="AB67" s="69"/>
      <c r="AD67" s="66"/>
      <c r="AE67" s="71"/>
      <c r="AF67" s="68"/>
      <c r="AG67" s="68"/>
      <c r="AH67" s="69"/>
      <c r="AI67" s="68"/>
      <c r="AJ67" s="69"/>
    </row>
    <row r="68" spans="1:36" x14ac:dyDescent="0.25">
      <c r="A68" s="498"/>
      <c r="B68" s="285" t="s">
        <v>137</v>
      </c>
      <c r="C68" s="25">
        <v>4.016</v>
      </c>
      <c r="D68" s="25">
        <v>3.2128999999999999</v>
      </c>
      <c r="E68" s="26">
        <f t="shared" si="12"/>
        <v>19.997509960159366</v>
      </c>
      <c r="F68" s="28">
        <v>3.1137000000000001</v>
      </c>
      <c r="G68" s="27">
        <f t="shared" si="13"/>
        <v>3.0875533007563178</v>
      </c>
      <c r="H68" s="25">
        <v>3.9538000000000002</v>
      </c>
      <c r="I68" s="25">
        <v>3.0868000000000002</v>
      </c>
      <c r="J68" s="26">
        <f t="shared" si="14"/>
        <v>21.928271536243614</v>
      </c>
      <c r="K68" s="25">
        <v>2.9792000000000001</v>
      </c>
      <c r="L68" s="27">
        <f t="shared" si="15"/>
        <v>3.4858105481404738</v>
      </c>
      <c r="V68" s="66"/>
      <c r="W68" s="71"/>
      <c r="X68" s="68"/>
      <c r="Y68" s="68"/>
      <c r="Z68" s="69"/>
      <c r="AA68" s="68"/>
      <c r="AB68" s="69"/>
      <c r="AD68" s="66"/>
      <c r="AE68" s="71"/>
      <c r="AF68" s="68"/>
      <c r="AG68" s="68"/>
      <c r="AH68" s="69"/>
      <c r="AI68" s="68"/>
      <c r="AJ68" s="69"/>
    </row>
    <row r="69" spans="1:36" x14ac:dyDescent="0.25">
      <c r="A69" s="498"/>
      <c r="B69" s="285" t="s">
        <v>138</v>
      </c>
      <c r="C69" s="25">
        <v>3.9228999999999998</v>
      </c>
      <c r="D69" s="25">
        <v>3.137</v>
      </c>
      <c r="E69" s="26">
        <f t="shared" si="12"/>
        <v>20.033648576308337</v>
      </c>
      <c r="F69" s="28">
        <v>3.0398999999999998</v>
      </c>
      <c r="G69" s="27">
        <f t="shared" si="13"/>
        <v>3.0953139942620398</v>
      </c>
      <c r="H69" s="25">
        <v>3.9205000000000001</v>
      </c>
      <c r="I69" s="25">
        <v>3.0741999999999998</v>
      </c>
      <c r="J69" s="26">
        <f t="shared" si="14"/>
        <v>21.586532330059949</v>
      </c>
      <c r="K69" s="25">
        <v>2.9672999999999998</v>
      </c>
      <c r="L69" s="27">
        <f t="shared" si="15"/>
        <v>3.4773274347797805</v>
      </c>
      <c r="V69" s="66"/>
      <c r="W69" s="71"/>
      <c r="X69" s="68"/>
      <c r="Y69" s="68"/>
      <c r="Z69" s="69"/>
      <c r="AA69" s="68"/>
      <c r="AB69" s="69"/>
      <c r="AD69" s="66"/>
      <c r="AE69" s="71"/>
      <c r="AF69" s="68"/>
      <c r="AG69" s="68"/>
      <c r="AH69" s="69"/>
      <c r="AI69" s="68"/>
      <c r="AJ69" s="69"/>
    </row>
    <row r="70" spans="1:36" x14ac:dyDescent="0.25">
      <c r="A70" s="498"/>
      <c r="B70" s="285" t="s">
        <v>139</v>
      </c>
      <c r="C70" s="25">
        <v>3.9847000000000001</v>
      </c>
      <c r="D70" s="25">
        <v>3.1749000000000001</v>
      </c>
      <c r="E70" s="26">
        <f t="shared" si="12"/>
        <v>20.322734459306847</v>
      </c>
      <c r="F70" s="28">
        <v>3.0762</v>
      </c>
      <c r="G70" s="27">
        <f t="shared" si="13"/>
        <v>3.1087593310025516</v>
      </c>
      <c r="H70" s="25">
        <v>3.9815</v>
      </c>
      <c r="I70" s="25">
        <v>3.0960999999999999</v>
      </c>
      <c r="J70" s="26">
        <f t="shared" si="14"/>
        <v>22.23785005651137</v>
      </c>
      <c r="K70" s="25">
        <v>2.9885999999999999</v>
      </c>
      <c r="L70" s="27">
        <f t="shared" si="15"/>
        <v>3.4721100739640174</v>
      </c>
      <c r="V70" s="66"/>
      <c r="W70" s="71"/>
      <c r="X70" s="68"/>
      <c r="Y70" s="68"/>
      <c r="Z70" s="69"/>
      <c r="AA70" s="68"/>
      <c r="AB70" s="69"/>
      <c r="AD70" s="66"/>
      <c r="AE70" s="71"/>
      <c r="AF70" s="68"/>
      <c r="AG70" s="68"/>
      <c r="AH70" s="69"/>
      <c r="AI70" s="68"/>
      <c r="AJ70" s="69"/>
    </row>
    <row r="71" spans="1:36" x14ac:dyDescent="0.25">
      <c r="A71" s="498"/>
      <c r="B71" s="285" t="s">
        <v>140</v>
      </c>
      <c r="C71" s="25">
        <v>4.0010000000000003</v>
      </c>
      <c r="D71" s="25">
        <v>3.1960000000000002</v>
      </c>
      <c r="E71" s="26">
        <f t="shared" si="12"/>
        <v>20.119970007498129</v>
      </c>
      <c r="F71" s="28">
        <v>3.0968</v>
      </c>
      <c r="G71" s="27">
        <f t="shared" si="13"/>
        <v>3.1038798498122704</v>
      </c>
      <c r="H71" s="25">
        <v>3.9418000000000002</v>
      </c>
      <c r="I71" s="25">
        <v>3.0808</v>
      </c>
      <c r="J71" s="26">
        <f t="shared" si="14"/>
        <v>21.842812928103918</v>
      </c>
      <c r="K71" s="25">
        <v>2.9725000000000001</v>
      </c>
      <c r="L71" s="27">
        <f t="shared" si="15"/>
        <v>3.515320695923132</v>
      </c>
      <c r="V71" s="66"/>
      <c r="W71" s="71"/>
      <c r="X71" s="68"/>
      <c r="Y71" s="68"/>
      <c r="Z71" s="69"/>
      <c r="AA71" s="68"/>
      <c r="AB71" s="69"/>
      <c r="AD71" s="66"/>
      <c r="AE71" s="71"/>
      <c r="AF71" s="68"/>
      <c r="AG71" s="68"/>
      <c r="AH71" s="69"/>
      <c r="AI71" s="68"/>
      <c r="AJ71" s="69"/>
    </row>
    <row r="72" spans="1:36" ht="15.75" thickBot="1" x14ac:dyDescent="0.3">
      <c r="A72" s="499"/>
      <c r="B72" s="287" t="s">
        <v>141</v>
      </c>
      <c r="C72" s="247">
        <v>3.9251999999999998</v>
      </c>
      <c r="D72" s="247">
        <v>3.1484000000000001</v>
      </c>
      <c r="E72" s="288">
        <f t="shared" si="12"/>
        <v>19.790074391113819</v>
      </c>
      <c r="F72" s="289">
        <v>3.0495000000000001</v>
      </c>
      <c r="G72" s="290">
        <f t="shared" si="13"/>
        <v>3.1412781095159445</v>
      </c>
      <c r="H72" s="58">
        <v>3.9287000000000001</v>
      </c>
      <c r="I72" s="25">
        <v>3.0678000000000001</v>
      </c>
      <c r="J72" s="59">
        <f t="shared" si="14"/>
        <v>21.913101025784609</v>
      </c>
      <c r="K72" s="25">
        <v>2.9598</v>
      </c>
      <c r="L72" s="61">
        <f t="shared" si="15"/>
        <v>3.5204380989634299</v>
      </c>
      <c r="V72" s="66"/>
      <c r="W72" s="71"/>
      <c r="X72" s="68"/>
      <c r="Y72" s="68"/>
      <c r="Z72" s="69"/>
      <c r="AA72" s="68"/>
      <c r="AB72" s="69"/>
      <c r="AD72" s="66"/>
      <c r="AE72" s="71"/>
      <c r="AF72" s="68"/>
      <c r="AG72" s="68"/>
      <c r="AH72" s="69"/>
      <c r="AI72" s="68"/>
      <c r="AJ72" s="69"/>
    </row>
    <row r="73" spans="1:36" ht="16.5" thickBot="1" x14ac:dyDescent="0.3">
      <c r="A73" s="15" t="s">
        <v>142</v>
      </c>
      <c r="B73" s="492" t="s">
        <v>151</v>
      </c>
      <c r="C73" s="493"/>
      <c r="D73" s="493"/>
      <c r="E73" s="493"/>
      <c r="F73" s="493"/>
      <c r="G73" s="494"/>
      <c r="H73" s="492" t="s">
        <v>152</v>
      </c>
      <c r="I73" s="493"/>
      <c r="J73" s="493"/>
      <c r="K73" s="493"/>
      <c r="L73" s="494"/>
      <c r="V73" s="66"/>
      <c r="W73" s="71"/>
      <c r="X73" s="68"/>
      <c r="Y73" s="68"/>
      <c r="Z73" s="69"/>
      <c r="AA73" s="68"/>
      <c r="AB73" s="69"/>
      <c r="AD73" s="66"/>
      <c r="AE73" s="71"/>
      <c r="AF73" s="68"/>
      <c r="AG73" s="68"/>
      <c r="AH73" s="69"/>
      <c r="AI73" s="68"/>
      <c r="AJ73" s="69"/>
    </row>
    <row r="74" spans="1:36" ht="15.75" thickBot="1" x14ac:dyDescent="0.3">
      <c r="A74" s="16"/>
      <c r="B74" s="18" t="s">
        <v>6</v>
      </c>
      <c r="C74" s="17" t="s">
        <v>7</v>
      </c>
      <c r="D74" s="17" t="s">
        <v>8</v>
      </c>
      <c r="E74" s="136" t="s">
        <v>9</v>
      </c>
      <c r="F74" s="20" t="s">
        <v>145</v>
      </c>
      <c r="G74" s="21" t="s">
        <v>146</v>
      </c>
      <c r="H74" s="17" t="s">
        <v>7</v>
      </c>
      <c r="I74" s="17" t="s">
        <v>8</v>
      </c>
      <c r="J74" s="19" t="s">
        <v>9</v>
      </c>
      <c r="K74" s="20" t="s">
        <v>145</v>
      </c>
      <c r="L74" s="21" t="s">
        <v>146</v>
      </c>
      <c r="V74" s="66"/>
      <c r="W74" s="71"/>
      <c r="X74" s="68"/>
      <c r="Y74" s="68"/>
      <c r="Z74" s="69"/>
      <c r="AA74" s="68"/>
      <c r="AB74" s="69"/>
      <c r="AD74" s="66"/>
      <c r="AE74" s="71"/>
      <c r="AF74" s="68"/>
      <c r="AG74" s="68"/>
      <c r="AH74" s="69"/>
      <c r="AI74" s="68"/>
      <c r="AJ74" s="69"/>
    </row>
    <row r="75" spans="1:36" x14ac:dyDescent="0.25">
      <c r="A75" s="495" t="s">
        <v>134</v>
      </c>
      <c r="B75" s="281" t="s">
        <v>135</v>
      </c>
      <c r="C75" s="22">
        <v>3.8744999999999998</v>
      </c>
      <c r="D75" s="22">
        <v>3.0832999999999999</v>
      </c>
      <c r="E75" s="62">
        <f t="shared" ref="E75:E88" si="16">((C75-D75)/C75)*100</f>
        <v>20.420699445089689</v>
      </c>
      <c r="F75" s="24">
        <v>2.8807999999999998</v>
      </c>
      <c r="G75" s="23">
        <f t="shared" ref="G75:G88" si="17">((D75-F75)/D75)*100</f>
        <v>6.5676385690656165</v>
      </c>
      <c r="H75" s="22">
        <v>3.9140000000000001</v>
      </c>
      <c r="I75" s="22">
        <v>3.08</v>
      </c>
      <c r="J75" s="62">
        <f t="shared" ref="J75:J88" si="18">((H75-I75)/H75)*100</f>
        <v>21.308124680633625</v>
      </c>
      <c r="K75" s="24">
        <v>2.8651</v>
      </c>
      <c r="L75" s="23">
        <f t="shared" ref="L75:L88" si="19">((I75-K75)/I75)*100</f>
        <v>6.9772727272727302</v>
      </c>
      <c r="V75" s="66"/>
      <c r="W75" s="71"/>
      <c r="X75" s="68"/>
      <c r="Y75" s="68"/>
      <c r="Z75" s="69"/>
      <c r="AA75" s="68"/>
      <c r="AB75" s="69"/>
      <c r="AD75" s="66"/>
      <c r="AE75" s="71"/>
      <c r="AF75" s="68"/>
      <c r="AG75" s="68"/>
      <c r="AH75" s="69"/>
      <c r="AI75" s="68"/>
      <c r="AJ75" s="69"/>
    </row>
    <row r="76" spans="1:36" x14ac:dyDescent="0.25">
      <c r="A76" s="496"/>
      <c r="B76" s="282" t="s">
        <v>136</v>
      </c>
      <c r="C76" s="25">
        <v>3.9546000000000001</v>
      </c>
      <c r="D76" s="25">
        <v>3.1233</v>
      </c>
      <c r="E76" s="26">
        <f t="shared" si="16"/>
        <v>21.021089364284634</v>
      </c>
      <c r="F76" s="28">
        <v>2.9188999999999998</v>
      </c>
      <c r="G76" s="27">
        <f t="shared" si="17"/>
        <v>6.5443601319117644</v>
      </c>
      <c r="H76" s="25">
        <v>3.9702999999999999</v>
      </c>
      <c r="I76" s="25">
        <v>3.1065999999999998</v>
      </c>
      <c r="J76" s="26">
        <f t="shared" si="18"/>
        <v>21.754023625418739</v>
      </c>
      <c r="K76" s="28">
        <v>2.8910999999999998</v>
      </c>
      <c r="L76" s="27">
        <f t="shared" si="19"/>
        <v>6.9368441382862303</v>
      </c>
      <c r="V76" s="66"/>
      <c r="W76" s="71"/>
      <c r="X76" s="68"/>
      <c r="Y76" s="68"/>
      <c r="Z76" s="69"/>
      <c r="AA76" s="68"/>
      <c r="AB76" s="69"/>
      <c r="AD76" s="66"/>
      <c r="AE76" s="71"/>
      <c r="AF76" s="68"/>
      <c r="AG76" s="68"/>
      <c r="AH76" s="69"/>
      <c r="AI76" s="68"/>
      <c r="AJ76" s="69"/>
    </row>
    <row r="77" spans="1:36" x14ac:dyDescent="0.25">
      <c r="A77" s="496"/>
      <c r="B77" s="282" t="s">
        <v>137</v>
      </c>
      <c r="C77" s="25">
        <v>3.8835000000000002</v>
      </c>
      <c r="D77" s="25">
        <v>3.0642</v>
      </c>
      <c r="E77" s="26">
        <f t="shared" si="16"/>
        <v>21.096948628814218</v>
      </c>
      <c r="F77" s="28">
        <v>2.8647</v>
      </c>
      <c r="G77" s="27">
        <f t="shared" si="17"/>
        <v>6.5106716271783824</v>
      </c>
      <c r="H77" s="25">
        <v>4.0590999999999999</v>
      </c>
      <c r="I77" s="25">
        <v>3.1781999999999999</v>
      </c>
      <c r="J77" s="26">
        <f t="shared" si="18"/>
        <v>21.70185509103003</v>
      </c>
      <c r="K77" s="28">
        <v>2.9567999999999999</v>
      </c>
      <c r="L77" s="27">
        <f t="shared" si="19"/>
        <v>6.9662072871436678</v>
      </c>
      <c r="V77" s="66"/>
      <c r="W77" s="71"/>
      <c r="X77" s="68"/>
      <c r="Y77" s="68"/>
      <c r="Z77" s="69"/>
      <c r="AA77" s="68"/>
      <c r="AB77" s="69"/>
      <c r="AD77" s="66"/>
      <c r="AE77" s="71"/>
      <c r="AF77" s="68"/>
      <c r="AG77" s="68"/>
      <c r="AH77" s="69"/>
      <c r="AI77" s="68"/>
      <c r="AJ77" s="69"/>
    </row>
    <row r="78" spans="1:36" x14ac:dyDescent="0.25">
      <c r="A78" s="496"/>
      <c r="B78" s="282" t="s">
        <v>138</v>
      </c>
      <c r="C78" s="25">
        <v>3.8136999999999999</v>
      </c>
      <c r="D78" s="25">
        <v>3.0070999999999999</v>
      </c>
      <c r="E78" s="26">
        <f t="shared" si="16"/>
        <v>21.150064242074627</v>
      </c>
      <c r="F78" s="28">
        <v>2.8108</v>
      </c>
      <c r="G78" s="27">
        <f t="shared" si="17"/>
        <v>6.5278840078480904</v>
      </c>
      <c r="H78" s="25">
        <v>4.0277000000000003</v>
      </c>
      <c r="I78" s="25">
        <v>3.1459000000000001</v>
      </c>
      <c r="J78" s="26">
        <f t="shared" si="18"/>
        <v>21.893388286118633</v>
      </c>
      <c r="K78" s="28">
        <v>2.9276</v>
      </c>
      <c r="L78" s="27">
        <f t="shared" si="19"/>
        <v>6.9391906926475775</v>
      </c>
      <c r="V78" s="66"/>
      <c r="W78" s="71"/>
      <c r="X78" s="68"/>
      <c r="Y78" s="68"/>
      <c r="Z78" s="69"/>
      <c r="AA78" s="68"/>
      <c r="AB78" s="69"/>
      <c r="AD78" s="66"/>
      <c r="AE78" s="71"/>
      <c r="AF78" s="68"/>
      <c r="AG78" s="68"/>
      <c r="AH78" s="69"/>
      <c r="AI78" s="68"/>
      <c r="AJ78" s="69"/>
    </row>
    <row r="79" spans="1:36" x14ac:dyDescent="0.25">
      <c r="A79" s="496"/>
      <c r="B79" s="282" t="s">
        <v>139</v>
      </c>
      <c r="C79" s="25">
        <v>3.8866000000000001</v>
      </c>
      <c r="D79" s="25">
        <v>3.0649000000000002</v>
      </c>
      <c r="E79" s="26">
        <f t="shared" si="16"/>
        <v>21.141872073277412</v>
      </c>
      <c r="F79" s="28">
        <v>2.8643000000000001</v>
      </c>
      <c r="G79" s="27">
        <f t="shared" si="17"/>
        <v>6.5450748800939706</v>
      </c>
      <c r="H79" s="25">
        <v>3.9723999999999999</v>
      </c>
      <c r="I79" s="25">
        <v>3.1116000000000001</v>
      </c>
      <c r="J79" s="26">
        <f t="shared" si="18"/>
        <v>21.669519685832235</v>
      </c>
      <c r="K79" s="28">
        <v>2.8963000000000001</v>
      </c>
      <c r="L79" s="27">
        <f t="shared" si="19"/>
        <v>6.9192698290268684</v>
      </c>
      <c r="V79" s="66"/>
      <c r="W79" s="71"/>
      <c r="X79" s="68"/>
      <c r="Y79" s="68"/>
      <c r="Z79" s="69"/>
      <c r="AA79" s="68"/>
      <c r="AB79" s="69"/>
      <c r="AD79" s="66"/>
      <c r="AE79" s="71"/>
      <c r="AF79" s="68"/>
      <c r="AG79" s="68"/>
      <c r="AH79" s="69"/>
      <c r="AI79" s="68"/>
      <c r="AJ79" s="69"/>
    </row>
    <row r="80" spans="1:36" x14ac:dyDescent="0.25">
      <c r="A80" s="496"/>
      <c r="B80" s="282" t="s">
        <v>140</v>
      </c>
      <c r="C80" s="25">
        <v>4.0011999999999999</v>
      </c>
      <c r="D80" s="25">
        <v>3.1494</v>
      </c>
      <c r="E80" s="26">
        <f t="shared" si="16"/>
        <v>21.288613415975206</v>
      </c>
      <c r="F80" s="28">
        <v>2.9422999999999999</v>
      </c>
      <c r="G80" s="27">
        <f t="shared" si="17"/>
        <v>6.5758557185495672</v>
      </c>
      <c r="H80" s="25">
        <v>3.9409000000000001</v>
      </c>
      <c r="I80" s="25">
        <v>3.0878000000000001</v>
      </c>
      <c r="J80" s="26">
        <f t="shared" si="18"/>
        <v>21.647339440229388</v>
      </c>
      <c r="K80" s="28">
        <v>2.871</v>
      </c>
      <c r="L80" s="27">
        <f t="shared" si="19"/>
        <v>7.0211801282466517</v>
      </c>
      <c r="V80" s="66"/>
      <c r="W80" s="71"/>
      <c r="X80" s="68"/>
      <c r="Y80" s="68"/>
      <c r="Z80" s="69"/>
      <c r="AA80" s="68"/>
      <c r="AB80" s="69"/>
      <c r="AD80" s="66"/>
      <c r="AE80" s="71"/>
      <c r="AF80" s="68"/>
      <c r="AG80" s="68"/>
      <c r="AH80" s="69"/>
      <c r="AI80" s="68"/>
      <c r="AJ80" s="69"/>
    </row>
    <row r="81" spans="1:36" ht="15.75" thickBot="1" x14ac:dyDescent="0.3">
      <c r="A81" s="497"/>
      <c r="B81" s="283" t="s">
        <v>141</v>
      </c>
      <c r="C81" s="58">
        <v>3.9087999999999998</v>
      </c>
      <c r="D81" s="58">
        <v>3.0851000000000002</v>
      </c>
      <c r="E81" s="59">
        <f t="shared" si="16"/>
        <v>21.072963569381901</v>
      </c>
      <c r="F81" s="60">
        <v>2.8820999999999999</v>
      </c>
      <c r="G81" s="61">
        <f t="shared" si="17"/>
        <v>6.5800136138212784</v>
      </c>
      <c r="H81" s="58">
        <v>4.0324999999999998</v>
      </c>
      <c r="I81" s="58">
        <v>3.1623000000000001</v>
      </c>
      <c r="J81" s="59">
        <f t="shared" si="18"/>
        <v>21.579665220086788</v>
      </c>
      <c r="K81" s="60">
        <v>2.923</v>
      </c>
      <c r="L81" s="61">
        <f t="shared" si="19"/>
        <v>7.5672769819435244</v>
      </c>
      <c r="V81" s="66"/>
      <c r="W81" s="71"/>
      <c r="X81" s="68"/>
      <c r="Y81" s="68"/>
      <c r="Z81" s="69"/>
      <c r="AA81" s="68"/>
      <c r="AB81" s="69"/>
      <c r="AD81" s="66"/>
      <c r="AE81" s="71"/>
      <c r="AF81" s="68"/>
      <c r="AG81" s="68"/>
      <c r="AH81" s="69"/>
      <c r="AI81" s="68"/>
      <c r="AJ81" s="69"/>
    </row>
    <row r="82" spans="1:36" x14ac:dyDescent="0.25">
      <c r="A82" s="498" t="s">
        <v>20</v>
      </c>
      <c r="B82" s="284" t="s">
        <v>135</v>
      </c>
      <c r="C82" s="22">
        <v>4.0208000000000004</v>
      </c>
      <c r="D82" s="22">
        <v>3.1991000000000001</v>
      </c>
      <c r="E82" s="62">
        <f t="shared" si="16"/>
        <v>20.436231595702353</v>
      </c>
      <c r="F82" s="24">
        <v>3.1000999999999999</v>
      </c>
      <c r="G82" s="23">
        <f t="shared" si="17"/>
        <v>3.094620361976812</v>
      </c>
      <c r="H82" s="22">
        <v>3.9422000000000001</v>
      </c>
      <c r="I82" s="22">
        <v>3.0855999999999999</v>
      </c>
      <c r="J82" s="62">
        <f t="shared" si="18"/>
        <v>21.728983816143277</v>
      </c>
      <c r="K82" s="24">
        <v>2.9792999999999998</v>
      </c>
      <c r="L82" s="23">
        <f t="shared" si="19"/>
        <v>3.445035001296346</v>
      </c>
      <c r="V82" s="66"/>
      <c r="W82" s="71"/>
      <c r="X82" s="68"/>
      <c r="Y82" s="68"/>
      <c r="Z82" s="69"/>
      <c r="AA82" s="68"/>
      <c r="AB82" s="69"/>
      <c r="AD82" s="66"/>
      <c r="AE82" s="71"/>
      <c r="AF82" s="68"/>
      <c r="AG82" s="68"/>
      <c r="AH82" s="69"/>
      <c r="AI82" s="68"/>
      <c r="AJ82" s="69"/>
    </row>
    <row r="83" spans="1:36" x14ac:dyDescent="0.25">
      <c r="A83" s="498"/>
      <c r="B83" s="285" t="s">
        <v>136</v>
      </c>
      <c r="C83" s="25">
        <v>3.9373</v>
      </c>
      <c r="D83" s="25">
        <v>3.1078000000000001</v>
      </c>
      <c r="E83" s="26">
        <f t="shared" si="16"/>
        <v>21.067736773931372</v>
      </c>
      <c r="F83" s="28">
        <v>3.012</v>
      </c>
      <c r="G83" s="27">
        <f t="shared" si="17"/>
        <v>3.082566445717231</v>
      </c>
      <c r="H83" s="25">
        <v>3.9521999999999999</v>
      </c>
      <c r="I83" s="25">
        <v>3.0912999999999999</v>
      </c>
      <c r="J83" s="26">
        <f t="shared" si="18"/>
        <v>21.782804513941603</v>
      </c>
      <c r="K83" s="28">
        <v>2.9842</v>
      </c>
      <c r="L83" s="27">
        <f t="shared" si="19"/>
        <v>3.464561834826771</v>
      </c>
      <c r="V83" s="66"/>
      <c r="W83" s="71"/>
      <c r="X83" s="68"/>
      <c r="Y83" s="68"/>
      <c r="Z83" s="69"/>
      <c r="AA83" s="68"/>
      <c r="AB83" s="69"/>
      <c r="AD83" s="66"/>
      <c r="AE83" s="71"/>
      <c r="AF83" s="68"/>
      <c r="AG83" s="68"/>
      <c r="AH83" s="69"/>
      <c r="AI83" s="68"/>
      <c r="AJ83" s="69"/>
    </row>
    <row r="84" spans="1:36" x14ac:dyDescent="0.25">
      <c r="A84" s="498"/>
      <c r="B84" s="285" t="s">
        <v>137</v>
      </c>
      <c r="C84" s="25">
        <v>4.0327000000000002</v>
      </c>
      <c r="D84" s="25">
        <v>3.1806999999999999</v>
      </c>
      <c r="E84" s="26">
        <f t="shared" si="16"/>
        <v>21.127284449624327</v>
      </c>
      <c r="F84" s="28">
        <v>3.0828000000000002</v>
      </c>
      <c r="G84" s="27">
        <f t="shared" si="17"/>
        <v>3.0779388184990619</v>
      </c>
      <c r="H84" s="25">
        <v>4.01</v>
      </c>
      <c r="I84" s="25">
        <v>3.1385999999999998</v>
      </c>
      <c r="J84" s="26">
        <f t="shared" si="18"/>
        <v>21.730673316708231</v>
      </c>
      <c r="K84" s="28">
        <v>3.0301</v>
      </c>
      <c r="L84" s="27">
        <f t="shared" si="19"/>
        <v>3.4569553304020846</v>
      </c>
      <c r="V84" s="66"/>
      <c r="W84" s="71"/>
      <c r="X84" s="68"/>
      <c r="Y84" s="68"/>
      <c r="Z84" s="69"/>
      <c r="AA84" s="68"/>
      <c r="AB84" s="69"/>
      <c r="AD84" s="66"/>
      <c r="AE84" s="71"/>
      <c r="AF84" s="68"/>
      <c r="AG84" s="68"/>
      <c r="AH84" s="69"/>
      <c r="AI84" s="68"/>
      <c r="AJ84" s="69"/>
    </row>
    <row r="85" spans="1:36" x14ac:dyDescent="0.25">
      <c r="A85" s="498"/>
      <c r="B85" s="285" t="s">
        <v>138</v>
      </c>
      <c r="C85" s="25">
        <v>3.9979</v>
      </c>
      <c r="D85" s="25">
        <v>3.157</v>
      </c>
      <c r="E85" s="26">
        <f t="shared" si="16"/>
        <v>21.033542609870182</v>
      </c>
      <c r="F85" s="28">
        <v>3.0596999999999999</v>
      </c>
      <c r="G85" s="27">
        <f t="shared" si="17"/>
        <v>3.0820399113082089</v>
      </c>
      <c r="H85" s="25">
        <v>3.9134000000000002</v>
      </c>
      <c r="I85" s="25">
        <v>3.0560999999999998</v>
      </c>
      <c r="J85" s="26">
        <f t="shared" si="18"/>
        <v>21.906781826544702</v>
      </c>
      <c r="K85" s="28">
        <v>2.9512</v>
      </c>
      <c r="L85" s="27">
        <f t="shared" si="19"/>
        <v>3.4324793036876993</v>
      </c>
      <c r="V85" s="66"/>
      <c r="W85" s="71"/>
      <c r="X85" s="68"/>
      <c r="Y85" s="68"/>
      <c r="Z85" s="69"/>
      <c r="AA85" s="68"/>
      <c r="AB85" s="69"/>
      <c r="AD85" s="66"/>
      <c r="AE85" s="71"/>
      <c r="AF85" s="68"/>
      <c r="AG85" s="68"/>
      <c r="AH85" s="69"/>
      <c r="AI85" s="68"/>
      <c r="AJ85" s="69"/>
    </row>
    <row r="86" spans="1:36" x14ac:dyDescent="0.25">
      <c r="A86" s="498"/>
      <c r="B86" s="285" t="s">
        <v>139</v>
      </c>
      <c r="C86" s="25">
        <v>4.0149999999999997</v>
      </c>
      <c r="D86" s="25">
        <v>3.1707000000000001</v>
      </c>
      <c r="E86" s="26">
        <f t="shared" si="16"/>
        <v>21.028642590286417</v>
      </c>
      <c r="F86" s="28">
        <v>3.0718999999999999</v>
      </c>
      <c r="G86" s="27">
        <f t="shared" si="17"/>
        <v>3.1160311603116102</v>
      </c>
      <c r="H86" s="25">
        <v>4.0831</v>
      </c>
      <c r="I86" s="25">
        <v>3.1936</v>
      </c>
      <c r="J86" s="26">
        <f t="shared" si="18"/>
        <v>21.784918321863287</v>
      </c>
      <c r="K86" s="28">
        <v>3.0844</v>
      </c>
      <c r="L86" s="27">
        <f t="shared" si="19"/>
        <v>3.4193386773547081</v>
      </c>
      <c r="V86" s="66"/>
      <c r="W86" s="71"/>
      <c r="X86" s="68"/>
      <c r="Y86" s="68"/>
      <c r="Z86" s="69"/>
      <c r="AA86" s="68"/>
      <c r="AB86" s="69"/>
      <c r="AD86" s="66"/>
      <c r="AE86" s="71"/>
      <c r="AF86" s="68"/>
      <c r="AG86" s="68"/>
      <c r="AH86" s="69"/>
      <c r="AI86" s="68"/>
      <c r="AJ86" s="69"/>
    </row>
    <row r="87" spans="1:36" x14ac:dyDescent="0.25">
      <c r="A87" s="498"/>
      <c r="B87" s="285" t="s">
        <v>140</v>
      </c>
      <c r="C87" s="25">
        <v>4</v>
      </c>
      <c r="D87" s="25">
        <v>3.1600999999999999</v>
      </c>
      <c r="E87" s="26">
        <f t="shared" si="16"/>
        <v>20.997500000000002</v>
      </c>
      <c r="F87" s="28">
        <v>3.0621</v>
      </c>
      <c r="G87" s="27">
        <f t="shared" si="17"/>
        <v>3.1011676845669398</v>
      </c>
      <c r="H87" s="25">
        <v>3.9741</v>
      </c>
      <c r="I87" s="25">
        <v>3.1118999999999999</v>
      </c>
      <c r="J87" s="26">
        <f t="shared" si="18"/>
        <v>21.695478221484112</v>
      </c>
      <c r="K87" s="28">
        <v>3.0057999999999998</v>
      </c>
      <c r="L87" s="27">
        <f t="shared" si="19"/>
        <v>3.4094925929496478</v>
      </c>
      <c r="V87" s="66"/>
      <c r="W87" s="71"/>
      <c r="X87" s="68"/>
      <c r="Y87" s="68"/>
      <c r="Z87" s="69"/>
      <c r="AA87" s="68"/>
      <c r="AB87" s="69"/>
      <c r="AD87" s="66"/>
      <c r="AE87" s="71"/>
      <c r="AF87" s="68"/>
      <c r="AG87" s="68"/>
      <c r="AH87" s="69"/>
      <c r="AI87" s="68"/>
      <c r="AJ87" s="69"/>
    </row>
    <row r="88" spans="1:36" ht="15.75" thickBot="1" x14ac:dyDescent="0.3">
      <c r="A88" s="499"/>
      <c r="B88" s="286" t="s">
        <v>141</v>
      </c>
      <c r="C88" s="58">
        <v>3.9981</v>
      </c>
      <c r="D88" s="58">
        <v>3.1690999999999998</v>
      </c>
      <c r="E88" s="63">
        <f t="shared" si="16"/>
        <v>20.734849053300323</v>
      </c>
      <c r="F88" s="60">
        <v>3.0708000000000002</v>
      </c>
      <c r="G88" s="61">
        <f t="shared" si="17"/>
        <v>3.1018270171341902</v>
      </c>
      <c r="H88" s="58">
        <v>3.9643000000000002</v>
      </c>
      <c r="I88" s="58">
        <v>3.1076000000000001</v>
      </c>
      <c r="J88" s="63">
        <f t="shared" si="18"/>
        <v>21.610372575233963</v>
      </c>
      <c r="K88" s="60">
        <v>3.0004</v>
      </c>
      <c r="L88" s="61">
        <f t="shared" si="19"/>
        <v>3.4496074140816124</v>
      </c>
      <c r="V88" s="66"/>
      <c r="W88" s="71"/>
      <c r="X88" s="68"/>
      <c r="Y88" s="68"/>
      <c r="Z88" s="69"/>
      <c r="AA88" s="68"/>
      <c r="AB88" s="69"/>
      <c r="AD88" s="66"/>
      <c r="AE88" s="71"/>
      <c r="AF88" s="68"/>
      <c r="AG88" s="68"/>
      <c r="AH88" s="69"/>
      <c r="AI88" s="68"/>
      <c r="AJ88" s="69"/>
    </row>
    <row r="89" spans="1:36" ht="16.5" thickBot="1" x14ac:dyDescent="0.3">
      <c r="A89" s="15" t="s">
        <v>2</v>
      </c>
      <c r="B89" s="492" t="s">
        <v>153</v>
      </c>
      <c r="C89" s="493"/>
      <c r="D89" s="493"/>
      <c r="E89" s="493"/>
      <c r="F89" s="493"/>
      <c r="G89" s="494"/>
      <c r="H89" s="492" t="s">
        <v>154</v>
      </c>
      <c r="I89" s="493"/>
      <c r="J89" s="493"/>
      <c r="K89" s="493"/>
      <c r="L89" s="494"/>
      <c r="V89" s="66"/>
      <c r="W89" s="71"/>
      <c r="X89" s="68"/>
      <c r="Y89" s="68"/>
      <c r="Z89" s="69"/>
      <c r="AA89" s="68"/>
      <c r="AB89" s="69"/>
      <c r="AD89" s="66"/>
      <c r="AE89" s="71"/>
      <c r="AF89" s="68"/>
      <c r="AG89" s="68"/>
      <c r="AH89" s="69"/>
      <c r="AI89" s="68"/>
      <c r="AJ89" s="69"/>
    </row>
    <row r="90" spans="1:36" ht="15.75" thickBot="1" x14ac:dyDescent="0.3">
      <c r="A90" s="16"/>
      <c r="B90" s="18" t="s">
        <v>6</v>
      </c>
      <c r="C90" s="17" t="s">
        <v>7</v>
      </c>
      <c r="D90" s="17" t="s">
        <v>8</v>
      </c>
      <c r="E90" s="136" t="s">
        <v>9</v>
      </c>
      <c r="F90" s="20" t="s">
        <v>10</v>
      </c>
      <c r="G90" s="21" t="s">
        <v>11</v>
      </c>
      <c r="H90" s="17" t="s">
        <v>7</v>
      </c>
      <c r="I90" s="17" t="s">
        <v>8</v>
      </c>
      <c r="J90" s="19" t="s">
        <v>9</v>
      </c>
      <c r="K90" s="20" t="s">
        <v>10</v>
      </c>
      <c r="L90" s="21" t="s">
        <v>11</v>
      </c>
      <c r="V90" s="66"/>
      <c r="W90" s="71"/>
      <c r="X90" s="68"/>
      <c r="Y90" s="68"/>
      <c r="Z90" s="69"/>
      <c r="AA90" s="68"/>
      <c r="AB90" s="69"/>
      <c r="AD90" s="66"/>
      <c r="AE90" s="71"/>
      <c r="AF90" s="68"/>
      <c r="AG90" s="68"/>
      <c r="AH90" s="69"/>
      <c r="AI90" s="68"/>
      <c r="AJ90" s="69"/>
    </row>
    <row r="91" spans="1:36" x14ac:dyDescent="0.25">
      <c r="A91" s="495" t="s">
        <v>134</v>
      </c>
      <c r="B91" s="281" t="s">
        <v>135</v>
      </c>
      <c r="C91" s="34">
        <v>3.831</v>
      </c>
      <c r="D91" s="135">
        <v>3.0884999999999998</v>
      </c>
      <c r="E91" s="26">
        <f t="shared" ref="E91:E104" si="20">((C91-D91)/C91)*100</f>
        <v>19.381362568519972</v>
      </c>
      <c r="F91" s="34">
        <v>2.8786999999999998</v>
      </c>
      <c r="G91" s="33">
        <f t="shared" ref="G91:G104" si="21">((D91-F91)/D91)*100</f>
        <v>6.7929415573903196</v>
      </c>
      <c r="H91" s="30">
        <v>3.9639000000000002</v>
      </c>
      <c r="I91" s="30">
        <v>3.1705000000000001</v>
      </c>
      <c r="J91" s="31">
        <f t="shared" ref="J91:J104" si="22">((H91-I91)/H91)*100</f>
        <v>20.015641161482382</v>
      </c>
      <c r="K91" s="30">
        <v>2.9416000000000002</v>
      </c>
      <c r="L91" s="33">
        <f t="shared" ref="L91:L104" si="23">((I91-K91)/I91)*100</f>
        <v>7.219681438258946</v>
      </c>
      <c r="V91" s="66"/>
      <c r="W91" s="71"/>
      <c r="X91" s="68"/>
      <c r="Y91" s="68"/>
      <c r="Z91" s="69"/>
      <c r="AA91" s="68"/>
      <c r="AB91" s="69"/>
      <c r="AD91" s="66"/>
      <c r="AE91" s="71"/>
      <c r="AF91" s="68"/>
      <c r="AG91" s="68"/>
      <c r="AH91" s="69"/>
      <c r="AI91" s="68"/>
      <c r="AJ91" s="69"/>
    </row>
    <row r="92" spans="1:36" x14ac:dyDescent="0.25">
      <c r="A92" s="496"/>
      <c r="B92" s="282" t="s">
        <v>136</v>
      </c>
      <c r="C92" s="38">
        <v>3.8765000000000001</v>
      </c>
      <c r="D92" s="35">
        <v>3.1063999999999998</v>
      </c>
      <c r="E92" s="26">
        <f t="shared" si="20"/>
        <v>19.865858377402301</v>
      </c>
      <c r="F92" s="38">
        <v>2.8959999999999999</v>
      </c>
      <c r="G92" s="37">
        <f t="shared" si="21"/>
        <v>6.7731135719804252</v>
      </c>
      <c r="H92" s="35">
        <v>3.9077999999999999</v>
      </c>
      <c r="I92" s="35">
        <v>3.0956999999999999</v>
      </c>
      <c r="J92" s="26">
        <f t="shared" si="22"/>
        <v>20.781513895286352</v>
      </c>
      <c r="K92" s="35">
        <v>2.8702999999999999</v>
      </c>
      <c r="L92" s="37">
        <f t="shared" si="23"/>
        <v>7.2810672868818056</v>
      </c>
      <c r="V92" s="66"/>
      <c r="W92" s="71"/>
      <c r="X92" s="68"/>
      <c r="Y92" s="68"/>
      <c r="Z92" s="69"/>
      <c r="AA92" s="68"/>
      <c r="AB92" s="69"/>
      <c r="AD92" s="66"/>
      <c r="AE92" s="71"/>
      <c r="AF92" s="68"/>
      <c r="AG92" s="68"/>
      <c r="AH92" s="69"/>
      <c r="AI92" s="68"/>
      <c r="AJ92" s="69"/>
    </row>
    <row r="93" spans="1:36" x14ac:dyDescent="0.25">
      <c r="A93" s="496"/>
      <c r="B93" s="282" t="s">
        <v>137</v>
      </c>
      <c r="C93" s="38">
        <v>3.9096000000000002</v>
      </c>
      <c r="D93" s="35">
        <v>3.1269999999999998</v>
      </c>
      <c r="E93" s="26">
        <f t="shared" si="20"/>
        <v>20.017393083691434</v>
      </c>
      <c r="F93" s="38">
        <v>2.9144999999999999</v>
      </c>
      <c r="G93" s="37">
        <f t="shared" si="21"/>
        <v>6.7956507834985578</v>
      </c>
      <c r="H93" s="35">
        <v>4.0514999999999999</v>
      </c>
      <c r="I93" s="35">
        <v>3.2176999999999998</v>
      </c>
      <c r="J93" s="26">
        <f t="shared" si="22"/>
        <v>20.580032086881406</v>
      </c>
      <c r="K93" s="35">
        <v>2.9841000000000002</v>
      </c>
      <c r="L93" s="37">
        <f t="shared" si="23"/>
        <v>7.259843987941685</v>
      </c>
      <c r="V93" s="66"/>
      <c r="W93" s="71"/>
      <c r="X93" s="68"/>
      <c r="Y93" s="68"/>
      <c r="Z93" s="69"/>
      <c r="AA93" s="68"/>
      <c r="AB93" s="69"/>
      <c r="AD93" s="66"/>
      <c r="AE93" s="71"/>
      <c r="AF93" s="68"/>
      <c r="AG93" s="68"/>
      <c r="AH93" s="69"/>
      <c r="AI93" s="68"/>
      <c r="AJ93" s="69"/>
    </row>
    <row r="94" spans="1:36" x14ac:dyDescent="0.25">
      <c r="A94" s="496"/>
      <c r="B94" s="282" t="s">
        <v>138</v>
      </c>
      <c r="C94" s="38">
        <v>4.0327000000000002</v>
      </c>
      <c r="D94" s="35">
        <v>3.2263000000000002</v>
      </c>
      <c r="E94" s="26">
        <f t="shared" si="20"/>
        <v>19.996528380489497</v>
      </c>
      <c r="F94" s="38">
        <v>3.0081000000000002</v>
      </c>
      <c r="G94" s="37">
        <f t="shared" si="21"/>
        <v>6.7631652357189331</v>
      </c>
      <c r="H94" s="35">
        <v>4.0174000000000003</v>
      </c>
      <c r="I94" s="35">
        <v>3.2</v>
      </c>
      <c r="J94" s="26">
        <f t="shared" si="22"/>
        <v>20.346492756509189</v>
      </c>
      <c r="K94" s="35">
        <v>2.9681999999999999</v>
      </c>
      <c r="L94" s="37">
        <f t="shared" si="23"/>
        <v>7.2437500000000075</v>
      </c>
      <c r="V94" s="66"/>
      <c r="W94" s="71"/>
      <c r="X94" s="68"/>
      <c r="Y94" s="68"/>
      <c r="Z94" s="69"/>
      <c r="AA94" s="68"/>
      <c r="AB94" s="69"/>
      <c r="AD94" s="66"/>
      <c r="AE94" s="71"/>
      <c r="AF94" s="68"/>
      <c r="AG94" s="68"/>
      <c r="AH94" s="69"/>
      <c r="AI94" s="68"/>
      <c r="AJ94" s="69"/>
    </row>
    <row r="95" spans="1:36" x14ac:dyDescent="0.25">
      <c r="A95" s="496"/>
      <c r="B95" s="282" t="s">
        <v>139</v>
      </c>
      <c r="C95" s="38">
        <v>3.9529000000000001</v>
      </c>
      <c r="D95" s="35">
        <v>3.1785999999999999</v>
      </c>
      <c r="E95" s="26">
        <f t="shared" si="20"/>
        <v>19.588150471805516</v>
      </c>
      <c r="F95" s="38">
        <v>2.9630999999999998</v>
      </c>
      <c r="G95" s="37">
        <f t="shared" si="21"/>
        <v>6.7797143396463868</v>
      </c>
      <c r="H95" s="35">
        <v>3.9645999999999999</v>
      </c>
      <c r="I95" s="35">
        <v>3.1610999999999998</v>
      </c>
      <c r="J95" s="26">
        <f t="shared" si="22"/>
        <v>20.266861726277561</v>
      </c>
      <c r="K95" s="35">
        <v>2.9293999999999998</v>
      </c>
      <c r="L95" s="37">
        <f t="shared" si="23"/>
        <v>7.3297269937679932</v>
      </c>
      <c r="V95" s="66"/>
      <c r="W95" s="71"/>
      <c r="X95" s="68"/>
      <c r="Y95" s="68"/>
      <c r="Z95" s="69"/>
      <c r="AA95" s="68"/>
      <c r="AB95" s="69"/>
      <c r="AD95" s="66"/>
      <c r="AE95" s="71"/>
      <c r="AF95" s="68"/>
      <c r="AG95" s="68"/>
      <c r="AH95" s="69"/>
      <c r="AI95" s="68"/>
      <c r="AJ95" s="69"/>
    </row>
    <row r="96" spans="1:36" x14ac:dyDescent="0.25">
      <c r="A96" s="496"/>
      <c r="B96" s="282" t="s">
        <v>140</v>
      </c>
      <c r="C96" s="38">
        <v>4.0281000000000002</v>
      </c>
      <c r="D96" s="35">
        <v>3.2551000000000001</v>
      </c>
      <c r="E96" s="26">
        <f t="shared" si="20"/>
        <v>19.19018892281721</v>
      </c>
      <c r="F96" s="38">
        <v>3.0236999999999998</v>
      </c>
      <c r="G96" s="37">
        <f t="shared" si="21"/>
        <v>7.1088445823477091</v>
      </c>
      <c r="H96" s="35">
        <v>4.0250000000000004</v>
      </c>
      <c r="I96" s="35">
        <v>3.2067000000000001</v>
      </c>
      <c r="J96" s="26">
        <f t="shared" si="22"/>
        <v>20.330434782608702</v>
      </c>
      <c r="K96" s="35">
        <v>2.9733999999999998</v>
      </c>
      <c r="L96" s="37">
        <f t="shared" si="23"/>
        <v>7.2753921476907806</v>
      </c>
      <c r="V96" s="66"/>
      <c r="W96" s="71"/>
      <c r="X96" s="68"/>
      <c r="Y96" s="68"/>
      <c r="Z96" s="69"/>
      <c r="AA96" s="68"/>
      <c r="AB96" s="69"/>
      <c r="AD96" s="66"/>
      <c r="AE96" s="71"/>
      <c r="AF96" s="68"/>
      <c r="AG96" s="68"/>
      <c r="AH96" s="69"/>
      <c r="AI96" s="68"/>
      <c r="AJ96" s="69"/>
    </row>
    <row r="97" spans="1:36" ht="15.75" thickBot="1" x14ac:dyDescent="0.3">
      <c r="A97" s="497"/>
      <c r="B97" s="283" t="s">
        <v>141</v>
      </c>
      <c r="C97" s="44">
        <v>3.9325999999999999</v>
      </c>
      <c r="D97" s="40">
        <v>3.1758999999999999</v>
      </c>
      <c r="E97" s="41">
        <f t="shared" si="20"/>
        <v>19.241723033107867</v>
      </c>
      <c r="F97" s="44">
        <v>2.9590000000000001</v>
      </c>
      <c r="G97" s="43">
        <f t="shared" si="21"/>
        <v>6.8295601246890598</v>
      </c>
      <c r="H97" s="40">
        <v>4.0195999999999996</v>
      </c>
      <c r="I97" s="40">
        <v>3.2023000000000001</v>
      </c>
      <c r="J97" s="41">
        <f t="shared" si="22"/>
        <v>20.332868942183289</v>
      </c>
      <c r="K97" s="40">
        <v>2.9670999999999998</v>
      </c>
      <c r="L97" s="43">
        <f t="shared" si="23"/>
        <v>7.3447209817943451</v>
      </c>
      <c r="V97" s="66"/>
      <c r="W97" s="71"/>
      <c r="X97" s="68"/>
      <c r="Y97" s="68"/>
      <c r="Z97" s="69"/>
      <c r="AA97" s="68"/>
      <c r="AB97" s="69"/>
      <c r="AD97" s="66"/>
      <c r="AE97" s="71"/>
      <c r="AF97" s="68"/>
      <c r="AG97" s="68"/>
      <c r="AH97" s="69"/>
      <c r="AI97" s="68"/>
      <c r="AJ97" s="69"/>
    </row>
    <row r="98" spans="1:36" x14ac:dyDescent="0.25">
      <c r="A98" s="498" t="s">
        <v>20</v>
      </c>
      <c r="B98" s="284" t="s">
        <v>135</v>
      </c>
      <c r="C98" s="49">
        <v>3.9392999999999998</v>
      </c>
      <c r="D98" s="50">
        <v>3.1349999999999998</v>
      </c>
      <c r="E98" s="51">
        <f t="shared" si="20"/>
        <v>20.417333028710686</v>
      </c>
      <c r="F98" s="52">
        <v>3.0331999999999999</v>
      </c>
      <c r="G98" s="53">
        <f t="shared" si="21"/>
        <v>3.247208931419455</v>
      </c>
      <c r="H98" s="45">
        <v>4.0433000000000003</v>
      </c>
      <c r="I98" s="45">
        <v>3.2008000000000001</v>
      </c>
      <c r="J98" s="54">
        <f t="shared" si="22"/>
        <v>20.836940123166727</v>
      </c>
      <c r="K98" s="47">
        <v>3.0831</v>
      </c>
      <c r="L98" s="48">
        <f t="shared" si="23"/>
        <v>3.6772056985753601</v>
      </c>
      <c r="V98" s="66"/>
      <c r="W98" s="71"/>
      <c r="X98" s="68"/>
      <c r="Y98" s="68"/>
      <c r="Z98" s="69"/>
      <c r="AA98" s="68"/>
      <c r="AB98" s="69"/>
      <c r="AD98" s="66"/>
      <c r="AE98" s="71"/>
      <c r="AF98" s="68"/>
      <c r="AG98" s="68"/>
      <c r="AH98" s="69"/>
      <c r="AI98" s="68"/>
      <c r="AJ98" s="69"/>
    </row>
    <row r="99" spans="1:36" x14ac:dyDescent="0.25">
      <c r="A99" s="498"/>
      <c r="B99" s="285" t="s">
        <v>136</v>
      </c>
      <c r="C99" s="25">
        <v>4.0026999999999999</v>
      </c>
      <c r="D99" s="55">
        <v>3.1863000000000001</v>
      </c>
      <c r="E99" s="56">
        <f t="shared" si="20"/>
        <v>20.396232543033445</v>
      </c>
      <c r="F99" s="57">
        <v>3.0825999999999998</v>
      </c>
      <c r="G99" s="27">
        <f t="shared" si="21"/>
        <v>3.2545585789159945</v>
      </c>
      <c r="H99" s="25">
        <v>4.0145999999999997</v>
      </c>
      <c r="I99" s="25">
        <v>3.1714000000000002</v>
      </c>
      <c r="J99" s="26">
        <f t="shared" si="22"/>
        <v>21.003337816968056</v>
      </c>
      <c r="K99" s="28">
        <v>3.0554999999999999</v>
      </c>
      <c r="L99" s="27">
        <f t="shared" si="23"/>
        <v>3.6545374282651295</v>
      </c>
      <c r="V99" s="66"/>
      <c r="W99" s="71"/>
      <c r="X99" s="68"/>
      <c r="Y99" s="68"/>
      <c r="Z99" s="69"/>
      <c r="AA99" s="68"/>
      <c r="AB99" s="69"/>
      <c r="AD99" s="66"/>
      <c r="AE99" s="71"/>
      <c r="AF99" s="68"/>
      <c r="AG99" s="68"/>
      <c r="AH99" s="69"/>
      <c r="AI99" s="68"/>
      <c r="AJ99" s="69"/>
    </row>
    <row r="100" spans="1:36" x14ac:dyDescent="0.25">
      <c r="A100" s="498"/>
      <c r="B100" s="285" t="s">
        <v>137</v>
      </c>
      <c r="C100" s="25">
        <v>4.0019</v>
      </c>
      <c r="D100" s="25">
        <v>3.1863000000000001</v>
      </c>
      <c r="E100" s="26">
        <f t="shared" si="20"/>
        <v>20.380319348309548</v>
      </c>
      <c r="F100" s="28">
        <v>3.0823999999999998</v>
      </c>
      <c r="G100" s="27">
        <f t="shared" si="21"/>
        <v>3.2608354517779348</v>
      </c>
      <c r="H100" s="25">
        <v>3.9961000000000002</v>
      </c>
      <c r="I100" s="25">
        <v>3.1591999999999998</v>
      </c>
      <c r="J100" s="26">
        <f t="shared" si="22"/>
        <v>20.942919346362711</v>
      </c>
      <c r="K100" s="28">
        <v>3.0434999999999999</v>
      </c>
      <c r="L100" s="27">
        <f t="shared" si="23"/>
        <v>3.6623195745758395</v>
      </c>
      <c r="V100" s="66"/>
      <c r="W100" s="71"/>
      <c r="X100" s="68"/>
      <c r="Y100" s="68"/>
      <c r="Z100" s="69"/>
      <c r="AA100" s="68"/>
      <c r="AB100" s="69"/>
      <c r="AD100" s="66"/>
      <c r="AE100" s="71"/>
      <c r="AF100" s="68"/>
      <c r="AG100" s="68"/>
      <c r="AH100" s="69"/>
      <c r="AI100" s="68"/>
      <c r="AJ100" s="69"/>
    </row>
    <row r="101" spans="1:36" x14ac:dyDescent="0.25">
      <c r="A101" s="498"/>
      <c r="B101" s="285" t="s">
        <v>138</v>
      </c>
      <c r="C101" s="25">
        <v>4.0448000000000004</v>
      </c>
      <c r="D101" s="25">
        <v>3.2086000000000001</v>
      </c>
      <c r="E101" s="26">
        <f t="shared" si="20"/>
        <v>20.673457278481017</v>
      </c>
      <c r="F101" s="28">
        <v>3.1052</v>
      </c>
      <c r="G101" s="27">
        <f t="shared" si="21"/>
        <v>3.2225892912796907</v>
      </c>
      <c r="H101" s="25">
        <v>3.9224000000000001</v>
      </c>
      <c r="I101" s="25">
        <v>3.0939999999999999</v>
      </c>
      <c r="J101" s="26">
        <f t="shared" si="22"/>
        <v>21.119722618804822</v>
      </c>
      <c r="K101" s="28">
        <v>2.9807000000000001</v>
      </c>
      <c r="L101" s="27">
        <f t="shared" si="23"/>
        <v>3.6619263089851244</v>
      </c>
      <c r="V101" s="66"/>
      <c r="W101" s="71"/>
      <c r="X101" s="68"/>
      <c r="Y101" s="68"/>
      <c r="Z101" s="69"/>
      <c r="AA101" s="68"/>
      <c r="AB101" s="69"/>
      <c r="AD101" s="66"/>
      <c r="AE101" s="71"/>
      <c r="AF101" s="68"/>
      <c r="AG101" s="68"/>
      <c r="AH101" s="69"/>
      <c r="AI101" s="68"/>
      <c r="AJ101" s="69"/>
    </row>
    <row r="102" spans="1:36" x14ac:dyDescent="0.25">
      <c r="A102" s="498"/>
      <c r="B102" s="285" t="s">
        <v>139</v>
      </c>
      <c r="C102" s="25">
        <v>4.0454999999999997</v>
      </c>
      <c r="D102" s="25">
        <v>3.2172999999999998</v>
      </c>
      <c r="E102" s="26">
        <f t="shared" si="20"/>
        <v>20.472129526634532</v>
      </c>
      <c r="F102" s="28">
        <v>3.113</v>
      </c>
      <c r="G102" s="27">
        <f t="shared" si="21"/>
        <v>3.2418487551673718</v>
      </c>
      <c r="H102" s="25">
        <v>4.0441000000000003</v>
      </c>
      <c r="I102" s="25">
        <v>3.1981999999999999</v>
      </c>
      <c r="J102" s="26">
        <f t="shared" si="22"/>
        <v>20.916891273707382</v>
      </c>
      <c r="K102" s="28">
        <v>3.0798999999999999</v>
      </c>
      <c r="L102" s="27">
        <f t="shared" si="23"/>
        <v>3.6989556625601923</v>
      </c>
      <c r="V102" s="66"/>
      <c r="W102" s="71"/>
      <c r="X102" s="68"/>
      <c r="Y102" s="68"/>
      <c r="Z102" s="69"/>
      <c r="AA102" s="68"/>
      <c r="AB102" s="69"/>
      <c r="AD102" s="66"/>
      <c r="AE102" s="71"/>
      <c r="AF102" s="68"/>
      <c r="AG102" s="68"/>
      <c r="AH102" s="69"/>
      <c r="AI102" s="68"/>
      <c r="AJ102" s="69"/>
    </row>
    <row r="103" spans="1:36" x14ac:dyDescent="0.25">
      <c r="A103" s="498"/>
      <c r="B103" s="285" t="s">
        <v>140</v>
      </c>
      <c r="C103" s="25">
        <v>3.9376000000000002</v>
      </c>
      <c r="D103" s="25">
        <v>3.1291000000000002</v>
      </c>
      <c r="E103" s="26">
        <f t="shared" si="20"/>
        <v>20.532811865095489</v>
      </c>
      <c r="F103" s="28">
        <v>3.0268000000000002</v>
      </c>
      <c r="G103" s="27">
        <f t="shared" si="21"/>
        <v>3.2693106644082981</v>
      </c>
      <c r="H103" s="25">
        <v>4.0521000000000003</v>
      </c>
      <c r="I103" s="25">
        <v>3.1957</v>
      </c>
      <c r="J103" s="26">
        <f t="shared" si="22"/>
        <v>21.134720268502758</v>
      </c>
      <c r="K103" s="28">
        <v>3.0789</v>
      </c>
      <c r="L103" s="27">
        <f t="shared" si="23"/>
        <v>3.6549112870419633</v>
      </c>
      <c r="V103" s="66"/>
      <c r="W103" s="71"/>
      <c r="X103" s="68"/>
      <c r="Y103" s="68"/>
      <c r="Z103" s="69"/>
      <c r="AA103" s="68"/>
      <c r="AB103" s="69"/>
      <c r="AD103" s="66"/>
      <c r="AE103" s="71"/>
      <c r="AF103" s="68"/>
      <c r="AG103" s="68"/>
      <c r="AH103" s="69"/>
      <c r="AI103" s="68"/>
      <c r="AJ103" s="69"/>
    </row>
    <row r="104" spans="1:36" ht="15.75" thickBot="1" x14ac:dyDescent="0.3">
      <c r="A104" s="499"/>
      <c r="B104" s="286" t="s">
        <v>141</v>
      </c>
      <c r="C104" s="58">
        <v>3.8932000000000002</v>
      </c>
      <c r="D104" s="58">
        <v>3.1027999999999998</v>
      </c>
      <c r="E104" s="59">
        <f t="shared" si="20"/>
        <v>20.302065139217106</v>
      </c>
      <c r="F104" s="60">
        <v>3.0015999999999998</v>
      </c>
      <c r="G104" s="61">
        <f t="shared" si="21"/>
        <v>3.2615701946628843</v>
      </c>
      <c r="H104" s="58">
        <v>4.0892999999999997</v>
      </c>
      <c r="I104" s="58">
        <v>3.2416</v>
      </c>
      <c r="J104" s="59">
        <f t="shared" si="22"/>
        <v>20.729709241190417</v>
      </c>
      <c r="K104" s="60">
        <v>3.1215999999999999</v>
      </c>
      <c r="L104" s="61">
        <f t="shared" si="23"/>
        <v>3.7018756169792728</v>
      </c>
      <c r="V104" s="66"/>
      <c r="W104" s="71"/>
      <c r="X104" s="68"/>
      <c r="Y104" s="68"/>
      <c r="Z104" s="69"/>
      <c r="AA104" s="68"/>
      <c r="AB104" s="69"/>
      <c r="AD104" s="66"/>
      <c r="AE104" s="71"/>
      <c r="AF104" s="68"/>
      <c r="AG104" s="68"/>
      <c r="AH104" s="69"/>
      <c r="AI104" s="68"/>
      <c r="AJ104" s="69"/>
    </row>
    <row r="105" spans="1:36" x14ac:dyDescent="0.25">
      <c r="A105" s="66"/>
      <c r="B105" s="67"/>
      <c r="C105" s="68"/>
      <c r="D105" s="68"/>
      <c r="E105" s="69"/>
      <c r="F105" s="68"/>
      <c r="G105" s="69"/>
      <c r="V105" s="66"/>
      <c r="W105" s="71"/>
      <c r="X105" s="68"/>
      <c r="Y105" s="68"/>
      <c r="Z105" s="69"/>
      <c r="AA105" s="68"/>
      <c r="AB105" s="69"/>
      <c r="AD105" s="66"/>
      <c r="AE105" s="71"/>
      <c r="AF105" s="68"/>
      <c r="AG105" s="68"/>
      <c r="AH105" s="69"/>
      <c r="AI105" s="68"/>
      <c r="AJ105" s="69"/>
    </row>
    <row r="106" spans="1:36" x14ac:dyDescent="0.25">
      <c r="A106" s="66"/>
      <c r="B106" s="67"/>
      <c r="C106" s="68"/>
      <c r="D106" s="68"/>
      <c r="E106" s="69"/>
      <c r="F106" s="68"/>
      <c r="G106" s="69"/>
      <c r="V106" s="66"/>
      <c r="W106" s="71"/>
      <c r="X106" s="68"/>
      <c r="Y106" s="68"/>
      <c r="Z106" s="69"/>
      <c r="AA106" s="68"/>
      <c r="AB106" s="69"/>
      <c r="AD106" s="66"/>
      <c r="AE106" s="71"/>
      <c r="AF106" s="68"/>
      <c r="AG106" s="68"/>
      <c r="AH106" s="69"/>
      <c r="AI106" s="68"/>
      <c r="AJ106" s="69"/>
    </row>
    <row r="107" spans="1:36" ht="15.75" thickBot="1" x14ac:dyDescent="0.3">
      <c r="A107" s="66"/>
      <c r="C107"/>
      <c r="P107" s="66"/>
      <c r="Q107" s="71"/>
      <c r="R107" s="68"/>
      <c r="S107" s="68"/>
      <c r="T107" s="69"/>
      <c r="U107" s="68"/>
      <c r="V107" s="69"/>
      <c r="W107"/>
      <c r="X107" s="66"/>
      <c r="Y107" s="71"/>
      <c r="Z107" s="68"/>
      <c r="AA107" s="68"/>
      <c r="AB107" s="69"/>
      <c r="AC107" s="68"/>
      <c r="AD107" s="69"/>
    </row>
    <row r="108" spans="1:36" ht="16.5" thickBot="1" x14ac:dyDescent="0.3">
      <c r="A108" s="15" t="s">
        <v>129</v>
      </c>
      <c r="B108" s="492" t="s">
        <v>155</v>
      </c>
      <c r="C108" s="493"/>
      <c r="D108" s="493"/>
      <c r="E108" s="493"/>
      <c r="F108" s="493"/>
      <c r="G108" s="494"/>
      <c r="H108" s="492" t="s">
        <v>156</v>
      </c>
      <c r="I108" s="493"/>
      <c r="J108" s="493"/>
      <c r="K108" s="493"/>
      <c r="L108" s="494"/>
      <c r="M108" s="3"/>
      <c r="N108" s="3"/>
      <c r="O108" s="3"/>
      <c r="P108" s="3"/>
      <c r="Q108" s="3"/>
      <c r="R108" s="3"/>
      <c r="S108" s="3"/>
      <c r="T108" s="3"/>
      <c r="U108" s="3"/>
      <c r="W108"/>
    </row>
    <row r="109" spans="1:36" ht="15.75" customHeight="1" thickBot="1" x14ac:dyDescent="0.3">
      <c r="A109" s="16"/>
      <c r="B109" s="18" t="s">
        <v>6</v>
      </c>
      <c r="C109" s="17" t="s">
        <v>7</v>
      </c>
      <c r="D109" s="17" t="s">
        <v>8</v>
      </c>
      <c r="E109" s="136" t="s">
        <v>9</v>
      </c>
      <c r="F109" s="20" t="s">
        <v>132</v>
      </c>
      <c r="G109" s="21" t="s">
        <v>133</v>
      </c>
      <c r="H109" s="17" t="s">
        <v>7</v>
      </c>
      <c r="I109" s="17" t="s">
        <v>8</v>
      </c>
      <c r="J109" s="19" t="s">
        <v>9</v>
      </c>
      <c r="K109" s="20" t="s">
        <v>132</v>
      </c>
      <c r="L109" s="21" t="s">
        <v>133</v>
      </c>
      <c r="M109" s="64"/>
      <c r="N109" s="65"/>
      <c r="O109" s="64"/>
      <c r="P109" s="65"/>
      <c r="Q109" s="3"/>
      <c r="R109" s="3"/>
      <c r="S109" s="3"/>
      <c r="T109" s="3"/>
      <c r="U109" s="3"/>
      <c r="W109"/>
    </row>
    <row r="110" spans="1:36" ht="15" customHeight="1" x14ac:dyDescent="0.25">
      <c r="A110" s="495" t="s">
        <v>134</v>
      </c>
      <c r="B110" s="281" t="s">
        <v>135</v>
      </c>
      <c r="C110" s="34">
        <v>3.9777</v>
      </c>
      <c r="D110" s="135">
        <v>3.2206999999999999</v>
      </c>
      <c r="E110" s="26">
        <f t="shared" ref="E110:E123" si="24">((C110-D110)/C110)*100</f>
        <v>19.031098373431885</v>
      </c>
      <c r="F110" s="34">
        <v>3.0055000000000001</v>
      </c>
      <c r="G110" s="33">
        <f t="shared" ref="G110:G123" si="25">((D110-F110)/D110)*100</f>
        <v>6.6817772533921156</v>
      </c>
      <c r="H110" s="49">
        <v>3.9300999999999999</v>
      </c>
      <c r="I110" s="30">
        <v>3.093</v>
      </c>
      <c r="J110" s="31">
        <f t="shared" ref="J110:J123" si="26">((H110-I110)/H110)*100</f>
        <v>21.299712475509526</v>
      </c>
      <c r="K110" s="30">
        <v>2.8774999999999999</v>
      </c>
      <c r="L110" s="33">
        <f t="shared" ref="L110:L123" si="27">((I110-K110)/I110)*100</f>
        <v>6.9673456191399943</v>
      </c>
      <c r="M110" s="68"/>
      <c r="N110" s="69"/>
      <c r="O110" s="68"/>
      <c r="P110" s="69"/>
      <c r="Q110" s="3"/>
      <c r="R110" s="3"/>
      <c r="S110" s="3"/>
      <c r="T110" s="3"/>
      <c r="U110" s="3"/>
      <c r="W110"/>
    </row>
    <row r="111" spans="1:36" ht="15" customHeight="1" x14ac:dyDescent="0.25">
      <c r="A111" s="496"/>
      <c r="B111" s="282" t="s">
        <v>136</v>
      </c>
      <c r="C111" s="38">
        <v>3.8519000000000001</v>
      </c>
      <c r="D111" s="35">
        <v>3.0912000000000002</v>
      </c>
      <c r="E111" s="26">
        <f t="shared" si="24"/>
        <v>19.748695448999193</v>
      </c>
      <c r="F111" s="38">
        <v>2.8841999999999999</v>
      </c>
      <c r="G111" s="37">
        <f t="shared" si="25"/>
        <v>6.6964285714285809</v>
      </c>
      <c r="H111" s="25">
        <v>4.0602</v>
      </c>
      <c r="I111" s="35">
        <v>3.1953</v>
      </c>
      <c r="J111" s="26">
        <f t="shared" si="26"/>
        <v>21.301906310033988</v>
      </c>
      <c r="K111" s="35">
        <v>2.9725999999999999</v>
      </c>
      <c r="L111" s="37">
        <f t="shared" si="27"/>
        <v>6.9696116170625642</v>
      </c>
      <c r="M111" s="68"/>
      <c r="N111" s="69"/>
      <c r="O111" s="68"/>
      <c r="P111" s="69"/>
      <c r="Q111" s="3"/>
      <c r="R111" s="3"/>
      <c r="S111" s="3"/>
      <c r="T111" s="3"/>
      <c r="U111" s="3"/>
      <c r="W111"/>
    </row>
    <row r="112" spans="1:36" ht="15" customHeight="1" x14ac:dyDescent="0.25">
      <c r="A112" s="496"/>
      <c r="B112" s="282" t="s">
        <v>137</v>
      </c>
      <c r="C112" s="38">
        <v>3.9434999999999998</v>
      </c>
      <c r="D112" s="35">
        <v>3.1562000000000001</v>
      </c>
      <c r="E112" s="26">
        <f t="shared" si="24"/>
        <v>19.964498541904394</v>
      </c>
      <c r="F112" s="38">
        <v>2.9447000000000001</v>
      </c>
      <c r="G112" s="37">
        <f t="shared" si="25"/>
        <v>6.701096254990178</v>
      </c>
      <c r="H112" s="25">
        <v>3.9944999999999999</v>
      </c>
      <c r="I112" s="35">
        <v>3.1429999999999998</v>
      </c>
      <c r="J112" s="26">
        <f t="shared" si="26"/>
        <v>21.31681061459507</v>
      </c>
      <c r="K112" s="35">
        <v>2.9249000000000001</v>
      </c>
      <c r="L112" s="37">
        <f t="shared" si="27"/>
        <v>6.9392300349984017</v>
      </c>
      <c r="M112" s="68"/>
      <c r="N112" s="69"/>
      <c r="O112" s="68"/>
      <c r="P112" s="69"/>
      <c r="Q112" s="3"/>
      <c r="R112" s="3"/>
      <c r="S112" s="3"/>
      <c r="T112" s="3"/>
      <c r="U112" s="3"/>
      <c r="W112"/>
    </row>
    <row r="113" spans="1:23" ht="15" customHeight="1" x14ac:dyDescent="0.25">
      <c r="A113" s="496"/>
      <c r="B113" s="282" t="s">
        <v>138</v>
      </c>
      <c r="C113" s="38">
        <v>4.0260999999999996</v>
      </c>
      <c r="D113" s="35">
        <v>3.2168000000000001</v>
      </c>
      <c r="E113" s="26">
        <f t="shared" si="24"/>
        <v>20.101338764561227</v>
      </c>
      <c r="F113" s="38">
        <v>3.0015999999999998</v>
      </c>
      <c r="G113" s="37">
        <f t="shared" si="25"/>
        <v>6.6898781397662352</v>
      </c>
      <c r="H113" s="25">
        <v>3.9580000000000002</v>
      </c>
      <c r="I113" s="35">
        <v>3.1042000000000001</v>
      </c>
      <c r="J113" s="26">
        <f t="shared" si="26"/>
        <v>21.571500757958567</v>
      </c>
      <c r="K113" s="35">
        <v>2.8885000000000001</v>
      </c>
      <c r="L113" s="37">
        <f t="shared" si="27"/>
        <v>6.9486502158366088</v>
      </c>
      <c r="M113" s="68"/>
      <c r="N113" s="69"/>
      <c r="O113" s="68"/>
      <c r="P113" s="69"/>
      <c r="Q113" s="3"/>
      <c r="R113" s="3"/>
      <c r="S113" s="3"/>
      <c r="T113" s="3"/>
      <c r="U113" s="3"/>
      <c r="W113"/>
    </row>
    <row r="114" spans="1:23" ht="15" customHeight="1" x14ac:dyDescent="0.25">
      <c r="A114" s="496"/>
      <c r="B114" s="282" t="s">
        <v>139</v>
      </c>
      <c r="C114" s="38">
        <v>3.9434999999999998</v>
      </c>
      <c r="D114" s="35">
        <v>3.1614</v>
      </c>
      <c r="E114" s="26">
        <f t="shared" si="24"/>
        <v>19.832635983263593</v>
      </c>
      <c r="F114" s="38">
        <v>2.9500999999999999</v>
      </c>
      <c r="G114" s="37">
        <f t="shared" si="25"/>
        <v>6.683747706712218</v>
      </c>
      <c r="H114" s="25">
        <v>3.9723999999999999</v>
      </c>
      <c r="I114" s="35">
        <v>3.1185</v>
      </c>
      <c r="J114" s="26">
        <f t="shared" si="26"/>
        <v>21.495821166045712</v>
      </c>
      <c r="K114" s="35">
        <v>2.9005000000000001</v>
      </c>
      <c r="L114" s="37">
        <f t="shared" si="27"/>
        <v>6.9905403238736561</v>
      </c>
      <c r="M114" s="68"/>
      <c r="N114" s="69"/>
      <c r="O114" s="68"/>
      <c r="P114" s="69"/>
      <c r="Q114" s="3"/>
      <c r="R114" s="3"/>
      <c r="S114" s="3"/>
      <c r="T114" s="3"/>
      <c r="U114" s="3"/>
      <c r="W114"/>
    </row>
    <row r="115" spans="1:23" ht="15" customHeight="1" x14ac:dyDescent="0.25">
      <c r="A115" s="496"/>
      <c r="B115" s="282" t="s">
        <v>140</v>
      </c>
      <c r="C115" s="38">
        <v>3.9350999999999998</v>
      </c>
      <c r="D115" s="35">
        <v>3.1461000000000001</v>
      </c>
      <c r="E115" s="26">
        <f t="shared" si="24"/>
        <v>20.050316383319348</v>
      </c>
      <c r="F115" s="38">
        <v>2.9359000000000002</v>
      </c>
      <c r="G115" s="37">
        <f t="shared" si="25"/>
        <v>6.6812879438034365</v>
      </c>
      <c r="H115" s="25">
        <v>3.9695</v>
      </c>
      <c r="I115" s="35">
        <v>3.1162999999999998</v>
      </c>
      <c r="J115" s="26">
        <f t="shared" si="26"/>
        <v>21.493890918251672</v>
      </c>
      <c r="K115" s="35">
        <v>2.8973</v>
      </c>
      <c r="L115" s="37">
        <f t="shared" si="27"/>
        <v>7.0275647402368149</v>
      </c>
      <c r="M115" s="68"/>
      <c r="N115" s="69"/>
      <c r="O115" s="68"/>
      <c r="P115" s="69"/>
      <c r="Q115" s="3"/>
      <c r="R115" s="3"/>
      <c r="S115" s="3"/>
      <c r="T115" s="3"/>
      <c r="U115" s="3"/>
      <c r="W115"/>
    </row>
    <row r="116" spans="1:23" ht="15.75" customHeight="1" thickBot="1" x14ac:dyDescent="0.3">
      <c r="A116" s="497"/>
      <c r="B116" s="283" t="s">
        <v>141</v>
      </c>
      <c r="C116" s="44">
        <v>3.9489999999999998</v>
      </c>
      <c r="D116" s="40">
        <v>3.1631</v>
      </c>
      <c r="E116" s="41">
        <f t="shared" si="24"/>
        <v>19.90124082046087</v>
      </c>
      <c r="F116" s="44">
        <v>2.9510999999999998</v>
      </c>
      <c r="G116" s="43">
        <f t="shared" si="25"/>
        <v>6.7022857323511804</v>
      </c>
      <c r="H116" s="58">
        <v>3.9607000000000001</v>
      </c>
      <c r="I116" s="40">
        <v>3.1177000000000001</v>
      </c>
      <c r="J116" s="41">
        <f t="shared" si="26"/>
        <v>21.284116444062917</v>
      </c>
      <c r="K116" s="40">
        <v>2.9003999999999999</v>
      </c>
      <c r="L116" s="43">
        <f t="shared" si="27"/>
        <v>6.9698816435192699</v>
      </c>
      <c r="M116" s="68"/>
      <c r="N116" s="69"/>
      <c r="O116" s="68"/>
      <c r="P116" s="69"/>
      <c r="Q116" s="3"/>
      <c r="R116" s="3"/>
      <c r="S116" s="3"/>
      <c r="T116" s="3"/>
      <c r="U116" s="3"/>
      <c r="W116"/>
    </row>
    <row r="117" spans="1:23" ht="15" customHeight="1" x14ac:dyDescent="0.25">
      <c r="A117" s="498" t="s">
        <v>20</v>
      </c>
      <c r="B117" s="284" t="s">
        <v>135</v>
      </c>
      <c r="C117" s="49">
        <v>4.0037000000000003</v>
      </c>
      <c r="D117" s="50">
        <v>3.1806999999999999</v>
      </c>
      <c r="E117" s="51">
        <f t="shared" si="24"/>
        <v>20.555985713215286</v>
      </c>
      <c r="F117" s="52">
        <v>3.0798000000000001</v>
      </c>
      <c r="G117" s="53">
        <f t="shared" si="25"/>
        <v>3.1722576791272292</v>
      </c>
      <c r="H117" s="278">
        <v>3.9268000000000001</v>
      </c>
      <c r="I117" s="45">
        <v>3.1128</v>
      </c>
      <c r="J117" s="54">
        <f t="shared" si="26"/>
        <v>20.729347051033923</v>
      </c>
      <c r="K117" s="47">
        <v>3.0095999999999998</v>
      </c>
      <c r="L117" s="48">
        <f t="shared" si="27"/>
        <v>3.3153430994602986</v>
      </c>
      <c r="M117" s="68"/>
      <c r="N117" s="69"/>
      <c r="O117" s="68"/>
      <c r="P117" s="69"/>
      <c r="Q117" s="3"/>
      <c r="R117" s="3"/>
      <c r="S117" s="3"/>
      <c r="T117" s="3"/>
      <c r="U117" s="3"/>
      <c r="W117"/>
    </row>
    <row r="118" spans="1:23" ht="15" customHeight="1" x14ac:dyDescent="0.25">
      <c r="A118" s="498"/>
      <c r="B118" s="285" t="s">
        <v>136</v>
      </c>
      <c r="C118" s="25">
        <v>3.9539</v>
      </c>
      <c r="D118" s="55">
        <v>3.1318999999999999</v>
      </c>
      <c r="E118" s="56">
        <f t="shared" si="24"/>
        <v>20.789600141632313</v>
      </c>
      <c r="F118" s="57">
        <v>3.0324</v>
      </c>
      <c r="G118" s="27">
        <f t="shared" si="25"/>
        <v>3.1769852166416528</v>
      </c>
      <c r="H118" s="254">
        <v>4.0141999999999998</v>
      </c>
      <c r="I118" s="25">
        <v>3.1739999999999999</v>
      </c>
      <c r="J118" s="26">
        <f t="shared" si="26"/>
        <v>20.930696029096705</v>
      </c>
      <c r="K118" s="28">
        <v>3.0687000000000002</v>
      </c>
      <c r="L118" s="27">
        <f t="shared" si="27"/>
        <v>3.3175803402646418</v>
      </c>
      <c r="M118" s="68"/>
      <c r="N118" s="69"/>
      <c r="O118" s="68"/>
      <c r="P118" s="69"/>
      <c r="Q118" s="3"/>
      <c r="R118" s="3"/>
      <c r="S118" s="3"/>
      <c r="T118" s="3"/>
      <c r="U118" s="3"/>
      <c r="W118"/>
    </row>
    <row r="119" spans="1:23" ht="15" customHeight="1" x14ac:dyDescent="0.25">
      <c r="A119" s="498"/>
      <c r="B119" s="285" t="s">
        <v>137</v>
      </c>
      <c r="C119" s="25">
        <v>3.9857</v>
      </c>
      <c r="D119" s="25">
        <v>3.1465000000000001</v>
      </c>
      <c r="E119" s="26">
        <f t="shared" si="24"/>
        <v>21.055272599543365</v>
      </c>
      <c r="F119" s="28">
        <v>3.0457999999999998</v>
      </c>
      <c r="G119" s="27">
        <f t="shared" si="25"/>
        <v>3.200381376132218</v>
      </c>
      <c r="H119" s="254">
        <v>3.9792000000000001</v>
      </c>
      <c r="I119" s="25">
        <v>3.1362999999999999</v>
      </c>
      <c r="J119" s="26">
        <f t="shared" si="26"/>
        <v>21.182649778850024</v>
      </c>
      <c r="K119" s="28">
        <v>3.0339</v>
      </c>
      <c r="L119" s="27">
        <f t="shared" si="27"/>
        <v>3.2649937824825379</v>
      </c>
      <c r="M119" s="68"/>
      <c r="N119" s="69"/>
      <c r="O119" s="68"/>
      <c r="P119" s="69"/>
      <c r="Q119" s="3"/>
      <c r="R119" s="3"/>
      <c r="S119" s="3"/>
      <c r="T119" s="3"/>
      <c r="U119" s="3"/>
      <c r="W119"/>
    </row>
    <row r="120" spans="1:23" ht="15" customHeight="1" x14ac:dyDescent="0.25">
      <c r="A120" s="498"/>
      <c r="B120" s="285" t="s">
        <v>138</v>
      </c>
      <c r="C120" s="25">
        <v>3.9630000000000001</v>
      </c>
      <c r="D120" s="25">
        <v>3.1345999999999998</v>
      </c>
      <c r="E120" s="26">
        <f t="shared" si="24"/>
        <v>20.90335604340147</v>
      </c>
      <c r="F120" s="28">
        <v>3.0350999999999999</v>
      </c>
      <c r="G120" s="27">
        <f t="shared" si="25"/>
        <v>3.1742487079691162</v>
      </c>
      <c r="H120" s="254">
        <v>3.9483999999999999</v>
      </c>
      <c r="I120" s="25">
        <v>3.1086</v>
      </c>
      <c r="J120" s="26">
        <f t="shared" si="26"/>
        <v>21.26937493668321</v>
      </c>
      <c r="K120" s="28">
        <v>3.0057</v>
      </c>
      <c r="L120" s="27">
        <f t="shared" si="27"/>
        <v>3.3101717815093608</v>
      </c>
      <c r="M120" s="68"/>
      <c r="N120" s="69"/>
      <c r="O120" s="68"/>
      <c r="P120" s="69"/>
      <c r="Q120" s="3"/>
      <c r="R120" s="3"/>
      <c r="S120" s="3"/>
      <c r="T120" s="3"/>
      <c r="U120" s="3"/>
      <c r="W120"/>
    </row>
    <row r="121" spans="1:23" ht="15" customHeight="1" x14ac:dyDescent="0.25">
      <c r="A121" s="498"/>
      <c r="B121" s="285" t="s">
        <v>139</v>
      </c>
      <c r="C121" s="25">
        <v>3.9548000000000001</v>
      </c>
      <c r="D121" s="25">
        <v>3.1301999999999999</v>
      </c>
      <c r="E121" s="26">
        <f t="shared" si="24"/>
        <v>20.850611914635383</v>
      </c>
      <c r="F121" s="28">
        <v>3.0312000000000001</v>
      </c>
      <c r="G121" s="27">
        <f t="shared" si="25"/>
        <v>3.162737205290389</v>
      </c>
      <c r="H121" s="254">
        <v>4.0788000000000002</v>
      </c>
      <c r="I121" s="25">
        <v>3.2097000000000002</v>
      </c>
      <c r="J121" s="26">
        <f t="shared" si="26"/>
        <v>21.307737569873492</v>
      </c>
      <c r="K121" s="28">
        <v>3.1042999999999998</v>
      </c>
      <c r="L121" s="27">
        <f t="shared" si="27"/>
        <v>3.2837959933950334</v>
      </c>
      <c r="M121" s="68"/>
      <c r="N121" s="69"/>
      <c r="O121" s="68"/>
      <c r="P121" s="69"/>
      <c r="Q121" s="3"/>
      <c r="R121" s="3"/>
      <c r="S121" s="3"/>
      <c r="T121" s="3"/>
      <c r="U121" s="3"/>
      <c r="W121"/>
    </row>
    <row r="122" spans="1:23" ht="15" customHeight="1" x14ac:dyDescent="0.25">
      <c r="A122" s="498"/>
      <c r="B122" s="285" t="s">
        <v>140</v>
      </c>
      <c r="C122" s="25">
        <v>3.9702999999999999</v>
      </c>
      <c r="D122" s="25">
        <v>3.1465000000000001</v>
      </c>
      <c r="E122" s="26">
        <f t="shared" si="24"/>
        <v>20.749061783744299</v>
      </c>
      <c r="F122" s="28">
        <v>3.0459999999999998</v>
      </c>
      <c r="G122" s="27">
        <f t="shared" si="25"/>
        <v>3.1940251072620454</v>
      </c>
      <c r="H122" s="254">
        <v>3.9916</v>
      </c>
      <c r="I122" s="25">
        <v>3.1259999999999999</v>
      </c>
      <c r="J122" s="26">
        <f t="shared" si="26"/>
        <v>21.685539633229787</v>
      </c>
      <c r="K122" s="28">
        <v>3.0230999999999999</v>
      </c>
      <c r="L122" s="27">
        <f t="shared" si="27"/>
        <v>3.2917466410748562</v>
      </c>
      <c r="M122" s="68"/>
      <c r="N122" s="69"/>
      <c r="O122" s="68"/>
      <c r="P122" s="69"/>
      <c r="Q122" s="3"/>
      <c r="R122" s="3"/>
      <c r="S122" s="3"/>
      <c r="T122" s="3"/>
      <c r="U122" s="3"/>
      <c r="W122"/>
    </row>
    <row r="123" spans="1:23" ht="15.95" customHeight="1" thickBot="1" x14ac:dyDescent="0.3">
      <c r="A123" s="499"/>
      <c r="B123" s="286" t="s">
        <v>141</v>
      </c>
      <c r="C123" s="58">
        <v>3.9759000000000002</v>
      </c>
      <c r="D123" s="58">
        <v>3.1560999999999999</v>
      </c>
      <c r="E123" s="59">
        <f t="shared" si="24"/>
        <v>20.619230865967459</v>
      </c>
      <c r="F123" s="60">
        <v>3.0554999999999999</v>
      </c>
      <c r="G123" s="61">
        <f t="shared" si="25"/>
        <v>3.1874782167865412</v>
      </c>
      <c r="H123" s="255">
        <v>3.9487999999999999</v>
      </c>
      <c r="I123" s="58">
        <v>3.1173999999999999</v>
      </c>
      <c r="J123" s="59">
        <f t="shared" si="26"/>
        <v>21.054497568881683</v>
      </c>
      <c r="K123" s="60">
        <v>3.0133000000000001</v>
      </c>
      <c r="L123" s="61">
        <f t="shared" si="27"/>
        <v>3.339321229229482</v>
      </c>
      <c r="M123" s="68"/>
      <c r="N123" s="69"/>
      <c r="O123" s="68"/>
      <c r="P123" s="69"/>
      <c r="Q123" s="3"/>
      <c r="R123" s="3"/>
      <c r="S123" s="3"/>
      <c r="T123" s="3"/>
      <c r="U123" s="3"/>
      <c r="W123"/>
    </row>
    <row r="124" spans="1:23" ht="16.5" thickBot="1" x14ac:dyDescent="0.3">
      <c r="A124" s="15" t="s">
        <v>142</v>
      </c>
      <c r="B124" s="492" t="s">
        <v>157</v>
      </c>
      <c r="C124" s="493"/>
      <c r="D124" s="493"/>
      <c r="E124" s="493"/>
      <c r="F124" s="493"/>
      <c r="G124" s="494"/>
      <c r="H124" s="492" t="s">
        <v>158</v>
      </c>
      <c r="I124" s="493"/>
      <c r="J124" s="493"/>
      <c r="K124" s="493"/>
      <c r="L124" s="494"/>
      <c r="M124" s="3"/>
      <c r="N124" s="3"/>
      <c r="O124" s="3"/>
      <c r="P124" s="3"/>
      <c r="Q124" s="3"/>
      <c r="R124" s="3"/>
      <c r="S124" s="3"/>
      <c r="T124" s="3"/>
      <c r="U124" s="3"/>
      <c r="W124"/>
    </row>
    <row r="125" spans="1:23" ht="15.75" customHeight="1" thickBot="1" x14ac:dyDescent="0.3">
      <c r="A125" s="16"/>
      <c r="B125" s="18" t="s">
        <v>6</v>
      </c>
      <c r="C125" s="17" t="s">
        <v>7</v>
      </c>
      <c r="D125" s="17" t="s">
        <v>8</v>
      </c>
      <c r="E125" s="136" t="s">
        <v>9</v>
      </c>
      <c r="F125" s="20" t="s">
        <v>145</v>
      </c>
      <c r="G125" s="21" t="s">
        <v>146</v>
      </c>
      <c r="H125" s="17" t="s">
        <v>7</v>
      </c>
      <c r="I125" s="17" t="s">
        <v>8</v>
      </c>
      <c r="J125" s="19" t="s">
        <v>9</v>
      </c>
      <c r="K125" s="20" t="s">
        <v>145</v>
      </c>
      <c r="L125" s="21" t="s">
        <v>146</v>
      </c>
      <c r="M125" s="64"/>
      <c r="N125" s="65"/>
      <c r="O125" s="64"/>
      <c r="P125" s="65"/>
      <c r="Q125" s="3"/>
      <c r="R125" s="3"/>
      <c r="S125" s="3"/>
      <c r="T125" s="3"/>
      <c r="U125" s="3"/>
      <c r="W125"/>
    </row>
    <row r="126" spans="1:23" ht="15" customHeight="1" x14ac:dyDescent="0.25">
      <c r="A126" s="495" t="s">
        <v>134</v>
      </c>
      <c r="B126" s="281" t="s">
        <v>135</v>
      </c>
      <c r="C126" s="22">
        <v>3.9607999999999999</v>
      </c>
      <c r="D126" s="22">
        <v>3.1819000000000002</v>
      </c>
      <c r="E126" s="62">
        <f t="shared" ref="E126:E139" si="28">((C126-D126)/C126)*100</f>
        <v>19.665219147646933</v>
      </c>
      <c r="F126" s="181">
        <v>2.9723999999999999</v>
      </c>
      <c r="G126" s="23">
        <f t="shared" ref="G126:G139" si="29">((D126-F126)/D126)*100</f>
        <v>6.5841164084352188</v>
      </c>
      <c r="H126" s="253">
        <v>3.9011</v>
      </c>
      <c r="I126" s="22">
        <v>3.0535999999999999</v>
      </c>
      <c r="J126" s="62">
        <f t="shared" ref="J126:J139" si="30">((H126-I126)/H126)*100</f>
        <v>21.724641767706547</v>
      </c>
      <c r="K126" s="24">
        <v>2.8437999999999999</v>
      </c>
      <c r="L126" s="23">
        <f t="shared" ref="L126:L139" si="31">((I126-K126)/I126)*100</f>
        <v>6.8705789887346089</v>
      </c>
      <c r="M126" s="68"/>
      <c r="N126" s="69"/>
      <c r="O126" s="68"/>
      <c r="P126" s="69"/>
      <c r="Q126" s="3"/>
      <c r="R126" s="3"/>
      <c r="S126" s="3"/>
      <c r="T126" s="3"/>
      <c r="U126" s="3"/>
      <c r="W126"/>
    </row>
    <row r="127" spans="1:23" ht="15" customHeight="1" x14ac:dyDescent="0.25">
      <c r="A127" s="496"/>
      <c r="B127" s="282" t="s">
        <v>136</v>
      </c>
      <c r="C127" s="25">
        <v>3.9998</v>
      </c>
      <c r="D127" s="25">
        <v>3.1956000000000002</v>
      </c>
      <c r="E127" s="26">
        <f t="shared" si="28"/>
        <v>20.106005300265011</v>
      </c>
      <c r="F127" s="173">
        <v>2.984</v>
      </c>
      <c r="G127" s="27">
        <f t="shared" si="29"/>
        <v>6.6216047064714054</v>
      </c>
      <c r="H127" s="254">
        <v>4.1044999999999998</v>
      </c>
      <c r="I127" s="25">
        <v>3.2132999999999998</v>
      </c>
      <c r="J127" s="26">
        <f t="shared" si="30"/>
        <v>21.712754294067487</v>
      </c>
      <c r="K127" s="28">
        <v>2.9908999999999999</v>
      </c>
      <c r="L127" s="27">
        <f t="shared" si="31"/>
        <v>6.9212336227554214</v>
      </c>
      <c r="M127" s="68"/>
      <c r="N127" s="69"/>
      <c r="O127" s="68"/>
      <c r="P127" s="69"/>
      <c r="Q127" s="3"/>
      <c r="R127" s="3"/>
      <c r="S127" s="3"/>
      <c r="T127" s="3"/>
      <c r="U127" s="3"/>
      <c r="W127"/>
    </row>
    <row r="128" spans="1:23" ht="15" customHeight="1" x14ac:dyDescent="0.25">
      <c r="A128" s="496"/>
      <c r="B128" s="282" t="s">
        <v>137</v>
      </c>
      <c r="C128" s="25">
        <v>4.0388000000000002</v>
      </c>
      <c r="D128" s="25">
        <v>3.2275999999999998</v>
      </c>
      <c r="E128" s="26">
        <f t="shared" si="28"/>
        <v>20.085173814004168</v>
      </c>
      <c r="F128" s="173">
        <v>3.0127999999999999</v>
      </c>
      <c r="G128" s="27">
        <f t="shared" si="29"/>
        <v>6.6550997645309184</v>
      </c>
      <c r="H128" s="254">
        <v>4.0654000000000003</v>
      </c>
      <c r="I128" s="25">
        <v>3.1635</v>
      </c>
      <c r="J128" s="26">
        <f t="shared" si="30"/>
        <v>22.184778865548292</v>
      </c>
      <c r="K128" s="28">
        <v>2.9466999999999999</v>
      </c>
      <c r="L128" s="27">
        <f t="shared" si="31"/>
        <v>6.8531689584321196</v>
      </c>
      <c r="M128" s="68"/>
      <c r="N128" s="69"/>
      <c r="O128" s="68"/>
      <c r="P128" s="69"/>
      <c r="Q128" s="3"/>
      <c r="R128" s="3"/>
      <c r="S128" s="3"/>
      <c r="T128" s="3"/>
      <c r="U128" s="3"/>
      <c r="W128"/>
    </row>
    <row r="129" spans="1:23" ht="15" customHeight="1" x14ac:dyDescent="0.25">
      <c r="A129" s="496"/>
      <c r="B129" s="282" t="s">
        <v>138</v>
      </c>
      <c r="C129" s="25">
        <v>3.9550999999999998</v>
      </c>
      <c r="D129" s="25">
        <v>3.1573000000000002</v>
      </c>
      <c r="E129" s="26">
        <f t="shared" si="28"/>
        <v>20.171424237061</v>
      </c>
      <c r="F129" s="173">
        <v>2.9493999999999998</v>
      </c>
      <c r="G129" s="27">
        <f t="shared" si="29"/>
        <v>6.5847401260570866</v>
      </c>
      <c r="H129" s="254">
        <v>3.9668999999999999</v>
      </c>
      <c r="I129" s="25">
        <v>3.0920999999999998</v>
      </c>
      <c r="J129" s="26">
        <f t="shared" si="30"/>
        <v>22.05248430764577</v>
      </c>
      <c r="K129" s="28">
        <v>2.8801000000000001</v>
      </c>
      <c r="L129" s="27">
        <f t="shared" si="31"/>
        <v>6.8561818828627716</v>
      </c>
      <c r="M129" s="68"/>
      <c r="N129" s="69"/>
      <c r="O129" s="68"/>
      <c r="P129" s="69"/>
      <c r="Q129" s="3"/>
      <c r="R129" s="3"/>
      <c r="S129" s="3"/>
      <c r="T129" s="3"/>
      <c r="U129" s="3"/>
      <c r="W129"/>
    </row>
    <row r="130" spans="1:23" ht="15" customHeight="1" x14ac:dyDescent="0.25">
      <c r="A130" s="496"/>
      <c r="B130" s="282" t="s">
        <v>139</v>
      </c>
      <c r="C130" s="25">
        <v>4.0781999999999998</v>
      </c>
      <c r="D130" s="25">
        <v>3.2561</v>
      </c>
      <c r="E130" s="26">
        <f t="shared" si="28"/>
        <v>20.158403217105583</v>
      </c>
      <c r="F130" s="173">
        <v>3.0411999999999999</v>
      </c>
      <c r="G130" s="27">
        <f t="shared" si="29"/>
        <v>6.5999201498725499</v>
      </c>
      <c r="H130" s="254">
        <v>3.9733999999999998</v>
      </c>
      <c r="I130" s="25">
        <v>3.1097999999999999</v>
      </c>
      <c r="J130" s="26">
        <f t="shared" si="30"/>
        <v>21.734534655458802</v>
      </c>
      <c r="K130" s="28">
        <v>2.8938999999999999</v>
      </c>
      <c r="L130" s="27">
        <f t="shared" si="31"/>
        <v>6.942568653932728</v>
      </c>
      <c r="M130" s="68"/>
      <c r="N130" s="69"/>
      <c r="O130" s="68"/>
      <c r="P130" s="69"/>
      <c r="Q130" s="3"/>
      <c r="R130" s="3"/>
      <c r="S130" s="3"/>
      <c r="T130" s="3"/>
      <c r="U130" s="3"/>
      <c r="W130"/>
    </row>
    <row r="131" spans="1:23" ht="15" customHeight="1" x14ac:dyDescent="0.25">
      <c r="A131" s="496"/>
      <c r="B131" s="282" t="s">
        <v>140</v>
      </c>
      <c r="C131" s="25">
        <v>3.9346000000000001</v>
      </c>
      <c r="D131" s="25">
        <v>3.1446000000000001</v>
      </c>
      <c r="E131" s="26">
        <f t="shared" si="28"/>
        <v>20.078279875972143</v>
      </c>
      <c r="F131" s="173">
        <v>2.9361999999999999</v>
      </c>
      <c r="G131" s="27">
        <f t="shared" si="29"/>
        <v>6.6272339884246048</v>
      </c>
      <c r="H131" s="254">
        <v>4.0365000000000002</v>
      </c>
      <c r="I131" s="25">
        <v>3.1476000000000002</v>
      </c>
      <c r="J131" s="26">
        <f t="shared" si="30"/>
        <v>22.021553325901152</v>
      </c>
      <c r="K131" s="28">
        <v>2.9323000000000001</v>
      </c>
      <c r="L131" s="27">
        <f t="shared" si="31"/>
        <v>6.8401321641885895</v>
      </c>
      <c r="M131" s="68"/>
      <c r="N131" s="69"/>
      <c r="O131" s="68"/>
      <c r="P131" s="69"/>
      <c r="Q131" s="3"/>
      <c r="R131" s="3"/>
      <c r="S131" s="3"/>
      <c r="T131" s="3"/>
      <c r="U131" s="3"/>
      <c r="W131"/>
    </row>
    <row r="132" spans="1:23" ht="15.75" customHeight="1" thickBot="1" x14ac:dyDescent="0.3">
      <c r="A132" s="497"/>
      <c r="B132" s="283" t="s">
        <v>141</v>
      </c>
      <c r="C132" s="58">
        <v>4.0136000000000003</v>
      </c>
      <c r="D132" s="58">
        <v>3.2098</v>
      </c>
      <c r="E132" s="59">
        <f t="shared" si="28"/>
        <v>20.026908511062395</v>
      </c>
      <c r="F132" s="179">
        <v>2.9956999999999998</v>
      </c>
      <c r="G132" s="61">
        <f t="shared" si="29"/>
        <v>6.6701975200947157</v>
      </c>
      <c r="H132" s="255">
        <v>3.9348999999999998</v>
      </c>
      <c r="I132" s="58">
        <v>3.0716999999999999</v>
      </c>
      <c r="J132" s="59">
        <f t="shared" si="30"/>
        <v>21.93702508322956</v>
      </c>
      <c r="K132" s="60">
        <v>2.8611</v>
      </c>
      <c r="L132" s="61">
        <f t="shared" si="31"/>
        <v>6.8561382947553442</v>
      </c>
      <c r="M132" s="68"/>
      <c r="N132" s="69"/>
      <c r="O132" s="68"/>
      <c r="P132" s="69"/>
      <c r="Q132" s="3"/>
      <c r="R132" s="3"/>
      <c r="S132" s="3"/>
      <c r="T132" s="3"/>
      <c r="U132" s="3"/>
      <c r="W132"/>
    </row>
    <row r="133" spans="1:23" ht="15" customHeight="1" x14ac:dyDescent="0.25">
      <c r="A133" s="498" t="s">
        <v>20</v>
      </c>
      <c r="B133" s="284" t="s">
        <v>135</v>
      </c>
      <c r="C133" s="22">
        <v>3.8816000000000002</v>
      </c>
      <c r="D133" s="22">
        <v>3.0891000000000002</v>
      </c>
      <c r="E133" s="62">
        <f t="shared" si="28"/>
        <v>20.416838417147567</v>
      </c>
      <c r="F133" s="173">
        <v>2.9914000000000001</v>
      </c>
      <c r="G133" s="23">
        <f t="shared" si="29"/>
        <v>3.1627334822440227</v>
      </c>
      <c r="H133" s="253">
        <v>4.1071999999999997</v>
      </c>
      <c r="I133" s="22">
        <v>3.2370000000000001</v>
      </c>
      <c r="J133" s="62">
        <f t="shared" si="30"/>
        <v>21.187183482664583</v>
      </c>
      <c r="K133" s="24">
        <v>3.1297000000000001</v>
      </c>
      <c r="L133" s="23">
        <f t="shared" si="31"/>
        <v>3.3147976521470479</v>
      </c>
      <c r="M133" s="68"/>
      <c r="N133" s="69"/>
      <c r="O133" s="68"/>
      <c r="P133" s="69"/>
      <c r="Q133" s="3"/>
      <c r="R133" s="3"/>
      <c r="S133" s="3"/>
      <c r="T133" s="3"/>
      <c r="U133" s="3"/>
      <c r="W133"/>
    </row>
    <row r="134" spans="1:23" ht="15" customHeight="1" x14ac:dyDescent="0.25">
      <c r="A134" s="498"/>
      <c r="B134" s="285" t="s">
        <v>136</v>
      </c>
      <c r="C134" s="25">
        <v>4.0568999999999997</v>
      </c>
      <c r="D134" s="25">
        <v>3.2126999999999999</v>
      </c>
      <c r="E134" s="26">
        <f t="shared" si="28"/>
        <v>20.808992087554536</v>
      </c>
      <c r="F134" s="173">
        <v>3.1103000000000001</v>
      </c>
      <c r="G134" s="27">
        <f t="shared" si="29"/>
        <v>3.1873502038783523</v>
      </c>
      <c r="H134" s="254">
        <v>4.1123000000000003</v>
      </c>
      <c r="I134" s="25">
        <v>3.2322000000000002</v>
      </c>
      <c r="J134" s="26">
        <f t="shared" si="30"/>
        <v>21.401648712399389</v>
      </c>
      <c r="K134" s="28">
        <v>3.1261999999999999</v>
      </c>
      <c r="L134" s="27">
        <f t="shared" si="31"/>
        <v>3.279500030938689</v>
      </c>
      <c r="M134" s="68"/>
      <c r="N134" s="69"/>
      <c r="O134" s="68"/>
      <c r="P134" s="69"/>
      <c r="Q134" s="3"/>
      <c r="R134" s="3"/>
      <c r="S134" s="3"/>
      <c r="T134" s="3"/>
      <c r="U134" s="3"/>
      <c r="W134"/>
    </row>
    <row r="135" spans="1:23" ht="15" customHeight="1" x14ac:dyDescent="0.25">
      <c r="A135" s="498"/>
      <c r="B135" s="285" t="s">
        <v>137</v>
      </c>
      <c r="C135" s="25">
        <v>3.9150999999999998</v>
      </c>
      <c r="D135" s="25">
        <v>3.1071</v>
      </c>
      <c r="E135" s="26">
        <f t="shared" si="28"/>
        <v>20.638042451022958</v>
      </c>
      <c r="F135" s="173">
        <v>3.0082</v>
      </c>
      <c r="G135" s="27">
        <f t="shared" si="29"/>
        <v>3.1830324096424314</v>
      </c>
      <c r="H135" s="254">
        <v>3.9297</v>
      </c>
      <c r="I135" s="25">
        <v>3.0891000000000002</v>
      </c>
      <c r="J135" s="26">
        <f t="shared" si="30"/>
        <v>21.390945873730814</v>
      </c>
      <c r="K135" s="28">
        <v>2.9861</v>
      </c>
      <c r="L135" s="27">
        <f t="shared" si="31"/>
        <v>3.3343044899809069</v>
      </c>
      <c r="M135" s="68"/>
      <c r="N135" s="69"/>
      <c r="O135" s="68"/>
      <c r="P135" s="69"/>
      <c r="Q135" s="3"/>
      <c r="R135" s="3"/>
      <c r="S135" s="3"/>
      <c r="T135" s="3"/>
      <c r="U135" s="3"/>
      <c r="W135"/>
    </row>
    <row r="136" spans="1:23" ht="15" customHeight="1" x14ac:dyDescent="0.25">
      <c r="A136" s="498"/>
      <c r="B136" s="285" t="s">
        <v>138</v>
      </c>
      <c r="C136" s="25">
        <v>4.0749000000000004</v>
      </c>
      <c r="D136" s="25">
        <v>3.2229999999999999</v>
      </c>
      <c r="E136" s="26">
        <f t="shared" si="28"/>
        <v>20.906034503914217</v>
      </c>
      <c r="F136" s="173">
        <v>3.1202999999999999</v>
      </c>
      <c r="G136" s="27">
        <f t="shared" si="29"/>
        <v>3.186472230840832</v>
      </c>
      <c r="H136" s="254">
        <v>3.9712000000000001</v>
      </c>
      <c r="I136" s="25">
        <v>3.1259000000000001</v>
      </c>
      <c r="J136" s="26">
        <f t="shared" si="30"/>
        <v>21.285757453666395</v>
      </c>
      <c r="K136" s="28">
        <v>3.0236000000000001</v>
      </c>
      <c r="L136" s="27">
        <f t="shared" si="31"/>
        <v>3.2726574746473029</v>
      </c>
      <c r="M136" s="68"/>
      <c r="N136" s="69"/>
      <c r="O136" s="68"/>
      <c r="P136" s="69"/>
      <c r="Q136" s="3"/>
      <c r="R136" s="3"/>
      <c r="S136" s="3"/>
      <c r="T136" s="3"/>
      <c r="U136" s="3"/>
      <c r="W136"/>
    </row>
    <row r="137" spans="1:23" ht="15" customHeight="1" x14ac:dyDescent="0.25">
      <c r="A137" s="498"/>
      <c r="B137" s="285" t="s">
        <v>139</v>
      </c>
      <c r="C137" s="25">
        <v>4.0532000000000004</v>
      </c>
      <c r="D137" s="25">
        <v>3.2178</v>
      </c>
      <c r="E137" s="26">
        <f t="shared" si="28"/>
        <v>20.610875357742039</v>
      </c>
      <c r="F137" s="173">
        <v>3.1154999999999999</v>
      </c>
      <c r="G137" s="27">
        <f t="shared" si="29"/>
        <v>3.1791907514450886</v>
      </c>
      <c r="H137" s="254">
        <v>4.0326000000000004</v>
      </c>
      <c r="I137" s="25">
        <v>3.1734</v>
      </c>
      <c r="J137" s="26">
        <f t="shared" si="30"/>
        <v>21.306353221246844</v>
      </c>
      <c r="K137" s="28">
        <v>3.0678999999999998</v>
      </c>
      <c r="L137" s="27">
        <f t="shared" si="31"/>
        <v>3.3245099892859438</v>
      </c>
      <c r="M137" s="68"/>
      <c r="N137" s="69"/>
      <c r="O137" s="68"/>
      <c r="P137" s="69"/>
      <c r="Q137" s="3"/>
      <c r="R137" s="3"/>
      <c r="S137" s="3"/>
      <c r="T137" s="3"/>
      <c r="U137" s="3"/>
      <c r="W137"/>
    </row>
    <row r="138" spans="1:23" ht="15" customHeight="1" x14ac:dyDescent="0.25">
      <c r="A138" s="498"/>
      <c r="B138" s="285" t="s">
        <v>140</v>
      </c>
      <c r="C138" s="25">
        <v>4.0258000000000003</v>
      </c>
      <c r="D138" s="25">
        <v>3.1951000000000001</v>
      </c>
      <c r="E138" s="26">
        <f t="shared" si="28"/>
        <v>20.634408067961651</v>
      </c>
      <c r="F138" s="173">
        <v>3.0924999999999998</v>
      </c>
      <c r="G138" s="27">
        <f t="shared" si="29"/>
        <v>3.2111670996213029</v>
      </c>
      <c r="H138" s="254">
        <v>3.9860000000000002</v>
      </c>
      <c r="I138" s="25">
        <v>3.1358999999999999</v>
      </c>
      <c r="J138" s="26">
        <f t="shared" si="30"/>
        <v>21.327145007526347</v>
      </c>
      <c r="K138" s="28">
        <v>3.0316000000000001</v>
      </c>
      <c r="L138" s="27">
        <f t="shared" si="31"/>
        <v>3.325998915781748</v>
      </c>
      <c r="M138" s="68"/>
      <c r="N138" s="69"/>
      <c r="O138" s="68"/>
      <c r="P138" s="69"/>
      <c r="Q138" s="3"/>
      <c r="R138" s="3"/>
      <c r="S138" s="3"/>
      <c r="T138" s="3"/>
      <c r="U138" s="3"/>
      <c r="W138"/>
    </row>
    <row r="139" spans="1:23" ht="15.75" customHeight="1" thickBot="1" x14ac:dyDescent="0.3">
      <c r="A139" s="499"/>
      <c r="B139" s="286" t="s">
        <v>141</v>
      </c>
      <c r="C139" s="58">
        <v>4.0107999999999997</v>
      </c>
      <c r="D139" s="58">
        <v>3.1945999999999999</v>
      </c>
      <c r="E139" s="63">
        <f t="shared" si="28"/>
        <v>20.35005485189987</v>
      </c>
      <c r="F139" s="179">
        <v>3.0912999999999999</v>
      </c>
      <c r="G139" s="61">
        <f t="shared" si="29"/>
        <v>3.233581669066548</v>
      </c>
      <c r="H139" s="255">
        <v>3.9901</v>
      </c>
      <c r="I139" s="58">
        <v>3.1395</v>
      </c>
      <c r="J139" s="63">
        <f t="shared" si="30"/>
        <v>21.317761459612541</v>
      </c>
      <c r="K139" s="60">
        <v>3.0354999999999999</v>
      </c>
      <c r="L139" s="61">
        <f t="shared" si="31"/>
        <v>3.3126293995859242</v>
      </c>
      <c r="M139" s="68"/>
      <c r="N139" s="69"/>
      <c r="O139" s="68"/>
      <c r="P139" s="69"/>
      <c r="Q139" s="3"/>
      <c r="R139" s="3"/>
      <c r="S139" s="3"/>
      <c r="T139" s="3"/>
      <c r="U139" s="3"/>
      <c r="W139"/>
    </row>
    <row r="140" spans="1:23" ht="16.5" thickBot="1" x14ac:dyDescent="0.3">
      <c r="A140" s="15" t="s">
        <v>2</v>
      </c>
      <c r="B140" s="492" t="s">
        <v>159</v>
      </c>
      <c r="C140" s="493"/>
      <c r="D140" s="493"/>
      <c r="E140" s="493"/>
      <c r="F140" s="493"/>
      <c r="G140" s="494"/>
      <c r="H140" s="492" t="s">
        <v>160</v>
      </c>
      <c r="I140" s="493"/>
      <c r="J140" s="493"/>
      <c r="K140" s="493"/>
      <c r="L140" s="494"/>
      <c r="M140" s="3"/>
      <c r="N140" s="3"/>
      <c r="O140" s="3"/>
      <c r="P140" s="3"/>
      <c r="Q140" s="3"/>
      <c r="R140" s="3"/>
      <c r="S140" s="3"/>
      <c r="T140" s="3"/>
      <c r="U140" s="3"/>
      <c r="W140"/>
    </row>
    <row r="141" spans="1:23" ht="15.75" customHeight="1" thickBot="1" x14ac:dyDescent="0.3">
      <c r="A141" s="16"/>
      <c r="B141" s="18" t="s">
        <v>6</v>
      </c>
      <c r="C141" s="17" t="s">
        <v>7</v>
      </c>
      <c r="D141" s="17" t="s">
        <v>8</v>
      </c>
      <c r="E141" s="136" t="s">
        <v>9</v>
      </c>
      <c r="F141" s="20" t="s">
        <v>10</v>
      </c>
      <c r="G141" s="21" t="s">
        <v>11</v>
      </c>
      <c r="H141" s="274" t="s">
        <v>7</v>
      </c>
      <c r="I141" s="17" t="s">
        <v>8</v>
      </c>
      <c r="J141" s="19" t="s">
        <v>9</v>
      </c>
      <c r="K141" s="20" t="s">
        <v>10</v>
      </c>
      <c r="L141" s="21" t="s">
        <v>11</v>
      </c>
      <c r="M141" s="64"/>
      <c r="N141" s="65"/>
      <c r="O141" s="64"/>
      <c r="P141" s="65"/>
      <c r="Q141" s="3"/>
      <c r="R141" s="3"/>
      <c r="S141" s="3"/>
      <c r="T141" s="3"/>
      <c r="U141" s="3"/>
      <c r="W141"/>
    </row>
    <row r="142" spans="1:23" ht="15" customHeight="1" x14ac:dyDescent="0.25">
      <c r="A142" s="495" t="s">
        <v>134</v>
      </c>
      <c r="B142" s="281" t="s">
        <v>135</v>
      </c>
      <c r="C142" s="34">
        <v>3.9529999999999998</v>
      </c>
      <c r="D142" s="135">
        <v>3.1770999999999998</v>
      </c>
      <c r="E142" s="26">
        <f>((C142-D142)/C142)*100</f>
        <v>19.62813053377182</v>
      </c>
      <c r="F142" s="34">
        <v>2.9643000000000002</v>
      </c>
      <c r="G142" s="33">
        <f t="shared" ref="G142:G145" si="32">((D142-F142)/D142)*100</f>
        <v>6.6979320764218837</v>
      </c>
      <c r="H142" s="275">
        <v>4.0109000000000004</v>
      </c>
      <c r="I142" s="30">
        <v>3.1629999999999998</v>
      </c>
      <c r="J142" s="31">
        <f>((H142-I142)/H142)*100</f>
        <v>21.139893789423834</v>
      </c>
      <c r="K142" s="30">
        <v>2.9451000000000001</v>
      </c>
      <c r="L142" s="33">
        <f t="shared" ref="L142:L145" si="33">((I142-K142)/I142)*100</f>
        <v>6.8890294024660053</v>
      </c>
      <c r="M142" s="68"/>
      <c r="N142" s="69"/>
      <c r="O142" s="68"/>
      <c r="P142" s="69"/>
      <c r="Q142" s="3"/>
      <c r="R142" s="3"/>
      <c r="S142" s="3"/>
      <c r="T142" s="3"/>
      <c r="U142" s="3"/>
      <c r="W142"/>
    </row>
    <row r="143" spans="1:23" ht="15" customHeight="1" x14ac:dyDescent="0.25">
      <c r="A143" s="496"/>
      <c r="B143" s="282" t="s">
        <v>136</v>
      </c>
      <c r="C143" s="38">
        <v>3.9361999999999999</v>
      </c>
      <c r="D143" s="35">
        <v>3.1526999999999998</v>
      </c>
      <c r="E143" s="26">
        <f t="shared" ref="E143:E144" si="34">((C143-D143)/C143)*100</f>
        <v>19.904984502819982</v>
      </c>
      <c r="F143" s="38">
        <v>2.9409000000000001</v>
      </c>
      <c r="G143" s="37">
        <f t="shared" si="32"/>
        <v>6.7180511942144765</v>
      </c>
      <c r="H143" s="276">
        <v>4.0702999999999996</v>
      </c>
      <c r="I143" s="35">
        <v>3.1955</v>
      </c>
      <c r="J143" s="26">
        <f t="shared" ref="J143:J144" si="35">((H143-I143)/H143)*100</f>
        <v>21.49227329680858</v>
      </c>
      <c r="K143" s="35">
        <v>2.9775999999999998</v>
      </c>
      <c r="L143" s="37">
        <f t="shared" si="33"/>
        <v>6.8189641683617657</v>
      </c>
      <c r="M143" s="68"/>
      <c r="N143" s="69"/>
      <c r="O143" s="68"/>
      <c r="P143" s="69"/>
      <c r="Q143" s="3"/>
      <c r="R143" s="3"/>
      <c r="S143" s="3"/>
      <c r="T143" s="3"/>
      <c r="U143" s="3"/>
      <c r="W143"/>
    </row>
    <row r="144" spans="1:23" ht="15" customHeight="1" x14ac:dyDescent="0.25">
      <c r="A144" s="496"/>
      <c r="B144" s="282" t="s">
        <v>137</v>
      </c>
      <c r="C144" s="38">
        <v>3.9344000000000001</v>
      </c>
      <c r="D144" s="35">
        <v>3.1549</v>
      </c>
      <c r="E144" s="26">
        <f t="shared" si="34"/>
        <v>19.812423749491664</v>
      </c>
      <c r="F144" s="38">
        <v>2.9445000000000001</v>
      </c>
      <c r="G144" s="37">
        <f t="shared" si="32"/>
        <v>6.6689910932200682</v>
      </c>
      <c r="H144" s="276">
        <v>3.9131</v>
      </c>
      <c r="I144" s="35">
        <v>3.0689000000000002</v>
      </c>
      <c r="J144" s="26">
        <f t="shared" si="35"/>
        <v>21.573688380056726</v>
      </c>
      <c r="K144" s="35">
        <v>2.8574999999999999</v>
      </c>
      <c r="L144" s="37">
        <f t="shared" si="33"/>
        <v>6.8884616637883349</v>
      </c>
      <c r="M144" s="68"/>
      <c r="N144" s="69"/>
      <c r="O144" s="68"/>
      <c r="P144" s="69"/>
      <c r="Q144" s="3"/>
      <c r="R144" s="3"/>
      <c r="S144" s="3"/>
      <c r="T144" s="3"/>
      <c r="U144" s="3"/>
      <c r="W144"/>
    </row>
    <row r="145" spans="1:27" ht="15" customHeight="1" x14ac:dyDescent="0.25">
      <c r="A145" s="496"/>
      <c r="B145" s="282" t="s">
        <v>138</v>
      </c>
      <c r="C145" s="38">
        <v>3.9537</v>
      </c>
      <c r="D145" s="35">
        <v>3.1627000000000001</v>
      </c>
      <c r="E145" s="26">
        <f>((C145-D145)/C145)*100</f>
        <v>20.006576118572475</v>
      </c>
      <c r="F145" s="38">
        <v>2.9518</v>
      </c>
      <c r="G145" s="37">
        <f t="shared" si="32"/>
        <v>6.6683529895342613</v>
      </c>
      <c r="H145" s="276">
        <v>3.9514999999999998</v>
      </c>
      <c r="I145" s="35">
        <v>3.0971000000000002</v>
      </c>
      <c r="J145" s="26">
        <f>((H145-I145)/H145)*100</f>
        <v>21.622168796659487</v>
      </c>
      <c r="K145" s="35">
        <v>2.8834</v>
      </c>
      <c r="L145" s="37">
        <f t="shared" si="33"/>
        <v>6.9000032288269741</v>
      </c>
      <c r="M145" s="68"/>
      <c r="N145" s="69"/>
      <c r="O145" s="68"/>
      <c r="P145" s="69"/>
      <c r="Q145" s="3"/>
      <c r="R145" s="3"/>
      <c r="S145" s="3"/>
      <c r="T145" s="3"/>
      <c r="U145" s="3"/>
      <c r="W145"/>
    </row>
    <row r="146" spans="1:27" ht="15" customHeight="1" x14ac:dyDescent="0.25">
      <c r="A146" s="496"/>
      <c r="B146" s="282" t="s">
        <v>139</v>
      </c>
      <c r="C146" s="38">
        <v>3.9085999999999999</v>
      </c>
      <c r="D146" s="35">
        <v>3.133</v>
      </c>
      <c r="E146" s="26">
        <f t="shared" ref="E146:E155" si="36">((C146-D146)/C146)*100</f>
        <v>19.843422197206156</v>
      </c>
      <c r="F146" s="38">
        <v>2.923</v>
      </c>
      <c r="G146" s="37">
        <f>((D146-F146)/D146)*100</f>
        <v>6.7028407277369917</v>
      </c>
      <c r="H146" s="276">
        <v>3.9716</v>
      </c>
      <c r="I146" s="35">
        <v>3.1191</v>
      </c>
      <c r="J146" s="26">
        <f t="shared" ref="J146:J155" si="37">((H146-I146)/H146)*100</f>
        <v>21.464900795649108</v>
      </c>
      <c r="K146" s="35">
        <v>2.9058999999999999</v>
      </c>
      <c r="L146" s="37">
        <f>((I146-K146)/I146)*100</f>
        <v>6.8353050559456268</v>
      </c>
      <c r="M146" s="68"/>
      <c r="N146" s="69"/>
      <c r="O146" s="68"/>
      <c r="P146" s="69"/>
      <c r="Q146" s="3"/>
      <c r="R146" s="3"/>
      <c r="S146" s="3"/>
      <c r="T146" s="3"/>
      <c r="U146" s="3"/>
      <c r="W146"/>
    </row>
    <row r="147" spans="1:27" ht="15" customHeight="1" x14ac:dyDescent="0.25">
      <c r="A147" s="496"/>
      <c r="B147" s="282" t="s">
        <v>140</v>
      </c>
      <c r="C147" s="38">
        <v>4.0269000000000004</v>
      </c>
      <c r="D147" s="35">
        <v>3.2238000000000002</v>
      </c>
      <c r="E147" s="26">
        <f t="shared" si="36"/>
        <v>19.943380764359684</v>
      </c>
      <c r="F147" s="38">
        <v>3.0091000000000001</v>
      </c>
      <c r="G147" s="37">
        <f t="shared" ref="G147:G155" si="38">((D147-F147)/D147)*100</f>
        <v>6.659842421986478</v>
      </c>
      <c r="H147" s="276">
        <v>3.9746999999999999</v>
      </c>
      <c r="I147" s="35">
        <v>3.1198999999999999</v>
      </c>
      <c r="J147" s="26">
        <f t="shared" si="37"/>
        <v>21.506025611995874</v>
      </c>
      <c r="K147" s="35">
        <v>2.9028999999999998</v>
      </c>
      <c r="L147" s="37">
        <f t="shared" ref="L147:L155" si="39">((I147-K147)/I147)*100</f>
        <v>6.95535113304914</v>
      </c>
      <c r="M147" s="68"/>
      <c r="N147" s="69"/>
      <c r="O147" s="68"/>
      <c r="P147" s="69"/>
      <c r="Q147" s="3"/>
      <c r="R147" s="3"/>
      <c r="S147" s="3"/>
      <c r="T147" s="3"/>
      <c r="U147" s="3"/>
      <c r="W147"/>
    </row>
    <row r="148" spans="1:27" ht="15.75" customHeight="1" thickBot="1" x14ac:dyDescent="0.3">
      <c r="A148" s="497"/>
      <c r="B148" s="283" t="s">
        <v>141</v>
      </c>
      <c r="C148" s="44">
        <v>3.8944000000000001</v>
      </c>
      <c r="D148" s="40">
        <v>3.1341999999999999</v>
      </c>
      <c r="E148" s="41">
        <f t="shared" si="36"/>
        <v>19.520336894001648</v>
      </c>
      <c r="F148" s="44">
        <v>2.9236</v>
      </c>
      <c r="G148" s="43">
        <f t="shared" si="38"/>
        <v>6.7194180333099336</v>
      </c>
      <c r="H148" s="277">
        <v>4.0087999999999999</v>
      </c>
      <c r="I148" s="40">
        <v>3.1610999999999998</v>
      </c>
      <c r="J148" s="41">
        <f t="shared" si="37"/>
        <v>21.145978846537623</v>
      </c>
      <c r="K148" s="40">
        <v>2.9436</v>
      </c>
      <c r="L148" s="43">
        <f t="shared" si="39"/>
        <v>6.8805162759798737</v>
      </c>
      <c r="M148" s="68"/>
      <c r="N148" s="69"/>
      <c r="O148" s="68"/>
      <c r="P148" s="69"/>
      <c r="Q148" s="3"/>
      <c r="R148" s="3"/>
      <c r="S148" s="3"/>
      <c r="T148" s="3"/>
      <c r="U148" s="3"/>
      <c r="W148"/>
    </row>
    <row r="149" spans="1:27" ht="15" customHeight="1" x14ac:dyDescent="0.25">
      <c r="A149" s="498" t="s">
        <v>20</v>
      </c>
      <c r="B149" s="284" t="s">
        <v>135</v>
      </c>
      <c r="C149" s="49">
        <v>3.9403999999999999</v>
      </c>
      <c r="D149" s="50">
        <v>3.1389</v>
      </c>
      <c r="E149" s="51">
        <f t="shared" si="36"/>
        <v>20.340574560958274</v>
      </c>
      <c r="F149" s="52">
        <v>3.0381999999999998</v>
      </c>
      <c r="G149" s="53">
        <f t="shared" si="38"/>
        <v>3.2081302367071345</v>
      </c>
      <c r="H149" s="278">
        <v>3.9487999999999999</v>
      </c>
      <c r="I149" s="45">
        <v>3.1150000000000002</v>
      </c>
      <c r="J149" s="54">
        <f t="shared" si="37"/>
        <v>21.115275526742295</v>
      </c>
      <c r="K149" s="47">
        <v>3.0122</v>
      </c>
      <c r="L149" s="48">
        <f t="shared" si="39"/>
        <v>3.3001605136436662</v>
      </c>
      <c r="M149" s="68"/>
      <c r="N149" s="69"/>
      <c r="O149" s="68"/>
      <c r="P149" s="69"/>
      <c r="Q149" s="3"/>
      <c r="R149" s="3"/>
      <c r="S149" s="3"/>
      <c r="T149" s="3"/>
      <c r="U149" s="3"/>
      <c r="W149"/>
    </row>
    <row r="150" spans="1:27" ht="15" customHeight="1" x14ac:dyDescent="0.25">
      <c r="A150" s="498"/>
      <c r="B150" s="285" t="s">
        <v>136</v>
      </c>
      <c r="C150" s="25">
        <v>3.9512999999999998</v>
      </c>
      <c r="D150" s="55">
        <v>3.1381999999999999</v>
      </c>
      <c r="E150" s="56">
        <f t="shared" si="36"/>
        <v>20.578037607875888</v>
      </c>
      <c r="F150" s="57">
        <v>3.0383</v>
      </c>
      <c r="G150" s="27">
        <f t="shared" si="38"/>
        <v>3.1833535147536764</v>
      </c>
      <c r="H150" s="254">
        <v>3.9843999999999999</v>
      </c>
      <c r="I150" s="25">
        <v>3.1482999999999999</v>
      </c>
      <c r="J150" s="26">
        <f t="shared" si="37"/>
        <v>20.984338921795004</v>
      </c>
      <c r="K150" s="28">
        <v>3.0451000000000001</v>
      </c>
      <c r="L150" s="27">
        <f t="shared" si="39"/>
        <v>3.2779595337166003</v>
      </c>
      <c r="M150" s="68"/>
      <c r="N150" s="69"/>
      <c r="O150" s="68"/>
      <c r="P150" s="69"/>
      <c r="Q150" s="3"/>
      <c r="R150" s="3"/>
      <c r="S150" s="3"/>
      <c r="T150" s="3"/>
      <c r="U150" s="3"/>
      <c r="W150"/>
    </row>
    <row r="151" spans="1:27" ht="15" customHeight="1" x14ac:dyDescent="0.25">
      <c r="A151" s="498"/>
      <c r="B151" s="285" t="s">
        <v>137</v>
      </c>
      <c r="C151" s="25">
        <v>3.9672000000000001</v>
      </c>
      <c r="D151" s="25">
        <v>3.1507000000000001</v>
      </c>
      <c r="E151" s="26">
        <f t="shared" si="36"/>
        <v>20.581266384351686</v>
      </c>
      <c r="F151" s="28">
        <v>3.0489000000000002</v>
      </c>
      <c r="G151" s="27">
        <f t="shared" si="38"/>
        <v>3.2310280255181354</v>
      </c>
      <c r="H151" s="254">
        <v>4.0387000000000004</v>
      </c>
      <c r="I151" s="25">
        <v>3.1781999999999999</v>
      </c>
      <c r="J151" s="26">
        <f t="shared" si="37"/>
        <v>21.306360957733933</v>
      </c>
      <c r="K151" s="28">
        <v>3.0739999999999998</v>
      </c>
      <c r="L151" s="27">
        <f t="shared" si="39"/>
        <v>3.2785853627839678</v>
      </c>
      <c r="M151" s="68"/>
      <c r="N151" s="69"/>
      <c r="O151" s="68"/>
      <c r="P151" s="69"/>
      <c r="Q151" s="3"/>
      <c r="R151" s="3"/>
      <c r="S151" s="3"/>
      <c r="T151" s="3"/>
      <c r="U151" s="3"/>
      <c r="W151"/>
    </row>
    <row r="152" spans="1:27" ht="15" customHeight="1" x14ac:dyDescent="0.25">
      <c r="A152" s="498"/>
      <c r="B152" s="285" t="s">
        <v>138</v>
      </c>
      <c r="C152" s="25">
        <v>3.9348000000000001</v>
      </c>
      <c r="D152" s="25">
        <v>3.1175999999999999</v>
      </c>
      <c r="E152" s="26">
        <f t="shared" si="36"/>
        <v>20.76852698993596</v>
      </c>
      <c r="F152" s="28">
        <v>3.0167999999999999</v>
      </c>
      <c r="G152" s="27">
        <f t="shared" si="38"/>
        <v>3.2332563510392611</v>
      </c>
      <c r="H152" s="254">
        <v>3.9521000000000002</v>
      </c>
      <c r="I152" s="25">
        <v>3.1017000000000001</v>
      </c>
      <c r="J152" s="26">
        <f t="shared" si="37"/>
        <v>21.517674147921358</v>
      </c>
      <c r="K152" s="28">
        <v>2.9977999999999998</v>
      </c>
      <c r="L152" s="27">
        <f t="shared" si="39"/>
        <v>3.3497759293290881</v>
      </c>
      <c r="M152" s="68"/>
      <c r="N152" s="69"/>
      <c r="O152" s="68"/>
      <c r="P152" s="69"/>
      <c r="Q152" s="3"/>
      <c r="R152" s="3"/>
      <c r="S152" s="3"/>
      <c r="T152" s="3"/>
      <c r="U152" s="3"/>
      <c r="W152"/>
    </row>
    <row r="153" spans="1:27" ht="15" customHeight="1" x14ac:dyDescent="0.25">
      <c r="A153" s="498"/>
      <c r="B153" s="285" t="s">
        <v>139</v>
      </c>
      <c r="C153" s="25">
        <v>3.9207999999999998</v>
      </c>
      <c r="D153" s="25">
        <v>3.1120000000000001</v>
      </c>
      <c r="E153" s="26">
        <f t="shared" si="36"/>
        <v>20.628443174862269</v>
      </c>
      <c r="F153" s="28">
        <v>3.0118</v>
      </c>
      <c r="G153" s="27">
        <f t="shared" si="38"/>
        <v>3.2197943444730099</v>
      </c>
      <c r="H153" s="254">
        <v>3.9302999999999999</v>
      </c>
      <c r="I153" s="25">
        <v>3.0918000000000001</v>
      </c>
      <c r="J153" s="26">
        <f t="shared" si="37"/>
        <v>21.334249293947021</v>
      </c>
      <c r="K153" s="28">
        <v>2.9878999999999998</v>
      </c>
      <c r="L153" s="27">
        <f t="shared" si="39"/>
        <v>3.360501972960745</v>
      </c>
      <c r="M153" s="68"/>
      <c r="N153" s="69"/>
      <c r="O153" s="68"/>
      <c r="P153" s="69"/>
      <c r="Q153" s="3"/>
      <c r="R153" s="3"/>
      <c r="S153" s="3"/>
      <c r="T153" s="3"/>
      <c r="U153" s="3"/>
      <c r="W153"/>
    </row>
    <row r="154" spans="1:27" ht="15" customHeight="1" x14ac:dyDescent="0.25">
      <c r="A154" s="498"/>
      <c r="B154" s="285" t="s">
        <v>140</v>
      </c>
      <c r="C154" s="25">
        <v>3.9872000000000001</v>
      </c>
      <c r="D154" s="25">
        <v>3.1705999999999999</v>
      </c>
      <c r="E154" s="26">
        <f t="shared" si="36"/>
        <v>20.480537720706266</v>
      </c>
      <c r="F154" s="28">
        <v>3.0666000000000002</v>
      </c>
      <c r="G154" s="27">
        <f t="shared" si="38"/>
        <v>3.2801362518135257</v>
      </c>
      <c r="H154" s="254">
        <v>3.9594999999999998</v>
      </c>
      <c r="I154" s="25">
        <v>3.1143999999999998</v>
      </c>
      <c r="J154" s="26">
        <f t="shared" si="37"/>
        <v>21.34360399040283</v>
      </c>
      <c r="K154" s="28">
        <v>3.0106999999999999</v>
      </c>
      <c r="L154" s="27">
        <f t="shared" si="39"/>
        <v>3.3296943231441021</v>
      </c>
      <c r="M154" s="68"/>
      <c r="N154" s="69"/>
      <c r="O154" s="68"/>
      <c r="P154" s="69"/>
      <c r="Q154" s="3"/>
      <c r="R154" s="3"/>
      <c r="S154" s="3"/>
      <c r="T154" s="3"/>
      <c r="U154" s="3"/>
      <c r="W154"/>
    </row>
    <row r="155" spans="1:27" ht="15.95" customHeight="1" thickBot="1" x14ac:dyDescent="0.3">
      <c r="A155" s="499"/>
      <c r="B155" s="286" t="s">
        <v>141</v>
      </c>
      <c r="C155" s="58">
        <v>3.9859</v>
      </c>
      <c r="D155" s="58">
        <v>3.1815000000000002</v>
      </c>
      <c r="E155" s="59">
        <f t="shared" si="36"/>
        <v>20.181138513259235</v>
      </c>
      <c r="F155" s="60">
        <v>3.0788000000000002</v>
      </c>
      <c r="G155" s="61">
        <f t="shared" si="38"/>
        <v>3.228037089423228</v>
      </c>
      <c r="H155" s="255">
        <v>4.0400999999999998</v>
      </c>
      <c r="I155" s="58">
        <v>3.1879</v>
      </c>
      <c r="J155" s="59">
        <f t="shared" si="37"/>
        <v>21.09353728868097</v>
      </c>
      <c r="K155" s="60">
        <v>3.0815000000000001</v>
      </c>
      <c r="L155" s="61">
        <f t="shared" si="39"/>
        <v>3.337620377050718</v>
      </c>
      <c r="M155" s="68"/>
      <c r="N155" s="69"/>
      <c r="O155" s="68"/>
      <c r="P155" s="69"/>
      <c r="Q155" s="3"/>
      <c r="R155" s="3"/>
      <c r="S155" s="3"/>
      <c r="T155" s="3"/>
      <c r="U155" s="3"/>
      <c r="W155"/>
    </row>
    <row r="156" spans="1:27" x14ac:dyDescent="0.25">
      <c r="A156" s="66"/>
      <c r="B156" s="67"/>
      <c r="C156" s="120"/>
      <c r="D156" s="120"/>
      <c r="E156" s="69"/>
      <c r="F156" s="120"/>
      <c r="G156" s="69"/>
      <c r="H156" s="68"/>
      <c r="I156" s="68"/>
      <c r="J156" s="69"/>
      <c r="K156" s="68"/>
      <c r="L156" s="69"/>
      <c r="M156" s="68"/>
      <c r="N156" s="68"/>
      <c r="O156" s="69"/>
      <c r="P156" s="68"/>
      <c r="Q156" s="69"/>
    </row>
    <row r="157" spans="1:27" ht="15.75" x14ac:dyDescent="0.25">
      <c r="A157" s="118"/>
      <c r="B157" s="3"/>
      <c r="C157" s="3"/>
      <c r="D157" s="3"/>
      <c r="E157" s="3"/>
      <c r="F157" s="3"/>
      <c r="G157" s="3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</row>
    <row r="158" spans="1:27" x14ac:dyDescent="0.25">
      <c r="A158" s="118"/>
      <c r="B158" s="64"/>
      <c r="C158" s="119"/>
      <c r="D158" s="64"/>
      <c r="E158" s="65"/>
      <c r="F158" s="64"/>
      <c r="G158" s="65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</row>
    <row r="159" spans="1:27" ht="15" customHeight="1" x14ac:dyDescent="0.25">
      <c r="A159" s="70"/>
      <c r="B159" s="64"/>
      <c r="C159" s="68"/>
      <c r="D159" s="68"/>
      <c r="E159" s="69"/>
      <c r="F159" s="68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3"/>
      <c r="Y159" s="3"/>
      <c r="Z159" s="3"/>
      <c r="AA159" s="3"/>
    </row>
    <row r="160" spans="1:27" ht="15" customHeight="1" x14ac:dyDescent="0.25">
      <c r="A160" s="70"/>
      <c r="B160" s="64"/>
      <c r="C160" s="68"/>
      <c r="D160" s="68"/>
      <c r="E160" s="69"/>
      <c r="F160" s="68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3"/>
      <c r="Y160" s="3"/>
      <c r="Z160" s="3"/>
      <c r="AA160" s="3"/>
    </row>
    <row r="161" spans="1:27" ht="15" customHeight="1" x14ac:dyDescent="0.25">
      <c r="A161" s="70"/>
      <c r="B161" s="64"/>
      <c r="C161" s="68"/>
      <c r="D161" s="68"/>
      <c r="E161" s="69"/>
      <c r="F161" s="68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3"/>
      <c r="Y161" s="3"/>
      <c r="Z161" s="3"/>
      <c r="AA161" s="3"/>
    </row>
    <row r="162" spans="1:27" ht="15" customHeight="1" x14ac:dyDescent="0.25">
      <c r="A162" s="70"/>
      <c r="B162" s="64"/>
      <c r="C162" s="68"/>
      <c r="D162" s="68"/>
      <c r="E162" s="69"/>
      <c r="F162" s="68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3"/>
      <c r="Y162" s="3"/>
      <c r="Z162" s="3"/>
      <c r="AA162" s="3"/>
    </row>
    <row r="163" spans="1:27" ht="15" customHeight="1" x14ac:dyDescent="0.25">
      <c r="A163" s="70"/>
      <c r="B163" s="64"/>
      <c r="C163" s="68"/>
      <c r="D163" s="68"/>
      <c r="E163" s="69"/>
      <c r="F163" s="68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3"/>
      <c r="Y163" s="3"/>
      <c r="Z163" s="3"/>
      <c r="AA163" s="3"/>
    </row>
    <row r="164" spans="1:27" ht="15" customHeight="1" x14ac:dyDescent="0.25">
      <c r="A164" s="70"/>
      <c r="B164" s="64"/>
      <c r="C164" s="68"/>
      <c r="D164" s="68"/>
      <c r="E164" s="69"/>
      <c r="F164" s="68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3"/>
      <c r="Y164" s="3"/>
      <c r="Z164" s="3"/>
      <c r="AA164" s="3"/>
    </row>
    <row r="165" spans="1:27" ht="15.95" customHeight="1" x14ac:dyDescent="0.25">
      <c r="A165" s="70"/>
      <c r="B165" s="64"/>
      <c r="C165" s="68"/>
      <c r="D165" s="68"/>
      <c r="E165" s="69"/>
      <c r="F165" s="68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3"/>
      <c r="Y165" s="3"/>
      <c r="Z165" s="3"/>
      <c r="AA165" s="3"/>
    </row>
    <row r="166" spans="1:27" x14ac:dyDescent="0.25">
      <c r="A166" s="66"/>
      <c r="B166" s="67"/>
      <c r="C166" s="120"/>
      <c r="D166" s="120"/>
      <c r="E166" s="69"/>
      <c r="F166" s="120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</row>
    <row r="167" spans="1:27" ht="15.75" x14ac:dyDescent="0.25">
      <c r="A167" s="118"/>
      <c r="B167" s="3"/>
      <c r="C167" s="3"/>
      <c r="D167" s="3"/>
      <c r="E167" s="3"/>
      <c r="F167" s="3"/>
      <c r="G167" s="3"/>
      <c r="H167" s="68"/>
      <c r="I167" s="68"/>
      <c r="J167" s="69"/>
      <c r="K167" s="68"/>
      <c r="L167" s="69"/>
      <c r="M167" s="68"/>
      <c r="N167" s="68"/>
      <c r="O167" s="69"/>
      <c r="P167" s="68"/>
      <c r="Q167" s="69"/>
    </row>
    <row r="168" spans="1:27" x14ac:dyDescent="0.25">
      <c r="A168" s="118"/>
      <c r="B168" s="64"/>
      <c r="C168" s="119"/>
      <c r="D168" s="64"/>
      <c r="E168" s="65"/>
      <c r="F168" s="64"/>
      <c r="G168" s="65"/>
      <c r="H168" s="68"/>
      <c r="I168" s="68"/>
      <c r="J168" s="69"/>
      <c r="K168" s="68"/>
      <c r="L168" s="69"/>
      <c r="M168" s="68"/>
      <c r="N168" s="68"/>
      <c r="O168" s="69"/>
      <c r="P168" s="68"/>
      <c r="Q168" s="69"/>
    </row>
    <row r="169" spans="1:27" ht="15" customHeight="1" x14ac:dyDescent="0.25">
      <c r="A169" s="70"/>
      <c r="B169" s="64"/>
      <c r="C169" s="68"/>
      <c r="D169" s="68"/>
      <c r="E169" s="69"/>
      <c r="F169" s="68"/>
      <c r="G169" s="69"/>
      <c r="H169" s="68"/>
      <c r="I169" s="68"/>
      <c r="J169" s="69"/>
      <c r="K169" s="68"/>
      <c r="L169" s="69"/>
      <c r="M169" s="68"/>
      <c r="N169" s="68"/>
      <c r="O169" s="69"/>
      <c r="P169" s="68"/>
      <c r="Q169" s="69"/>
    </row>
    <row r="170" spans="1:27" x14ac:dyDescent="0.25">
      <c r="A170" s="70"/>
      <c r="B170" s="64"/>
      <c r="C170" s="68"/>
      <c r="D170" s="68"/>
      <c r="E170" s="69"/>
      <c r="F170" s="68"/>
      <c r="G170" s="69"/>
      <c r="H170" s="68"/>
      <c r="I170" s="68"/>
      <c r="J170" s="69"/>
      <c r="K170" s="68"/>
      <c r="L170" s="69"/>
      <c r="M170" s="68"/>
      <c r="N170" s="68"/>
      <c r="O170" s="69"/>
      <c r="P170" s="68"/>
      <c r="Q170" s="69"/>
    </row>
    <row r="171" spans="1:27" x14ac:dyDescent="0.25">
      <c r="A171" s="70"/>
      <c r="B171" s="64"/>
      <c r="C171" s="68"/>
      <c r="D171" s="68"/>
      <c r="E171" s="69"/>
      <c r="F171" s="68"/>
      <c r="G171" s="69"/>
      <c r="H171" s="68"/>
      <c r="I171" s="68"/>
      <c r="J171" s="69"/>
      <c r="K171" s="68"/>
      <c r="L171" s="69"/>
      <c r="M171" s="68"/>
      <c r="N171" s="68"/>
      <c r="O171" s="69"/>
      <c r="P171" s="68"/>
      <c r="Q171" s="69"/>
    </row>
    <row r="172" spans="1:27" x14ac:dyDescent="0.25">
      <c r="A172" s="70"/>
      <c r="B172" s="202"/>
      <c r="C172" s="68"/>
      <c r="D172" s="68"/>
      <c r="E172" s="69"/>
      <c r="F172" s="68"/>
      <c r="G172" s="69"/>
      <c r="H172" s="68"/>
      <c r="I172" s="68"/>
      <c r="J172" s="69"/>
      <c r="K172" s="68"/>
      <c r="L172" s="69"/>
      <c r="M172" s="68"/>
      <c r="N172" s="68"/>
      <c r="O172" s="69"/>
      <c r="P172" s="68"/>
      <c r="Q172" s="69"/>
    </row>
    <row r="173" spans="1:27" x14ac:dyDescent="0.25">
      <c r="A173" s="70"/>
      <c r="B173" s="202"/>
      <c r="C173" s="68"/>
      <c r="D173" s="68"/>
      <c r="E173" s="69"/>
      <c r="F173" s="68"/>
      <c r="G173" s="69"/>
      <c r="H173" s="68"/>
      <c r="I173" s="68"/>
      <c r="J173" s="69"/>
      <c r="K173" s="68"/>
      <c r="L173" s="69"/>
      <c r="M173" s="68"/>
      <c r="N173" s="68"/>
      <c r="O173" s="69"/>
      <c r="P173" s="68"/>
      <c r="Q173" s="69"/>
    </row>
    <row r="174" spans="1:27" x14ac:dyDescent="0.25">
      <c r="A174" s="70"/>
      <c r="B174" s="202"/>
      <c r="C174" s="68"/>
      <c r="D174" s="68"/>
      <c r="E174" s="69"/>
      <c r="F174" s="68"/>
      <c r="G174" s="69"/>
      <c r="H174" s="68"/>
      <c r="I174" s="68"/>
      <c r="J174" s="69"/>
      <c r="K174" s="68"/>
      <c r="L174" s="69"/>
      <c r="M174" s="68"/>
      <c r="N174" s="68"/>
      <c r="O174" s="69"/>
      <c r="P174" s="68"/>
      <c r="Q174" s="69"/>
    </row>
    <row r="175" spans="1:27" x14ac:dyDescent="0.25">
      <c r="A175" s="70"/>
      <c r="B175" s="202"/>
      <c r="C175" s="68"/>
      <c r="D175" s="68"/>
      <c r="E175" s="69"/>
      <c r="F175" s="68"/>
      <c r="G175" s="69"/>
      <c r="H175" s="68"/>
      <c r="I175" s="68"/>
      <c r="J175" s="69"/>
      <c r="K175" s="68"/>
      <c r="L175" s="69"/>
      <c r="M175" s="68"/>
      <c r="N175" s="68"/>
      <c r="O175" s="69"/>
      <c r="P175" s="68"/>
      <c r="Q175" s="69"/>
    </row>
    <row r="176" spans="1:27" x14ac:dyDescent="0.25">
      <c r="A176" s="70"/>
      <c r="B176" s="202"/>
      <c r="C176" s="68"/>
      <c r="D176" s="68"/>
      <c r="E176" s="69"/>
      <c r="F176" s="68"/>
      <c r="G176" s="69"/>
    </row>
    <row r="177" spans="1:17" x14ac:dyDescent="0.25">
      <c r="A177" s="70"/>
      <c r="B177" s="202"/>
      <c r="C177" s="68"/>
      <c r="D177" s="68"/>
      <c r="E177" s="69"/>
      <c r="F177" s="68"/>
      <c r="G177" s="69"/>
    </row>
    <row r="178" spans="1:17" x14ac:dyDescent="0.25">
      <c r="A178" s="70"/>
      <c r="B178" s="202"/>
      <c r="C178" s="68"/>
      <c r="D178" s="68"/>
      <c r="E178" s="69"/>
      <c r="F178" s="68"/>
      <c r="G178" s="69"/>
    </row>
    <row r="179" spans="1:17" x14ac:dyDescent="0.25">
      <c r="A179" s="70"/>
      <c r="B179" s="202"/>
      <c r="C179" s="68"/>
      <c r="D179" s="68"/>
      <c r="E179" s="69"/>
      <c r="F179" s="68"/>
      <c r="G179" s="69"/>
    </row>
    <row r="180" spans="1:17" x14ac:dyDescent="0.25">
      <c r="A180" s="70"/>
      <c r="B180" s="202"/>
      <c r="C180" s="68"/>
      <c r="D180" s="68"/>
      <c r="E180" s="69"/>
      <c r="F180" s="68"/>
      <c r="G180" s="69"/>
    </row>
    <row r="181" spans="1:17" ht="15.75" x14ac:dyDescent="0.25">
      <c r="A181" s="11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x14ac:dyDescent="0.25">
      <c r="A182" s="64"/>
      <c r="B182" s="64"/>
      <c r="C182" s="119"/>
      <c r="D182" s="64"/>
      <c r="E182" s="65"/>
      <c r="F182" s="64"/>
      <c r="G182" s="65"/>
      <c r="H182" s="64"/>
      <c r="I182" s="64"/>
      <c r="J182" s="65"/>
      <c r="K182" s="64"/>
      <c r="L182" s="65"/>
      <c r="M182" s="64"/>
      <c r="N182" s="64"/>
      <c r="O182" s="65"/>
      <c r="P182" s="64"/>
      <c r="Q182" s="65"/>
    </row>
    <row r="183" spans="1:17" x14ac:dyDescent="0.25">
      <c r="A183" s="66"/>
      <c r="B183" s="67"/>
      <c r="C183" s="121"/>
      <c r="D183" s="121"/>
      <c r="E183" s="69"/>
      <c r="F183" s="121"/>
      <c r="G183" s="69"/>
      <c r="H183" s="68"/>
      <c r="I183" s="68"/>
      <c r="J183" s="69"/>
      <c r="K183" s="68"/>
      <c r="L183" s="69"/>
      <c r="M183" s="68"/>
      <c r="N183" s="68"/>
      <c r="O183" s="69"/>
      <c r="P183" s="68"/>
      <c r="Q183" s="69"/>
    </row>
    <row r="184" spans="1:17" x14ac:dyDescent="0.25">
      <c r="A184" s="66"/>
      <c r="B184" s="67"/>
      <c r="C184" s="121"/>
      <c r="D184" s="121"/>
      <c r="E184" s="69"/>
      <c r="F184" s="121"/>
      <c r="G184" s="69"/>
      <c r="H184" s="68"/>
      <c r="I184" s="68"/>
      <c r="J184" s="69"/>
      <c r="K184" s="68"/>
      <c r="L184" s="69"/>
      <c r="M184" s="68"/>
      <c r="N184" s="68"/>
      <c r="O184" s="69"/>
      <c r="P184" s="68"/>
      <c r="Q184" s="69"/>
    </row>
    <row r="185" spans="1:17" x14ac:dyDescent="0.25">
      <c r="A185" s="66"/>
      <c r="B185" s="67"/>
      <c r="C185" s="121"/>
      <c r="D185" s="121"/>
      <c r="E185" s="69"/>
      <c r="F185" s="121"/>
      <c r="G185" s="69"/>
      <c r="H185" s="68"/>
      <c r="I185" s="68"/>
      <c r="J185" s="69"/>
      <c r="K185" s="68"/>
      <c r="L185" s="69"/>
      <c r="M185" s="68"/>
      <c r="N185" s="68"/>
      <c r="O185" s="69"/>
      <c r="P185" s="68"/>
      <c r="Q185" s="69"/>
    </row>
    <row r="186" spans="1:17" x14ac:dyDescent="0.25">
      <c r="A186" s="66"/>
      <c r="B186" s="67"/>
      <c r="C186" s="121"/>
      <c r="D186" s="121"/>
      <c r="E186" s="69"/>
      <c r="F186" s="121"/>
      <c r="G186" s="69"/>
      <c r="H186" s="68"/>
      <c r="I186" s="68"/>
      <c r="J186" s="69"/>
      <c r="K186" s="68"/>
      <c r="L186" s="69"/>
      <c r="M186" s="68"/>
      <c r="N186" s="68"/>
      <c r="O186" s="69"/>
      <c r="P186" s="68"/>
      <c r="Q186" s="69"/>
    </row>
    <row r="187" spans="1:17" x14ac:dyDescent="0.25">
      <c r="A187" s="66"/>
      <c r="B187" s="67"/>
      <c r="C187" s="121"/>
      <c r="D187" s="121"/>
      <c r="E187" s="69"/>
      <c r="F187" s="121"/>
      <c r="G187" s="69"/>
      <c r="H187" s="68"/>
      <c r="I187" s="68"/>
      <c r="J187" s="69"/>
      <c r="K187" s="68"/>
      <c r="L187" s="69"/>
      <c r="M187" s="68"/>
      <c r="N187" s="68"/>
      <c r="O187" s="69"/>
      <c r="P187" s="68"/>
      <c r="Q187" s="69"/>
    </row>
    <row r="188" spans="1:17" x14ac:dyDescent="0.25">
      <c r="A188" s="66"/>
      <c r="B188" s="67"/>
      <c r="C188" s="121"/>
      <c r="D188" s="121"/>
      <c r="E188" s="69"/>
      <c r="F188" s="121"/>
      <c r="G188" s="69"/>
      <c r="H188" s="68"/>
      <c r="I188" s="68"/>
      <c r="J188" s="69"/>
      <c r="K188" s="68"/>
      <c r="L188" s="69"/>
      <c r="M188" s="68"/>
      <c r="N188" s="68"/>
      <c r="O188" s="69"/>
      <c r="P188" s="68"/>
      <c r="Q188" s="69"/>
    </row>
    <row r="189" spans="1:17" x14ac:dyDescent="0.25">
      <c r="A189" s="66"/>
      <c r="B189" s="67"/>
      <c r="C189" s="121"/>
      <c r="D189" s="121"/>
      <c r="E189" s="69"/>
      <c r="F189" s="121"/>
      <c r="G189" s="69"/>
      <c r="H189" s="68"/>
      <c r="I189" s="68"/>
      <c r="J189" s="69"/>
      <c r="K189" s="68"/>
      <c r="L189" s="69"/>
      <c r="M189" s="68"/>
      <c r="N189" s="68"/>
      <c r="O189" s="69"/>
      <c r="P189" s="68"/>
      <c r="Q189" s="69"/>
    </row>
    <row r="190" spans="1:17" x14ac:dyDescent="0.25">
      <c r="A190" s="70"/>
      <c r="B190" s="67"/>
      <c r="C190" s="121"/>
      <c r="D190" s="121"/>
      <c r="E190" s="69"/>
      <c r="F190" s="121"/>
      <c r="G190" s="69"/>
      <c r="H190" s="68"/>
      <c r="I190" s="68"/>
      <c r="J190" s="69"/>
      <c r="K190" s="68"/>
      <c r="L190" s="69"/>
      <c r="M190" s="68"/>
      <c r="N190" s="68"/>
      <c r="O190" s="69"/>
      <c r="P190" s="68"/>
      <c r="Q190" s="69"/>
    </row>
    <row r="191" spans="1:17" x14ac:dyDescent="0.25">
      <c r="A191" s="66"/>
      <c r="B191" s="67"/>
      <c r="C191" s="121"/>
      <c r="D191" s="121"/>
      <c r="E191" s="69"/>
      <c r="F191" s="121"/>
      <c r="G191" s="69"/>
      <c r="H191" s="68"/>
      <c r="I191" s="68"/>
      <c r="J191" s="69"/>
      <c r="K191" s="68"/>
      <c r="L191" s="69"/>
      <c r="M191" s="68"/>
      <c r="N191" s="68"/>
      <c r="O191" s="69"/>
      <c r="P191" s="68"/>
      <c r="Q191" s="69"/>
    </row>
    <row r="192" spans="1:17" x14ac:dyDescent="0.25">
      <c r="A192" s="66"/>
      <c r="B192" s="67"/>
      <c r="C192" s="121"/>
      <c r="D192" s="121"/>
      <c r="E192" s="69"/>
      <c r="F192" s="121"/>
      <c r="G192" s="69"/>
      <c r="H192" s="68"/>
      <c r="I192" s="68"/>
      <c r="J192" s="69"/>
      <c r="K192" s="68"/>
      <c r="L192" s="69"/>
      <c r="M192" s="68"/>
      <c r="N192" s="68"/>
      <c r="O192" s="69"/>
      <c r="P192" s="68"/>
      <c r="Q192" s="69"/>
    </row>
    <row r="193" spans="1:17" x14ac:dyDescent="0.25">
      <c r="A193" s="66"/>
      <c r="B193" s="67"/>
      <c r="C193" s="121"/>
      <c r="D193" s="121"/>
      <c r="E193" s="69"/>
      <c r="F193" s="121"/>
      <c r="G193" s="69"/>
      <c r="H193" s="68"/>
      <c r="I193" s="68"/>
      <c r="J193" s="69"/>
      <c r="K193" s="68"/>
      <c r="L193" s="69"/>
      <c r="M193" s="68"/>
      <c r="N193" s="68"/>
      <c r="O193" s="69"/>
      <c r="P193" s="68"/>
      <c r="Q193" s="69"/>
    </row>
    <row r="194" spans="1:17" x14ac:dyDescent="0.25">
      <c r="A194" s="66"/>
      <c r="B194" s="67"/>
      <c r="C194" s="121"/>
      <c r="D194" s="121"/>
      <c r="E194" s="69"/>
      <c r="F194" s="121"/>
      <c r="G194" s="69"/>
      <c r="H194" s="68"/>
      <c r="I194" s="68"/>
      <c r="J194" s="69"/>
      <c r="K194" s="68"/>
      <c r="L194" s="69"/>
      <c r="M194" s="68"/>
      <c r="N194" s="68"/>
      <c r="O194" s="69"/>
      <c r="P194" s="68"/>
      <c r="Q194" s="69"/>
    </row>
    <row r="195" spans="1:17" x14ac:dyDescent="0.25">
      <c r="A195" s="66"/>
      <c r="B195" s="67"/>
      <c r="C195" s="121"/>
      <c r="D195" s="121"/>
      <c r="E195" s="69"/>
      <c r="F195" s="121"/>
      <c r="G195" s="69"/>
      <c r="H195" s="68"/>
      <c r="I195" s="68"/>
      <c r="J195" s="69"/>
      <c r="K195" s="68"/>
      <c r="L195" s="69"/>
      <c r="M195" s="68"/>
      <c r="N195" s="68"/>
      <c r="O195" s="69"/>
      <c r="P195" s="68"/>
      <c r="Q195" s="69"/>
    </row>
    <row r="196" spans="1:17" x14ac:dyDescent="0.25">
      <c r="A196" s="66"/>
      <c r="B196" s="67"/>
      <c r="C196" s="121"/>
      <c r="D196" s="121"/>
      <c r="E196" s="69"/>
      <c r="F196" s="121"/>
      <c r="G196" s="69"/>
      <c r="H196" s="68"/>
      <c r="I196" s="68"/>
      <c r="J196" s="69"/>
      <c r="K196" s="68"/>
      <c r="L196" s="69"/>
      <c r="M196" s="68"/>
      <c r="N196" s="68"/>
      <c r="O196" s="69"/>
      <c r="P196" s="68"/>
      <c r="Q196" s="69"/>
    </row>
    <row r="197" spans="1:17" x14ac:dyDescent="0.25">
      <c r="A197" s="70"/>
      <c r="B197" s="67"/>
      <c r="C197" s="121"/>
      <c r="D197" s="121"/>
      <c r="E197" s="69"/>
      <c r="F197" s="121"/>
      <c r="G197" s="69"/>
      <c r="H197" s="68"/>
      <c r="I197" s="68"/>
      <c r="J197" s="69"/>
      <c r="K197" s="68"/>
      <c r="L197" s="69"/>
      <c r="M197" s="68"/>
      <c r="N197" s="68"/>
      <c r="O197" s="69"/>
      <c r="P197" s="68"/>
      <c r="Q197" s="69"/>
    </row>
    <row r="198" spans="1:17" x14ac:dyDescent="0.25">
      <c r="A198" s="66"/>
      <c r="B198" s="67"/>
      <c r="C198" s="121"/>
      <c r="D198" s="121"/>
      <c r="E198" s="69"/>
      <c r="F198" s="121"/>
      <c r="G198" s="69"/>
      <c r="H198" s="68"/>
      <c r="I198" s="68"/>
      <c r="J198" s="69"/>
      <c r="K198" s="68"/>
      <c r="L198" s="69"/>
      <c r="M198" s="68"/>
      <c r="N198" s="68"/>
      <c r="O198" s="69"/>
      <c r="P198" s="68"/>
      <c r="Q198" s="69"/>
    </row>
    <row r="199" spans="1:17" x14ac:dyDescent="0.25">
      <c r="A199" s="66"/>
      <c r="B199" s="67"/>
      <c r="C199" s="121"/>
      <c r="D199" s="121"/>
      <c r="E199" s="69"/>
      <c r="F199" s="121"/>
      <c r="G199" s="69"/>
      <c r="H199" s="68"/>
      <c r="I199" s="68"/>
      <c r="J199" s="69"/>
      <c r="K199" s="68"/>
      <c r="L199" s="69"/>
      <c r="M199" s="68"/>
      <c r="N199" s="68"/>
      <c r="O199" s="69"/>
      <c r="P199" s="68"/>
      <c r="Q199" s="69"/>
    </row>
    <row r="200" spans="1:17" x14ac:dyDescent="0.25">
      <c r="A200" s="66"/>
      <c r="B200" s="67"/>
      <c r="C200" s="121"/>
      <c r="D200" s="121"/>
      <c r="E200" s="69"/>
      <c r="F200" s="121"/>
      <c r="G200" s="69"/>
      <c r="H200" s="68"/>
      <c r="I200" s="68"/>
      <c r="J200" s="69"/>
      <c r="K200" s="68"/>
      <c r="L200" s="69"/>
      <c r="M200" s="68"/>
      <c r="N200" s="68"/>
      <c r="O200" s="69"/>
      <c r="P200" s="68"/>
      <c r="Q200" s="69"/>
    </row>
    <row r="201" spans="1:17" x14ac:dyDescent="0.25">
      <c r="A201" s="66"/>
      <c r="B201" s="67"/>
      <c r="C201" s="121"/>
      <c r="D201" s="121"/>
      <c r="E201" s="69"/>
      <c r="F201" s="121"/>
      <c r="G201" s="69"/>
      <c r="H201" s="68"/>
      <c r="I201" s="68"/>
      <c r="J201" s="69"/>
      <c r="K201" s="68"/>
      <c r="L201" s="69"/>
      <c r="M201" s="68"/>
      <c r="N201" s="68"/>
      <c r="O201" s="69"/>
      <c r="P201" s="68"/>
      <c r="Q201" s="69"/>
    </row>
    <row r="202" spans="1:17" x14ac:dyDescent="0.25">
      <c r="A202" s="66"/>
      <c r="B202" s="67"/>
      <c r="C202" s="121"/>
      <c r="D202" s="121"/>
      <c r="E202" s="69"/>
      <c r="F202" s="121"/>
      <c r="G202" s="69"/>
      <c r="H202" s="68"/>
      <c r="I202" s="68"/>
      <c r="J202" s="69"/>
      <c r="K202" s="68"/>
      <c r="L202" s="69"/>
      <c r="M202" s="68"/>
      <c r="N202" s="68"/>
      <c r="O202" s="69"/>
      <c r="P202" s="68"/>
      <c r="Q202" s="69"/>
    </row>
    <row r="203" spans="1:17" x14ac:dyDescent="0.25">
      <c r="A203" s="66"/>
      <c r="B203" s="67"/>
      <c r="C203" s="121"/>
      <c r="D203" s="121"/>
      <c r="E203" s="69"/>
      <c r="F203" s="121"/>
      <c r="G203" s="69"/>
      <c r="H203" s="68"/>
      <c r="I203" s="68"/>
      <c r="J203" s="69"/>
      <c r="K203" s="68"/>
      <c r="L203" s="69"/>
      <c r="M203" s="68"/>
      <c r="N203" s="68"/>
      <c r="O203" s="69"/>
      <c r="P203" s="68"/>
      <c r="Q203" s="69"/>
    </row>
    <row r="204" spans="1:17" x14ac:dyDescent="0.25">
      <c r="A204" s="70"/>
      <c r="B204" s="67"/>
      <c r="C204" s="121"/>
      <c r="D204" s="121"/>
      <c r="E204" s="69"/>
      <c r="F204" s="121"/>
      <c r="G204" s="69"/>
      <c r="H204" s="68"/>
      <c r="I204" s="68"/>
      <c r="J204" s="69"/>
      <c r="K204" s="68"/>
      <c r="L204" s="69"/>
      <c r="M204" s="68"/>
      <c r="N204" s="68"/>
      <c r="O204" s="69"/>
      <c r="P204" s="68"/>
      <c r="Q204" s="69"/>
    </row>
    <row r="205" spans="1:17" x14ac:dyDescent="0.25">
      <c r="A205" s="66"/>
      <c r="B205" s="67"/>
      <c r="C205" s="121"/>
      <c r="D205" s="121"/>
      <c r="E205" s="69"/>
      <c r="F205" s="121"/>
      <c r="G205" s="69"/>
      <c r="H205" s="68"/>
      <c r="I205" s="68"/>
      <c r="J205" s="69"/>
      <c r="K205" s="68"/>
      <c r="L205" s="69"/>
      <c r="M205" s="68"/>
      <c r="N205" s="68"/>
      <c r="O205" s="69"/>
      <c r="P205" s="68"/>
      <c r="Q205" s="69"/>
    </row>
    <row r="206" spans="1:17" x14ac:dyDescent="0.25">
      <c r="A206" s="66"/>
      <c r="B206" s="67"/>
      <c r="C206" s="121"/>
      <c r="D206" s="121"/>
      <c r="E206" s="69"/>
      <c r="F206" s="121"/>
      <c r="G206" s="69"/>
      <c r="H206" s="68"/>
      <c r="I206" s="68"/>
      <c r="J206" s="69"/>
      <c r="K206" s="68"/>
      <c r="L206" s="69"/>
      <c r="M206" s="68"/>
      <c r="N206" s="68"/>
      <c r="O206" s="69"/>
      <c r="P206" s="68"/>
      <c r="Q206" s="69"/>
    </row>
    <row r="207" spans="1:17" x14ac:dyDescent="0.25">
      <c r="A207" s="66"/>
      <c r="B207" s="67"/>
      <c r="C207" s="121"/>
      <c r="D207" s="121"/>
      <c r="E207" s="69"/>
      <c r="F207" s="121"/>
      <c r="G207" s="69"/>
      <c r="H207" s="68"/>
      <c r="I207" s="68"/>
      <c r="J207" s="69"/>
      <c r="K207" s="68"/>
      <c r="L207" s="69"/>
      <c r="M207" s="68"/>
      <c r="N207" s="68"/>
      <c r="O207" s="69"/>
      <c r="P207" s="68"/>
      <c r="Q207" s="69"/>
    </row>
    <row r="208" spans="1:17" x14ac:dyDescent="0.25">
      <c r="A208" s="66"/>
      <c r="B208" s="67"/>
      <c r="C208" s="121"/>
      <c r="D208" s="121"/>
      <c r="E208" s="69"/>
      <c r="F208" s="121"/>
      <c r="G208" s="69"/>
      <c r="H208" s="68"/>
      <c r="I208" s="68"/>
      <c r="J208" s="69"/>
      <c r="K208" s="68"/>
      <c r="L208" s="69"/>
      <c r="M208" s="68"/>
      <c r="N208" s="68"/>
      <c r="O208" s="69"/>
      <c r="P208" s="68"/>
      <c r="Q208" s="69"/>
    </row>
    <row r="209" spans="1:17" x14ac:dyDescent="0.25">
      <c r="A209" s="66"/>
      <c r="B209" s="67"/>
      <c r="C209" s="121"/>
      <c r="D209" s="121"/>
      <c r="E209" s="69"/>
      <c r="F209" s="121"/>
      <c r="G209" s="69"/>
      <c r="H209" s="68"/>
      <c r="I209" s="68"/>
      <c r="J209" s="69"/>
      <c r="K209" s="68"/>
      <c r="L209" s="69"/>
      <c r="M209" s="68"/>
      <c r="N209" s="68"/>
      <c r="O209" s="69"/>
      <c r="P209" s="68"/>
      <c r="Q209" s="69"/>
    </row>
    <row r="210" spans="1:17" x14ac:dyDescent="0.25">
      <c r="A210" s="66"/>
      <c r="B210" s="67"/>
      <c r="C210" s="121"/>
      <c r="D210" s="121"/>
      <c r="E210" s="69"/>
      <c r="F210" s="121"/>
      <c r="G210" s="69"/>
      <c r="H210" s="68"/>
      <c r="I210" s="68"/>
      <c r="J210" s="69"/>
      <c r="K210" s="68"/>
      <c r="L210" s="69"/>
      <c r="M210" s="68"/>
      <c r="N210" s="68"/>
      <c r="O210" s="69"/>
      <c r="P210" s="68"/>
      <c r="Q210" s="69"/>
    </row>
  </sheetData>
  <mergeCells count="37">
    <mergeCell ref="A1:W1"/>
    <mergeCell ref="B7:G7"/>
    <mergeCell ref="H57:L57"/>
    <mergeCell ref="A9:A15"/>
    <mergeCell ref="H7:L7"/>
    <mergeCell ref="B57:G57"/>
    <mergeCell ref="H23:L23"/>
    <mergeCell ref="H39:L39"/>
    <mergeCell ref="A41:A47"/>
    <mergeCell ref="A48:A54"/>
    <mergeCell ref="A16:A22"/>
    <mergeCell ref="A25:A31"/>
    <mergeCell ref="A32:A38"/>
    <mergeCell ref="B39:G39"/>
    <mergeCell ref="B23:G23"/>
    <mergeCell ref="A149:A155"/>
    <mergeCell ref="H89:L89"/>
    <mergeCell ref="H73:L73"/>
    <mergeCell ref="A59:A65"/>
    <mergeCell ref="A66:A72"/>
    <mergeCell ref="A75:A81"/>
    <mergeCell ref="A82:A88"/>
    <mergeCell ref="B73:G73"/>
    <mergeCell ref="A126:A132"/>
    <mergeCell ref="A110:A116"/>
    <mergeCell ref="A117:A123"/>
    <mergeCell ref="A133:A139"/>
    <mergeCell ref="B108:G108"/>
    <mergeCell ref="H108:L108"/>
    <mergeCell ref="B124:G124"/>
    <mergeCell ref="A91:A97"/>
    <mergeCell ref="B89:G89"/>
    <mergeCell ref="B140:G140"/>
    <mergeCell ref="H124:L124"/>
    <mergeCell ref="H140:L140"/>
    <mergeCell ref="A142:A148"/>
    <mergeCell ref="A98:A104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9C65-8F48-4A8A-ADEC-427A78563710}">
  <dimension ref="A1:AJ243"/>
  <sheetViews>
    <sheetView topLeftCell="A43" zoomScale="70" zoomScaleNormal="70" workbookViewId="0">
      <selection activeCell="N52" sqref="N52"/>
    </sheetView>
  </sheetViews>
  <sheetFormatPr defaultColWidth="8.85546875" defaultRowHeight="15" x14ac:dyDescent="0.25"/>
  <cols>
    <col min="1" max="1" width="13.42578125" bestFit="1" customWidth="1"/>
    <col min="2" max="2" width="8.140625" customWidth="1"/>
    <col min="3" max="3" width="14.42578125" style="13" customWidth="1"/>
    <col min="4" max="4" width="12.42578125" bestFit="1" customWidth="1"/>
    <col min="5" max="5" width="14.140625" bestFit="1" customWidth="1"/>
    <col min="6" max="6" width="15.140625" customWidth="1"/>
    <col min="7" max="8" width="15.42578125" customWidth="1"/>
    <col min="9" max="9" width="14.85546875" customWidth="1"/>
    <col min="10" max="10" width="15.42578125" customWidth="1"/>
    <col min="11" max="11" width="15" customWidth="1"/>
    <col min="12" max="13" width="16.42578125" customWidth="1"/>
    <col min="14" max="14" width="15.85546875" customWidth="1"/>
    <col min="15" max="15" width="18.140625" bestFit="1" customWidth="1"/>
    <col min="16" max="16" width="15" customWidth="1"/>
    <col min="17" max="17" width="15.5703125" customWidth="1"/>
    <col min="18" max="18" width="15.42578125" customWidth="1"/>
    <col min="19" max="19" width="16" customWidth="1"/>
    <col min="20" max="20" width="13.85546875" customWidth="1"/>
    <col min="21" max="21" width="15.140625" customWidth="1"/>
    <col min="22" max="22" width="15.7109375" customWidth="1"/>
    <col min="23" max="23" width="17.42578125" style="13" bestFit="1" customWidth="1"/>
    <col min="26" max="26" width="11.140625" bestFit="1" customWidth="1"/>
    <col min="28" max="28" width="11.140625" bestFit="1" customWidth="1"/>
    <col min="34" max="34" width="11.140625" bestFit="1" customWidth="1"/>
    <col min="36" max="36" width="11.140625" bestFit="1" customWidth="1"/>
  </cols>
  <sheetData>
    <row r="1" spans="1:27" ht="18.75" x14ac:dyDescent="0.3">
      <c r="A1" s="483" t="s">
        <v>128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</row>
    <row r="3" spans="1:27" x14ac:dyDescent="0.25">
      <c r="A3" s="1" t="s">
        <v>56</v>
      </c>
      <c r="B3" s="1">
        <f>[1]Mixing!B3</f>
        <v>0</v>
      </c>
    </row>
    <row r="4" spans="1:27" x14ac:dyDescent="0.25">
      <c r="A4" s="1" t="s">
        <v>57</v>
      </c>
      <c r="B4" s="14"/>
    </row>
    <row r="5" spans="1:27" x14ac:dyDescent="0.25">
      <c r="A5" s="1" t="s">
        <v>58</v>
      </c>
      <c r="B5" s="1"/>
    </row>
    <row r="6" spans="1:27" ht="15.75" thickBot="1" x14ac:dyDescent="0.3">
      <c r="B6" s="1"/>
    </row>
    <row r="7" spans="1:27" ht="16.5" thickBot="1" x14ac:dyDescent="0.3">
      <c r="A7" s="15" t="s">
        <v>129</v>
      </c>
      <c r="B7" s="492" t="s">
        <v>130</v>
      </c>
      <c r="C7" s="493"/>
      <c r="D7" s="493"/>
      <c r="E7" s="493"/>
      <c r="F7" s="493"/>
      <c r="G7" s="494"/>
      <c r="H7" s="492" t="s">
        <v>131</v>
      </c>
      <c r="I7" s="493"/>
      <c r="J7" s="493"/>
      <c r="K7" s="493"/>
      <c r="L7" s="494"/>
      <c r="W7" s="3"/>
      <c r="X7" s="3"/>
      <c r="Y7" s="3"/>
      <c r="Z7" s="3"/>
      <c r="AA7" s="3"/>
    </row>
    <row r="8" spans="1:27" ht="15.75" customHeight="1" thickBot="1" x14ac:dyDescent="0.3">
      <c r="A8" s="16"/>
      <c r="B8" s="18" t="s">
        <v>6</v>
      </c>
      <c r="C8" s="18" t="s">
        <v>7</v>
      </c>
      <c r="D8" s="17" t="s">
        <v>8</v>
      </c>
      <c r="E8" s="19" t="s">
        <v>9</v>
      </c>
      <c r="F8" s="20" t="s">
        <v>132</v>
      </c>
      <c r="G8" s="21" t="s">
        <v>133</v>
      </c>
      <c r="H8" s="310" t="s">
        <v>7</v>
      </c>
      <c r="I8" s="310" t="s">
        <v>8</v>
      </c>
      <c r="J8" s="136" t="s">
        <v>9</v>
      </c>
      <c r="K8" s="311" t="s">
        <v>132</v>
      </c>
      <c r="L8" s="312" t="s">
        <v>133</v>
      </c>
      <c r="W8" s="3"/>
      <c r="X8" s="3"/>
      <c r="Y8" s="3"/>
      <c r="Z8" s="3"/>
      <c r="AA8" s="3"/>
    </row>
    <row r="9" spans="1:27" ht="15" customHeight="1" x14ac:dyDescent="0.25">
      <c r="A9" s="495" t="s">
        <v>134</v>
      </c>
      <c r="B9" s="281" t="s">
        <v>135</v>
      </c>
      <c r="C9" s="29">
        <f>'Water and Burning'!C9</f>
        <v>3.8197999999999999</v>
      </c>
      <c r="D9" s="29">
        <f>'Water and Burning'!D9</f>
        <v>3.1242999999999999</v>
      </c>
      <c r="E9" s="29">
        <f>'Water and Burning'!E9</f>
        <v>18.207759568563802</v>
      </c>
      <c r="F9" s="29">
        <f>'Water and Burning'!F9</f>
        <v>2.8395000000000001</v>
      </c>
      <c r="G9" s="29">
        <f>'Water and Burning'!G9</f>
        <v>9.1156419037864396</v>
      </c>
      <c r="H9" s="427">
        <f>'Water and Burning'!H9</f>
        <v>4.0456000000000003</v>
      </c>
      <c r="I9" s="24">
        <f>'Water and Burning'!I9</f>
        <v>3.1456</v>
      </c>
      <c r="J9" s="24">
        <f>'Water and Burning'!J9</f>
        <v>22.246391140992692</v>
      </c>
      <c r="K9" s="24">
        <f>'Water and Burning'!K9</f>
        <v>2.9268999999999998</v>
      </c>
      <c r="L9" s="428">
        <f>'Water and Burning'!L9</f>
        <v>6.9525686673448659</v>
      </c>
      <c r="W9" s="3"/>
      <c r="X9" s="3"/>
      <c r="Y9" s="3"/>
      <c r="Z9" s="3"/>
      <c r="AA9" s="3"/>
    </row>
    <row r="10" spans="1:27" ht="15" customHeight="1" x14ac:dyDescent="0.25">
      <c r="A10" s="496"/>
      <c r="B10" s="282" t="s">
        <v>136</v>
      </c>
      <c r="C10" s="28">
        <f>'Water and Burning'!C10</f>
        <v>3.9058000000000002</v>
      </c>
      <c r="D10" s="28">
        <f>'Water and Burning'!D10</f>
        <v>3.1890000000000001</v>
      </c>
      <c r="E10" s="28">
        <f>'Water and Burning'!E10</f>
        <v>18.352194172768705</v>
      </c>
      <c r="F10" s="28">
        <f>'Water and Burning'!F10</f>
        <v>2.9005999999999998</v>
      </c>
      <c r="G10" s="28">
        <f>'Water and Burning'!G10</f>
        <v>9.0435873314518709</v>
      </c>
      <c r="H10" s="429">
        <f>'Water and Burning'!H10</f>
        <v>3.9853999999999998</v>
      </c>
      <c r="I10" s="28">
        <f>'Water and Burning'!I10</f>
        <v>3.0880000000000001</v>
      </c>
      <c r="J10" s="28">
        <f>'Water and Burning'!J10</f>
        <v>22.517187735233598</v>
      </c>
      <c r="K10" s="28">
        <f>'Water and Burning'!K10</f>
        <v>2.8730000000000002</v>
      </c>
      <c r="L10" s="430">
        <f>'Water and Burning'!L10</f>
        <v>6.9624352331606172</v>
      </c>
      <c r="W10" s="3"/>
      <c r="X10" s="3"/>
      <c r="Y10" s="3"/>
      <c r="Z10" s="3"/>
      <c r="AA10" s="3"/>
    </row>
    <row r="11" spans="1:27" ht="15" customHeight="1" x14ac:dyDescent="0.25">
      <c r="A11" s="496"/>
      <c r="B11" s="282" t="s">
        <v>137</v>
      </c>
      <c r="C11" s="28">
        <f>'Water and Burning'!C11</f>
        <v>3.8626</v>
      </c>
      <c r="D11" s="28">
        <f>'Water and Burning'!D11</f>
        <v>3.1486999999999998</v>
      </c>
      <c r="E11" s="28">
        <f>'Water and Burning'!E11</f>
        <v>18.482369388494803</v>
      </c>
      <c r="F11" s="28">
        <f>'Water and Burning'!F11</f>
        <v>2.8620999999999999</v>
      </c>
      <c r="G11" s="28">
        <f>'Water and Burning'!G11</f>
        <v>9.1021691491726742</v>
      </c>
      <c r="H11" s="429">
        <f>'Water and Burning'!H11</f>
        <v>4.0431999999999997</v>
      </c>
      <c r="I11" s="28">
        <f>'Water and Burning'!I11</f>
        <v>3.1254</v>
      </c>
      <c r="J11" s="28">
        <f>'Water and Burning'!J11</f>
        <v>22.699841709536994</v>
      </c>
      <c r="K11" s="28">
        <f>'Water and Burning'!K11</f>
        <v>2.9072</v>
      </c>
      <c r="L11" s="430">
        <f>'Water and Burning'!L11</f>
        <v>6.9815063671849993</v>
      </c>
      <c r="W11" s="3"/>
      <c r="X11" s="3"/>
      <c r="Y11" s="3"/>
      <c r="Z11" s="3"/>
      <c r="AA11" s="3"/>
    </row>
    <row r="12" spans="1:27" ht="15" customHeight="1" x14ac:dyDescent="0.25">
      <c r="A12" s="496"/>
      <c r="B12" s="282" t="s">
        <v>138</v>
      </c>
      <c r="C12" s="28">
        <f>'Water and Burning'!C12</f>
        <v>3.9077000000000002</v>
      </c>
      <c r="D12" s="28">
        <f>'Water and Burning'!D12</f>
        <v>3.1861000000000002</v>
      </c>
      <c r="E12" s="28">
        <f>'Water and Burning'!E12</f>
        <v>18.466105381682318</v>
      </c>
      <c r="F12" s="28">
        <f>'Water and Burning'!F12</f>
        <v>2.8963000000000001</v>
      </c>
      <c r="G12" s="28">
        <f>'Water and Burning'!G12</f>
        <v>9.0957597062239124</v>
      </c>
      <c r="H12" s="429">
        <f>'Water and Burning'!H12</f>
        <v>3.89</v>
      </c>
      <c r="I12" s="28">
        <f>'Water and Burning'!I12</f>
        <v>3.0072000000000001</v>
      </c>
      <c r="J12" s="28">
        <f>'Water and Burning'!J12</f>
        <v>22.694087403598971</v>
      </c>
      <c r="K12" s="28">
        <f>'Water and Burning'!K12</f>
        <v>2.7991999999999999</v>
      </c>
      <c r="L12" s="430">
        <f>'Water and Burning'!L12</f>
        <v>6.9167331737164206</v>
      </c>
      <c r="W12" s="3"/>
      <c r="X12" s="3"/>
      <c r="Y12" s="3"/>
      <c r="Z12" s="3"/>
      <c r="AA12" s="3"/>
    </row>
    <row r="13" spans="1:27" ht="15" customHeight="1" x14ac:dyDescent="0.25">
      <c r="A13" s="496"/>
      <c r="B13" s="282" t="s">
        <v>139</v>
      </c>
      <c r="C13" s="28">
        <f>'Water and Burning'!C13</f>
        <v>3.8929999999999998</v>
      </c>
      <c r="D13" s="28">
        <f>'Water and Burning'!D13</f>
        <v>3.1642999999999999</v>
      </c>
      <c r="E13" s="28">
        <f>'Water and Burning'!E13</f>
        <v>18.718212175699971</v>
      </c>
      <c r="F13" s="28">
        <f>'Water and Burning'!F13</f>
        <v>2.8744999999999998</v>
      </c>
      <c r="G13" s="28">
        <f>'Water and Burning'!G13</f>
        <v>9.1584236640015195</v>
      </c>
      <c r="H13" s="429">
        <f>'Water and Burning'!H13</f>
        <v>3.9527999999999999</v>
      </c>
      <c r="I13" s="28">
        <f>'Water and Burning'!I13</f>
        <v>3.0661999999999998</v>
      </c>
      <c r="J13" s="28">
        <f>'Water and Burning'!J13</f>
        <v>22.429670107265736</v>
      </c>
      <c r="K13" s="28">
        <f>'Water and Burning'!K13</f>
        <v>2.8546</v>
      </c>
      <c r="L13" s="430">
        <f>'Water and Burning'!L13</f>
        <v>6.9010501598069212</v>
      </c>
      <c r="W13" s="3"/>
      <c r="X13" s="3"/>
      <c r="Y13" s="3"/>
      <c r="Z13" s="3"/>
      <c r="AA13" s="3"/>
    </row>
    <row r="14" spans="1:27" ht="15" customHeight="1" x14ac:dyDescent="0.25">
      <c r="A14" s="496"/>
      <c r="B14" s="282" t="s">
        <v>140</v>
      </c>
      <c r="C14" s="28">
        <f>'Water and Burning'!C14</f>
        <v>3.8717999999999999</v>
      </c>
      <c r="D14" s="28">
        <f>'Water and Burning'!D14</f>
        <v>3.1497999999999999</v>
      </c>
      <c r="E14" s="28">
        <f>'Water and Burning'!E14</f>
        <v>18.647657420321298</v>
      </c>
      <c r="F14" s="28">
        <f>'Water and Burning'!F14</f>
        <v>2.863</v>
      </c>
      <c r="G14" s="28">
        <f>'Water and Burning'!G14</f>
        <v>9.1053400215886704</v>
      </c>
      <c r="H14" s="429">
        <f>'Water and Burning'!H14</f>
        <v>3.9220000000000002</v>
      </c>
      <c r="I14" s="28">
        <f>'Water and Burning'!I14</f>
        <v>3.0377000000000001</v>
      </c>
      <c r="J14" s="28">
        <f>'Water and Burning'!J14</f>
        <v>22.547169811320757</v>
      </c>
      <c r="K14" s="28">
        <f>'Water and Burning'!K14</f>
        <v>2.8275999999999999</v>
      </c>
      <c r="L14" s="430">
        <f>'Water and Burning'!L14</f>
        <v>6.9164170260394435</v>
      </c>
      <c r="W14" s="3"/>
      <c r="X14" s="3"/>
      <c r="Y14" s="3"/>
      <c r="Z14" s="3"/>
      <c r="AA14" s="3"/>
    </row>
    <row r="15" spans="1:27" ht="15.75" customHeight="1" thickBot="1" x14ac:dyDescent="0.3">
      <c r="A15" s="497"/>
      <c r="B15" s="283" t="s">
        <v>141</v>
      </c>
      <c r="C15" s="289">
        <f>'Water and Burning'!C15</f>
        <v>3.9459</v>
      </c>
      <c r="D15" s="289">
        <f>'Water and Burning'!D15</f>
        <v>3.2256999999999998</v>
      </c>
      <c r="E15" s="289">
        <f>'Water and Burning'!E15</f>
        <v>18.25185635723156</v>
      </c>
      <c r="F15" s="289">
        <f>'Water and Burning'!F15</f>
        <v>2.9276</v>
      </c>
      <c r="G15" s="289">
        <f>'Water and Burning'!G15</f>
        <v>9.2414049663638842</v>
      </c>
      <c r="H15" s="431">
        <f>'Water and Burning'!H15</f>
        <v>4.0465999999999998</v>
      </c>
      <c r="I15" s="60">
        <f>'Water and Burning'!I15</f>
        <v>3.1478999999999999</v>
      </c>
      <c r="J15" s="60">
        <f>'Water and Burning'!J15</f>
        <v>22.208767854495129</v>
      </c>
      <c r="K15" s="60">
        <f>'Water and Burning'!K15</f>
        <v>2.9283000000000001</v>
      </c>
      <c r="L15" s="432">
        <f>'Water and Burning'!L15</f>
        <v>6.9760792909558695</v>
      </c>
      <c r="W15" s="3"/>
      <c r="X15" s="3"/>
      <c r="Y15" s="3"/>
      <c r="Z15" s="3"/>
      <c r="AA15" s="3"/>
    </row>
    <row r="16" spans="1:27" ht="15.75" customHeight="1" x14ac:dyDescent="0.25">
      <c r="A16" s="266" t="s">
        <v>161</v>
      </c>
      <c r="B16" s="415"/>
      <c r="C16" s="191">
        <f t="shared" ref="C16:E16" si="0">AVERAGE(C9:C15)</f>
        <v>3.886657142857143</v>
      </c>
      <c r="D16" s="62">
        <f t="shared" si="0"/>
        <v>3.1696999999999997</v>
      </c>
      <c r="E16" s="62">
        <f t="shared" si="0"/>
        <v>18.446593494966066</v>
      </c>
      <c r="F16" s="62">
        <f t="shared" ref="F16:J16" si="1">AVERAGE(F9:F15)</f>
        <v>2.8805142857142862</v>
      </c>
      <c r="G16" s="163">
        <f t="shared" si="1"/>
        <v>9.1231895346555678</v>
      </c>
      <c r="H16" s="191">
        <f t="shared" si="1"/>
        <v>3.9836571428571435</v>
      </c>
      <c r="I16" s="62">
        <f t="shared" si="1"/>
        <v>3.0882857142857141</v>
      </c>
      <c r="J16" s="62">
        <f t="shared" si="1"/>
        <v>22.477587966063414</v>
      </c>
      <c r="K16" s="62">
        <f t="shared" ref="K16:L16" si="2">AVERAGE(K9:K15)</f>
        <v>2.8738285714285712</v>
      </c>
      <c r="L16" s="163">
        <f t="shared" si="2"/>
        <v>6.9438271311727329</v>
      </c>
      <c r="W16" s="3"/>
      <c r="X16" s="3"/>
      <c r="Y16" s="3"/>
      <c r="Z16" s="3"/>
      <c r="AA16" s="3"/>
    </row>
    <row r="17" spans="1:27" ht="15.75" customHeight="1" thickBot="1" x14ac:dyDescent="0.3">
      <c r="A17" s="268" t="s">
        <v>162</v>
      </c>
      <c r="B17" s="414"/>
      <c r="C17" s="193">
        <f t="shared" ref="C17:E17" si="3">STDEV(C9:C15)</f>
        <v>4.0059449869032503E-2</v>
      </c>
      <c r="D17" s="59">
        <f t="shared" si="3"/>
        <v>3.3428480870858229E-2</v>
      </c>
      <c r="E17" s="59">
        <f t="shared" si="3"/>
        <v>0.19137200567174587</v>
      </c>
      <c r="F17" s="59">
        <f t="shared" ref="F17:J17" si="4">STDEV(F9:F15)</f>
        <v>2.9534918800826714E-2</v>
      </c>
      <c r="G17" s="165">
        <f t="shared" si="4"/>
        <v>6.2078803228551083E-2</v>
      </c>
      <c r="H17" s="193">
        <f t="shared" si="4"/>
        <v>6.4384958314367538E-2</v>
      </c>
      <c r="I17" s="59">
        <f t="shared" si="4"/>
        <v>5.4525114353278427E-2</v>
      </c>
      <c r="J17" s="59">
        <f t="shared" si="4"/>
        <v>0.19608282830949372</v>
      </c>
      <c r="K17" s="59">
        <f t="shared" ref="K17:L17" si="5">STDEV(K9:K15)</f>
        <v>4.9957138772008525E-2</v>
      </c>
      <c r="L17" s="165">
        <f t="shared" si="5"/>
        <v>3.2139975691442724E-2</v>
      </c>
      <c r="W17" s="3"/>
      <c r="X17" s="3"/>
      <c r="Y17" s="3"/>
      <c r="Z17" s="3"/>
      <c r="AA17" s="3"/>
    </row>
    <row r="18" spans="1:27" ht="15" customHeight="1" x14ac:dyDescent="0.25">
      <c r="A18" s="498" t="s">
        <v>20</v>
      </c>
      <c r="B18" s="284" t="s">
        <v>135</v>
      </c>
      <c r="C18" s="47">
        <f>'Water and Burning'!C16</f>
        <v>3.9676999999999998</v>
      </c>
      <c r="D18" s="47">
        <f>'Water and Burning'!D16</f>
        <v>3.2176</v>
      </c>
      <c r="E18" s="47">
        <f>'Water and Burning'!E16</f>
        <v>18.905159160218762</v>
      </c>
      <c r="F18" s="47">
        <f>'Water and Burning'!F16</f>
        <v>3.0929000000000002</v>
      </c>
      <c r="G18" s="47">
        <f>'Water and Burning'!G16</f>
        <v>3.875559423172545</v>
      </c>
      <c r="H18" s="427">
        <f>'Water and Burning'!H16</f>
        <v>4.0862999999999996</v>
      </c>
      <c r="I18" s="24">
        <f>'Water and Burning'!I16</f>
        <v>3.1686999999999999</v>
      </c>
      <c r="J18" s="24">
        <f>'Water and Burning'!J16</f>
        <v>22.455522110466678</v>
      </c>
      <c r="K18" s="24">
        <f>'Water and Burning'!K16</f>
        <v>3.0628000000000002</v>
      </c>
      <c r="L18" s="428">
        <f>'Water and Burning'!L16</f>
        <v>3.3420645690661681</v>
      </c>
      <c r="W18" s="3"/>
      <c r="X18" s="3"/>
      <c r="Y18" s="3"/>
      <c r="Z18" s="3"/>
      <c r="AA18" s="3"/>
    </row>
    <row r="19" spans="1:27" ht="15" customHeight="1" x14ac:dyDescent="0.25">
      <c r="A19" s="498"/>
      <c r="B19" s="285" t="s">
        <v>136</v>
      </c>
      <c r="C19" s="28">
        <f>'Water and Burning'!C17</f>
        <v>3.9605999999999999</v>
      </c>
      <c r="D19" s="28">
        <f>'Water and Burning'!D17</f>
        <v>3.1966000000000001</v>
      </c>
      <c r="E19" s="28">
        <f>'Water and Burning'!E17</f>
        <v>19.290006564661915</v>
      </c>
      <c r="F19" s="28">
        <f>'Water and Burning'!F17</f>
        <v>3.0729000000000002</v>
      </c>
      <c r="G19" s="28">
        <f>'Water and Burning'!G17</f>
        <v>3.8697365951323253</v>
      </c>
      <c r="H19" s="429">
        <f>'Water and Burning'!H17</f>
        <v>3.9847000000000001</v>
      </c>
      <c r="I19" s="28">
        <f>'Water and Burning'!I17</f>
        <v>3.0746000000000002</v>
      </c>
      <c r="J19" s="28">
        <f>'Water and Burning'!J17</f>
        <v>22.839862473962906</v>
      </c>
      <c r="K19" s="28">
        <f>'Water and Burning'!K17</f>
        <v>2.9725000000000001</v>
      </c>
      <c r="L19" s="430">
        <f>'Water and Burning'!L17</f>
        <v>3.3207571716646087</v>
      </c>
      <c r="W19" s="3"/>
      <c r="X19" s="3"/>
      <c r="Y19" s="3"/>
      <c r="Z19" s="3"/>
      <c r="AA19" s="3"/>
    </row>
    <row r="20" spans="1:27" ht="15" customHeight="1" x14ac:dyDescent="0.25">
      <c r="A20" s="498"/>
      <c r="B20" s="285" t="s">
        <v>137</v>
      </c>
      <c r="C20" s="28">
        <f>'Water and Burning'!C18</f>
        <v>4.0370999999999997</v>
      </c>
      <c r="D20" s="28">
        <f>'Water and Burning'!D18</f>
        <v>3.2625000000000002</v>
      </c>
      <c r="E20" s="28">
        <f>'Water and Burning'!E18</f>
        <v>19.187040202125278</v>
      </c>
      <c r="F20" s="28">
        <f>'Water and Burning'!F18</f>
        <v>3.1374</v>
      </c>
      <c r="G20" s="28">
        <f>'Water and Burning'!G18</f>
        <v>3.8344827586206955</v>
      </c>
      <c r="H20" s="429">
        <f>'Water and Burning'!H18</f>
        <v>3.9866999999999999</v>
      </c>
      <c r="I20" s="28">
        <f>'Water and Burning'!I18</f>
        <v>3.0865999999999998</v>
      </c>
      <c r="J20" s="28">
        <f>'Water and Burning'!J18</f>
        <v>22.577570421651995</v>
      </c>
      <c r="K20" s="28">
        <f>'Water and Burning'!K18</f>
        <v>2.9845000000000002</v>
      </c>
      <c r="L20" s="430">
        <f>'Water and Burning'!L18</f>
        <v>3.3078468217455983</v>
      </c>
      <c r="W20" s="3"/>
      <c r="X20" s="3"/>
      <c r="Y20" s="3"/>
      <c r="Z20" s="3"/>
      <c r="AA20" s="3"/>
    </row>
    <row r="21" spans="1:27" ht="15" customHeight="1" x14ac:dyDescent="0.25">
      <c r="A21" s="498"/>
      <c r="B21" s="285" t="s">
        <v>138</v>
      </c>
      <c r="C21" s="28">
        <f>'Water and Burning'!C19</f>
        <v>3.9424999999999999</v>
      </c>
      <c r="D21" s="28">
        <f>'Water and Burning'!D19</f>
        <v>3.1817000000000002</v>
      </c>
      <c r="E21" s="28">
        <f>'Water and Burning'!E19</f>
        <v>19.297400126823074</v>
      </c>
      <c r="F21" s="28">
        <f>'Water and Burning'!F19</f>
        <v>3.0598000000000001</v>
      </c>
      <c r="G21" s="28">
        <f>'Water and Burning'!G19</f>
        <v>3.8312851620203072</v>
      </c>
      <c r="H21" s="429">
        <f>'Water and Burning'!H19</f>
        <v>3.9643999999999999</v>
      </c>
      <c r="I21" s="28">
        <f>'Water and Burning'!I19</f>
        <v>3.0695999999999999</v>
      </c>
      <c r="J21" s="28">
        <f>'Water and Burning'!J19</f>
        <v>22.570880839471297</v>
      </c>
      <c r="K21" s="28">
        <f>'Water and Burning'!K19</f>
        <v>2.968</v>
      </c>
      <c r="L21" s="430">
        <f>'Water and Burning'!L19</f>
        <v>3.3098775084701564</v>
      </c>
      <c r="W21" s="3"/>
      <c r="X21" s="3"/>
      <c r="Y21" s="3"/>
      <c r="Z21" s="3"/>
      <c r="AA21" s="3"/>
    </row>
    <row r="22" spans="1:27" ht="15" customHeight="1" x14ac:dyDescent="0.25">
      <c r="A22" s="498"/>
      <c r="B22" s="285" t="s">
        <v>139</v>
      </c>
      <c r="C22" s="28">
        <f>'Water and Burning'!C20</f>
        <v>3.8069999999999999</v>
      </c>
      <c r="D22" s="28">
        <f>'Water and Burning'!D20</f>
        <v>3.0807000000000002</v>
      </c>
      <c r="E22" s="28">
        <f>'Water and Burning'!E20</f>
        <v>19.078014184397158</v>
      </c>
      <c r="F22" s="28">
        <f>'Water and Burning'!F20</f>
        <v>2.9622000000000002</v>
      </c>
      <c r="G22" s="28">
        <f>'Water and Burning'!G20</f>
        <v>3.8465283864056885</v>
      </c>
      <c r="H22" s="429">
        <f>'Water and Burning'!H20</f>
        <v>3.9918</v>
      </c>
      <c r="I22" s="28">
        <f>'Water and Burning'!I20</f>
        <v>3.0918999999999999</v>
      </c>
      <c r="J22" s="28">
        <f>'Water and Burning'!J20</f>
        <v>22.54371461496067</v>
      </c>
      <c r="K22" s="28">
        <f>'Water and Burning'!K20</f>
        <v>2.9885999999999999</v>
      </c>
      <c r="L22" s="430">
        <f>'Water and Burning'!L20</f>
        <v>3.34098774216501</v>
      </c>
      <c r="W22" s="3"/>
      <c r="X22" s="3"/>
      <c r="Y22" s="3"/>
      <c r="Z22" s="3"/>
      <c r="AA22" s="3"/>
    </row>
    <row r="23" spans="1:27" ht="15" customHeight="1" x14ac:dyDescent="0.25">
      <c r="A23" s="498"/>
      <c r="B23" s="285" t="s">
        <v>140</v>
      </c>
      <c r="C23" s="28">
        <f>'Water and Burning'!C21</f>
        <v>3.8374000000000001</v>
      </c>
      <c r="D23" s="28">
        <f>'Water and Burning'!D21</f>
        <v>3.1029</v>
      </c>
      <c r="E23" s="28">
        <f>'Water and Burning'!E21</f>
        <v>19.140563923489868</v>
      </c>
      <c r="F23" s="28">
        <f>'Water and Burning'!F21</f>
        <v>2.9828999999999999</v>
      </c>
      <c r="G23" s="28">
        <f>'Water and Burning'!G21</f>
        <v>3.8673498984820682</v>
      </c>
      <c r="H23" s="429">
        <f>'Water and Burning'!H21</f>
        <v>4.0060000000000002</v>
      </c>
      <c r="I23" s="28">
        <f>'Water and Burning'!I21</f>
        <v>3.1032000000000002</v>
      </c>
      <c r="J23" s="28">
        <f>'Water and Burning'!J21</f>
        <v>22.536195706440338</v>
      </c>
      <c r="K23" s="28">
        <f>'Water and Burning'!K21</f>
        <v>2.9990000000000001</v>
      </c>
      <c r="L23" s="430">
        <f>'Water and Burning'!L21</f>
        <v>3.3578241814900767</v>
      </c>
      <c r="W23" s="3"/>
      <c r="X23" s="3"/>
      <c r="Y23" s="3"/>
      <c r="Z23" s="3"/>
      <c r="AA23" s="3"/>
    </row>
    <row r="24" spans="1:27" ht="15.95" customHeight="1" thickBot="1" x14ac:dyDescent="0.3">
      <c r="A24" s="499"/>
      <c r="B24" s="286" t="s">
        <v>141</v>
      </c>
      <c r="C24" s="28">
        <f>'Water and Burning'!C22</f>
        <v>3.8029000000000002</v>
      </c>
      <c r="D24" s="28">
        <f>'Water and Burning'!D22</f>
        <v>3.0773000000000001</v>
      </c>
      <c r="E24" s="28">
        <f>'Water and Burning'!E22</f>
        <v>19.080175655420863</v>
      </c>
      <c r="F24" s="28">
        <f>'Water and Burning'!F22</f>
        <v>2.9573999999999998</v>
      </c>
      <c r="G24" s="28">
        <f>'Water and Burning'!G22</f>
        <v>3.8962727065934533</v>
      </c>
      <c r="H24" s="431">
        <f>'Water and Burning'!H22</f>
        <v>4.0141999999999998</v>
      </c>
      <c r="I24" s="60">
        <f>'Water and Burning'!I22</f>
        <v>3.1154999999999999</v>
      </c>
      <c r="J24" s="60">
        <f>'Water and Burning'!J22</f>
        <v>22.388022520053809</v>
      </c>
      <c r="K24" s="60">
        <f>'Water and Burning'!K22</f>
        <v>3.0110999999999999</v>
      </c>
      <c r="L24" s="432">
        <f>'Water and Burning'!L22</f>
        <v>3.3509870004814655</v>
      </c>
      <c r="W24" s="3"/>
      <c r="X24" s="3"/>
      <c r="Y24" s="3"/>
      <c r="Z24" s="3"/>
      <c r="AA24" s="3"/>
    </row>
    <row r="25" spans="1:27" ht="15.75" customHeight="1" x14ac:dyDescent="0.25">
      <c r="A25" s="270" t="s">
        <v>161</v>
      </c>
      <c r="B25" s="415"/>
      <c r="C25" s="191">
        <f t="shared" ref="C25:L25" si="6">AVERAGE(C18:C24)</f>
        <v>3.907885714285714</v>
      </c>
      <c r="D25" s="62">
        <f t="shared" si="6"/>
        <v>3.1599000000000004</v>
      </c>
      <c r="E25" s="62">
        <f t="shared" si="6"/>
        <v>19.139765688162417</v>
      </c>
      <c r="F25" s="62">
        <f t="shared" si="6"/>
        <v>3.0379285714285715</v>
      </c>
      <c r="G25" s="163">
        <f t="shared" si="6"/>
        <v>3.8601735614895829</v>
      </c>
      <c r="H25" s="191">
        <f t="shared" si="6"/>
        <v>4.0048714285714286</v>
      </c>
      <c r="I25" s="62">
        <f t="shared" si="6"/>
        <v>3.1014428571428572</v>
      </c>
      <c r="J25" s="62">
        <f t="shared" si="6"/>
        <v>22.558824098143955</v>
      </c>
      <c r="K25" s="62">
        <f t="shared" si="6"/>
        <v>2.9980714285714285</v>
      </c>
      <c r="L25" s="163">
        <f t="shared" si="6"/>
        <v>3.3329064278690126</v>
      </c>
      <c r="W25" s="3"/>
      <c r="X25" s="3"/>
      <c r="Y25" s="3"/>
      <c r="Z25" s="3"/>
      <c r="AA25" s="3"/>
    </row>
    <row r="26" spans="1:27" ht="15.75" customHeight="1" thickBot="1" x14ac:dyDescent="0.3">
      <c r="A26" s="273" t="s">
        <v>162</v>
      </c>
      <c r="B26" s="414"/>
      <c r="C26" s="193">
        <f t="shared" ref="C26:L26" si="7">STDEV(C18:C24)</f>
        <v>9.1668959278689677E-2</v>
      </c>
      <c r="D26" s="59">
        <f t="shared" si="7"/>
        <v>7.3055435572356053E-2</v>
      </c>
      <c r="E26" s="59">
        <f t="shared" si="7"/>
        <v>0.13666314868223009</v>
      </c>
      <c r="F26" s="59">
        <f t="shared" si="7"/>
        <v>7.0552101652743532E-2</v>
      </c>
      <c r="G26" s="165">
        <f t="shared" si="7"/>
        <v>2.3676895281596343E-2</v>
      </c>
      <c r="H26" s="193">
        <f t="shared" si="7"/>
        <v>3.9295449875938179E-2</v>
      </c>
      <c r="I26" s="59">
        <f t="shared" si="7"/>
        <v>3.3590914304459187E-2</v>
      </c>
      <c r="J26" s="59">
        <f t="shared" si="7"/>
        <v>0.14145916882548087</v>
      </c>
      <c r="K26" s="59">
        <f t="shared" si="7"/>
        <v>3.2125987107310024E-2</v>
      </c>
      <c r="L26" s="165">
        <f t="shared" si="7"/>
        <v>2.0012080337102587E-2</v>
      </c>
      <c r="W26" s="3"/>
      <c r="X26" s="3"/>
      <c r="Y26" s="3"/>
      <c r="Z26" s="3"/>
      <c r="AA26" s="3"/>
    </row>
    <row r="27" spans="1:27" ht="16.5" thickBot="1" x14ac:dyDescent="0.3">
      <c r="A27" s="15" t="s">
        <v>142</v>
      </c>
      <c r="B27" s="492" t="s">
        <v>143</v>
      </c>
      <c r="C27" s="493"/>
      <c r="D27" s="493"/>
      <c r="E27" s="493"/>
      <c r="F27" s="493"/>
      <c r="G27" s="494"/>
      <c r="H27" s="503" t="s">
        <v>144</v>
      </c>
      <c r="I27" s="504"/>
      <c r="J27" s="504"/>
      <c r="K27" s="504"/>
      <c r="L27" s="505"/>
      <c r="W27" s="3"/>
      <c r="X27" s="3"/>
      <c r="Y27" s="3"/>
      <c r="Z27" s="3"/>
      <c r="AA27" s="3"/>
    </row>
    <row r="28" spans="1:27" ht="15.75" customHeight="1" thickBot="1" x14ac:dyDescent="0.3">
      <c r="A28" s="16"/>
      <c r="B28" s="18" t="s">
        <v>6</v>
      </c>
      <c r="C28" s="18" t="s">
        <v>7</v>
      </c>
      <c r="D28" s="17" t="s">
        <v>8</v>
      </c>
      <c r="E28" s="19" t="s">
        <v>9</v>
      </c>
      <c r="F28" s="20" t="s">
        <v>145</v>
      </c>
      <c r="G28" s="21" t="s">
        <v>146</v>
      </c>
      <c r="H28" s="17" t="s">
        <v>7</v>
      </c>
      <c r="I28" s="17" t="s">
        <v>8</v>
      </c>
      <c r="J28" s="19" t="s">
        <v>9</v>
      </c>
      <c r="K28" s="20" t="s">
        <v>145</v>
      </c>
      <c r="L28" s="21" t="s">
        <v>146</v>
      </c>
      <c r="W28" s="3"/>
      <c r="X28" s="3"/>
      <c r="Y28" s="3"/>
      <c r="Z28" s="3"/>
      <c r="AA28" s="3"/>
    </row>
    <row r="29" spans="1:27" ht="15" customHeight="1" x14ac:dyDescent="0.25">
      <c r="A29" s="495" t="s">
        <v>134</v>
      </c>
      <c r="B29" s="281" t="s">
        <v>135</v>
      </c>
      <c r="C29" s="29">
        <f>'Water and Burning'!C25</f>
        <v>3.8086000000000002</v>
      </c>
      <c r="D29" s="29">
        <f>'Water and Burning'!D25</f>
        <v>3.1505000000000001</v>
      </c>
      <c r="E29" s="29">
        <f>'Water and Burning'!E25</f>
        <v>17.279315233944235</v>
      </c>
      <c r="F29" s="29">
        <f>'Water and Burning'!F25</f>
        <v>2.8712</v>
      </c>
      <c r="G29" s="29">
        <f>'Water and Burning'!G25</f>
        <v>8.8652594826218092</v>
      </c>
      <c r="H29" s="427">
        <f>'Water and Burning'!H25</f>
        <v>3.9359999999999999</v>
      </c>
      <c r="I29" s="24">
        <f>'Water and Burning'!I25</f>
        <v>3.0838999999999999</v>
      </c>
      <c r="J29" s="24">
        <f>'Water and Burning'!J25</f>
        <v>21.648882113821141</v>
      </c>
      <c r="K29" s="24">
        <f>'Water and Burning'!K25</f>
        <v>2.8712</v>
      </c>
      <c r="L29" s="428">
        <f>'Water and Burning'!L25</f>
        <v>6.8971108012581439</v>
      </c>
      <c r="W29" s="3"/>
      <c r="X29" s="3"/>
      <c r="Y29" s="3"/>
      <c r="Z29" s="3"/>
      <c r="AA29" s="3"/>
    </row>
    <row r="30" spans="1:27" ht="15" customHeight="1" x14ac:dyDescent="0.25">
      <c r="A30" s="496"/>
      <c r="B30" s="282" t="s">
        <v>136</v>
      </c>
      <c r="C30" s="28">
        <f>'Water and Burning'!C26</f>
        <v>3.8582999999999998</v>
      </c>
      <c r="D30" s="28">
        <f>'Water and Burning'!D26</f>
        <v>3.1633</v>
      </c>
      <c r="E30" s="28">
        <f>'Water and Burning'!E26</f>
        <v>18.01311458414327</v>
      </c>
      <c r="F30" s="28">
        <f>'Water and Burning'!F26</f>
        <v>2.8812000000000002</v>
      </c>
      <c r="G30" s="28">
        <f>'Water and Burning'!G26</f>
        <v>8.9179021907501603</v>
      </c>
      <c r="H30" s="429">
        <f>'Water and Burning'!H26</f>
        <v>4.0057</v>
      </c>
      <c r="I30" s="28">
        <f>'Water and Burning'!I26</f>
        <v>3.1267</v>
      </c>
      <c r="J30" s="28">
        <f>'Water and Burning'!J26</f>
        <v>21.943730184487105</v>
      </c>
      <c r="K30" s="28">
        <f>'Water and Burning'!K26</f>
        <v>2.9085999999999999</v>
      </c>
      <c r="L30" s="430">
        <f>'Water and Burning'!L26</f>
        <v>6.975405379473572</v>
      </c>
      <c r="W30" s="3"/>
      <c r="X30" s="3"/>
      <c r="Y30" s="3"/>
      <c r="Z30" s="3"/>
      <c r="AA30" s="3"/>
    </row>
    <row r="31" spans="1:27" ht="15" customHeight="1" x14ac:dyDescent="0.25">
      <c r="A31" s="496"/>
      <c r="B31" s="282" t="s">
        <v>137</v>
      </c>
      <c r="C31" s="28">
        <f>'Water and Burning'!C27</f>
        <v>3.7949000000000002</v>
      </c>
      <c r="D31" s="28">
        <f>'Water and Burning'!D27</f>
        <v>3.1004</v>
      </c>
      <c r="E31" s="28">
        <f>'Water and Burning'!E27</f>
        <v>18.30087749347809</v>
      </c>
      <c r="F31" s="28">
        <f>'Water and Burning'!F27</f>
        <v>2.8210999999999999</v>
      </c>
      <c r="G31" s="28">
        <f>'Water and Burning'!G27</f>
        <v>9.0085150303186712</v>
      </c>
      <c r="H31" s="429">
        <f>'Water and Burning'!H27</f>
        <v>3.9571000000000001</v>
      </c>
      <c r="I31" s="28">
        <f>'Water and Burning'!I27</f>
        <v>3.0905999999999998</v>
      </c>
      <c r="J31" s="28">
        <f>'Water and Burning'!J27</f>
        <v>21.897349068762484</v>
      </c>
      <c r="K31" s="28">
        <f>'Water and Burning'!K27</f>
        <v>2.8759999999999999</v>
      </c>
      <c r="L31" s="430">
        <f>'Water and Burning'!L27</f>
        <v>6.9436355400245882</v>
      </c>
      <c r="W31" s="3"/>
      <c r="X31" s="3"/>
      <c r="Y31" s="3"/>
      <c r="Z31" s="3"/>
      <c r="AA31" s="3"/>
    </row>
    <row r="32" spans="1:27" ht="15" customHeight="1" x14ac:dyDescent="0.25">
      <c r="A32" s="496"/>
      <c r="B32" s="282" t="s">
        <v>138</v>
      </c>
      <c r="C32" s="28">
        <f>'Water and Burning'!C28</f>
        <v>3.8380000000000001</v>
      </c>
      <c r="D32" s="28">
        <f>'Water and Burning'!D28</f>
        <v>3.1337999999999999</v>
      </c>
      <c r="E32" s="28">
        <f>'Water and Burning'!E28</f>
        <v>18.348097967691508</v>
      </c>
      <c r="F32" s="28">
        <f>'Water and Burning'!F28</f>
        <v>2.8573</v>
      </c>
      <c r="G32" s="28">
        <f>'Water and Burning'!G28</f>
        <v>8.8231539983406719</v>
      </c>
      <c r="H32" s="429">
        <f>'Water and Burning'!H28</f>
        <v>3.8778999999999999</v>
      </c>
      <c r="I32" s="28">
        <f>'Water and Burning'!I28</f>
        <v>3.0246</v>
      </c>
      <c r="J32" s="28">
        <f>'Water and Burning'!J28</f>
        <v>22.004177518760155</v>
      </c>
      <c r="K32" s="28">
        <f>'Water and Burning'!K28</f>
        <v>2.8149999999999999</v>
      </c>
      <c r="L32" s="430">
        <f>'Water and Burning'!L28</f>
        <v>6.9298419625735646</v>
      </c>
      <c r="W32" s="3"/>
      <c r="X32" s="3"/>
      <c r="Y32" s="3"/>
      <c r="Z32" s="3"/>
      <c r="AA32" s="3"/>
    </row>
    <row r="33" spans="1:27" ht="15" customHeight="1" x14ac:dyDescent="0.25">
      <c r="A33" s="496"/>
      <c r="B33" s="282" t="s">
        <v>139</v>
      </c>
      <c r="C33" s="28">
        <f>'Water and Burning'!C29</f>
        <v>3.7719</v>
      </c>
      <c r="D33" s="28">
        <f>'Water and Burning'!D29</f>
        <v>3.0710000000000002</v>
      </c>
      <c r="E33" s="28">
        <f>'Water and Burning'!E29</f>
        <v>18.582146928603617</v>
      </c>
      <c r="F33" s="28">
        <f>'Water and Burning'!F29</f>
        <v>2.7966000000000002</v>
      </c>
      <c r="G33" s="28">
        <f>'Water and Burning'!G29</f>
        <v>8.935200260501464</v>
      </c>
      <c r="H33" s="429">
        <f>'Water and Burning'!H29</f>
        <v>3.9741</v>
      </c>
      <c r="I33" s="28">
        <f>'Water and Burning'!I29</f>
        <v>3.1084000000000001</v>
      </c>
      <c r="J33" s="28">
        <f>'Water and Burning'!J29</f>
        <v>21.783548476384588</v>
      </c>
      <c r="K33" s="28">
        <f>'Water and Burning'!K29</f>
        <v>2.8938000000000001</v>
      </c>
      <c r="L33" s="430">
        <f>'Water and Burning'!L29</f>
        <v>6.9038733753699617</v>
      </c>
      <c r="W33" s="3"/>
      <c r="X33" s="3"/>
      <c r="Y33" s="3"/>
      <c r="Z33" s="3"/>
      <c r="AA33" s="3"/>
    </row>
    <row r="34" spans="1:27" ht="15" customHeight="1" x14ac:dyDescent="0.25">
      <c r="A34" s="496"/>
      <c r="B34" s="282" t="s">
        <v>140</v>
      </c>
      <c r="C34" s="28">
        <f>'Water and Burning'!C30</f>
        <v>3.8302999999999998</v>
      </c>
      <c r="D34" s="28">
        <f>'Water and Burning'!D30</f>
        <v>3.1318000000000001</v>
      </c>
      <c r="E34" s="28">
        <f>'Water and Burning'!E30</f>
        <v>18.23616949064041</v>
      </c>
      <c r="F34" s="28">
        <f>'Water and Burning'!F30</f>
        <v>2.8513000000000002</v>
      </c>
      <c r="G34" s="28">
        <f>'Water and Burning'!G30</f>
        <v>8.956510632862889</v>
      </c>
      <c r="H34" s="429">
        <f>'Water and Burning'!H30</f>
        <v>3.9525999999999999</v>
      </c>
      <c r="I34" s="28">
        <f>'Water and Burning'!I30</f>
        <v>3.101</v>
      </c>
      <c r="J34" s="28">
        <f>'Water and Burning'!J30</f>
        <v>21.545311946566812</v>
      </c>
      <c r="K34" s="28">
        <f>'Water and Burning'!K30</f>
        <v>2.8860999999999999</v>
      </c>
      <c r="L34" s="430">
        <f>'Water and Burning'!L30</f>
        <v>6.9300225733634342</v>
      </c>
      <c r="W34" s="3"/>
      <c r="X34" s="3"/>
      <c r="Y34" s="3"/>
      <c r="Z34" s="3"/>
      <c r="AA34" s="3"/>
    </row>
    <row r="35" spans="1:27" ht="15.75" customHeight="1" thickBot="1" x14ac:dyDescent="0.3">
      <c r="A35" s="497"/>
      <c r="B35" s="283" t="s">
        <v>141</v>
      </c>
      <c r="C35" s="28">
        <f>'Water and Burning'!C31</f>
        <v>3.7816999999999998</v>
      </c>
      <c r="D35" s="28">
        <f>'Water and Burning'!D31</f>
        <v>3.1011000000000002</v>
      </c>
      <c r="E35" s="28">
        <f>'Water and Burning'!E31</f>
        <v>17.997197027791724</v>
      </c>
      <c r="F35" s="28">
        <f>'Water and Burning'!F31</f>
        <v>2.8237999999999999</v>
      </c>
      <c r="G35" s="28">
        <f>'Water and Burning'!G31</f>
        <v>8.941988326722786</v>
      </c>
      <c r="H35" s="431">
        <f>'Water and Burning'!H31</f>
        <v>3.9739</v>
      </c>
      <c r="I35" s="60">
        <f>'Water and Burning'!I31</f>
        <v>3.1044999999999998</v>
      </c>
      <c r="J35" s="60">
        <f>'Water and Burning'!J31</f>
        <v>21.87775233397922</v>
      </c>
      <c r="K35" s="60">
        <f>'Water and Burning'!K31</f>
        <v>2.8862999999999999</v>
      </c>
      <c r="L35" s="432">
        <f>'Water and Burning'!L31</f>
        <v>7.0285070059590904</v>
      </c>
      <c r="W35" s="3"/>
      <c r="X35" s="3"/>
      <c r="Y35" s="3"/>
      <c r="Z35" s="3"/>
      <c r="AA35" s="3"/>
    </row>
    <row r="36" spans="1:27" ht="15.75" customHeight="1" x14ac:dyDescent="0.25">
      <c r="A36" s="266" t="s">
        <v>161</v>
      </c>
      <c r="B36" s="415"/>
      <c r="C36" s="191">
        <f t="shared" ref="C36:L36" si="8">AVERAGE(C29:C35)</f>
        <v>3.811957142857143</v>
      </c>
      <c r="D36" s="62">
        <f t="shared" si="8"/>
        <v>3.1217000000000001</v>
      </c>
      <c r="E36" s="62">
        <f t="shared" si="8"/>
        <v>18.108131246613265</v>
      </c>
      <c r="F36" s="62">
        <f t="shared" si="8"/>
        <v>2.8432142857142852</v>
      </c>
      <c r="G36" s="163">
        <f t="shared" si="8"/>
        <v>8.9212185603026359</v>
      </c>
      <c r="H36" s="191">
        <f t="shared" si="8"/>
        <v>3.9539</v>
      </c>
      <c r="I36" s="62">
        <f t="shared" si="8"/>
        <v>3.091385714285714</v>
      </c>
      <c r="J36" s="62">
        <f t="shared" si="8"/>
        <v>21.814393091823074</v>
      </c>
      <c r="K36" s="62">
        <f t="shared" si="8"/>
        <v>2.8767142857142853</v>
      </c>
      <c r="L36" s="163">
        <f t="shared" si="8"/>
        <v>6.9440566625746216</v>
      </c>
      <c r="W36" s="3"/>
      <c r="X36" s="3"/>
      <c r="Y36" s="3"/>
      <c r="Z36" s="3"/>
      <c r="AA36" s="3"/>
    </row>
    <row r="37" spans="1:27" ht="15.75" customHeight="1" thickBot="1" x14ac:dyDescent="0.3">
      <c r="A37" s="268" t="s">
        <v>162</v>
      </c>
      <c r="B37" s="414"/>
      <c r="C37" s="193">
        <f t="shared" ref="C37:L37" si="9">STDEV(C29:C35)</f>
        <v>3.1582265970153581E-2</v>
      </c>
      <c r="D37" s="59">
        <f t="shared" si="9"/>
        <v>3.2292826860878296E-2</v>
      </c>
      <c r="E37" s="59">
        <f t="shared" si="9"/>
        <v>0.41715112200115301</v>
      </c>
      <c r="F37" s="59">
        <f t="shared" si="9"/>
        <v>3.0355528248378352E-2</v>
      </c>
      <c r="G37" s="165">
        <f t="shared" si="9"/>
        <v>6.0899028721244086E-2</v>
      </c>
      <c r="H37" s="193">
        <f t="shared" si="9"/>
        <v>3.9999208325499018E-2</v>
      </c>
      <c r="I37" s="59">
        <f t="shared" si="9"/>
        <v>3.2449932129945916E-2</v>
      </c>
      <c r="J37" s="59">
        <f t="shared" si="9"/>
        <v>0.16552554525728005</v>
      </c>
      <c r="K37" s="59">
        <f t="shared" si="9"/>
        <v>2.9799800255003304E-2</v>
      </c>
      <c r="L37" s="165">
        <f t="shared" si="9"/>
        <v>4.5336526323692422E-2</v>
      </c>
      <c r="W37" s="3"/>
      <c r="X37" s="3"/>
      <c r="Y37" s="3"/>
      <c r="Z37" s="3"/>
      <c r="AA37" s="3"/>
    </row>
    <row r="38" spans="1:27" ht="15" customHeight="1" x14ac:dyDescent="0.25">
      <c r="A38" s="498" t="s">
        <v>20</v>
      </c>
      <c r="B38" s="284" t="s">
        <v>135</v>
      </c>
      <c r="C38" s="29">
        <f>'Water and Burning'!C32</f>
        <v>3.9990999999999999</v>
      </c>
      <c r="D38" s="29">
        <f>'Water and Burning'!D32</f>
        <v>3.2509000000000001</v>
      </c>
      <c r="E38" s="29">
        <f>'Water and Burning'!E32</f>
        <v>18.709209572153728</v>
      </c>
      <c r="F38" s="29">
        <f>'Water and Burning'!F32</f>
        <v>3.1271</v>
      </c>
      <c r="G38" s="29">
        <f>'Water and Burning'!G32</f>
        <v>3.8081761973607344</v>
      </c>
      <c r="H38" s="427">
        <f>'Water and Burning'!H32</f>
        <v>4.0271999999999997</v>
      </c>
      <c r="I38" s="24">
        <f>'Water and Burning'!I32</f>
        <v>3.1263000000000001</v>
      </c>
      <c r="J38" s="24">
        <f>'Water and Burning'!J32</f>
        <v>22.370381406436227</v>
      </c>
      <c r="K38" s="24">
        <f>'Water and Burning'!K32</f>
        <v>3.0253000000000001</v>
      </c>
      <c r="L38" s="428">
        <f>'Water and Burning'!L32</f>
        <v>3.2306560470844117</v>
      </c>
      <c r="W38" s="3"/>
      <c r="X38" s="3"/>
      <c r="Y38" s="3"/>
      <c r="Z38" s="3"/>
      <c r="AA38" s="3"/>
    </row>
    <row r="39" spans="1:27" ht="15" customHeight="1" x14ac:dyDescent="0.25">
      <c r="A39" s="498"/>
      <c r="B39" s="285" t="s">
        <v>136</v>
      </c>
      <c r="C39" s="28">
        <f>'Water and Burning'!C33</f>
        <v>4.0149999999999997</v>
      </c>
      <c r="D39" s="28">
        <f>'Water and Burning'!D33</f>
        <v>3.2549000000000001</v>
      </c>
      <c r="E39" s="28">
        <f>'Water and Burning'!E33</f>
        <v>18.931506849315056</v>
      </c>
      <c r="F39" s="28">
        <f>'Water and Burning'!F33</f>
        <v>3.1320000000000001</v>
      </c>
      <c r="G39" s="28">
        <f>'Water and Burning'!G33</f>
        <v>3.7758456480997884</v>
      </c>
      <c r="H39" s="429">
        <f>'Water and Burning'!H33</f>
        <v>4.0278</v>
      </c>
      <c r="I39" s="28">
        <f>'Water and Burning'!I33</f>
        <v>3.1455000000000002</v>
      </c>
      <c r="J39" s="28">
        <f>'Water and Burning'!J33</f>
        <v>21.905258453746459</v>
      </c>
      <c r="K39" s="28">
        <f>'Water and Burning'!K33</f>
        <v>3.0424000000000002</v>
      </c>
      <c r="L39" s="430">
        <f>'Water and Burning'!L33</f>
        <v>3.2776982991575254</v>
      </c>
      <c r="W39" s="3"/>
      <c r="X39" s="3"/>
      <c r="Y39" s="3"/>
      <c r="Z39" s="3"/>
      <c r="AA39" s="3"/>
    </row>
    <row r="40" spans="1:27" ht="15" customHeight="1" x14ac:dyDescent="0.25">
      <c r="A40" s="498"/>
      <c r="B40" s="285" t="s">
        <v>137</v>
      </c>
      <c r="C40" s="28">
        <f>'Water and Burning'!C34</f>
        <v>3.9018000000000002</v>
      </c>
      <c r="D40" s="28">
        <f>'Water and Burning'!D34</f>
        <v>3.1642000000000001</v>
      </c>
      <c r="E40" s="28">
        <f>'Water and Burning'!E34</f>
        <v>18.9040955456456</v>
      </c>
      <c r="F40" s="28">
        <f>'Water and Burning'!F34</f>
        <v>3.0438999999999998</v>
      </c>
      <c r="G40" s="28">
        <f>'Water and Burning'!G34</f>
        <v>3.8019088553188891</v>
      </c>
      <c r="H40" s="429">
        <f>'Water and Burning'!H34</f>
        <v>4.0652999999999997</v>
      </c>
      <c r="I40" s="28">
        <f>'Water and Burning'!I34</f>
        <v>3.1690999999999998</v>
      </c>
      <c r="J40" s="28">
        <f>'Water and Burning'!J34</f>
        <v>22.045113521757312</v>
      </c>
      <c r="K40" s="28">
        <f>'Water and Burning'!K34</f>
        <v>3.0663</v>
      </c>
      <c r="L40" s="430">
        <f>'Water and Burning'!L34</f>
        <v>3.2438231674607869</v>
      </c>
      <c r="W40" s="3"/>
      <c r="X40" s="3"/>
      <c r="Y40" s="3"/>
      <c r="Z40" s="3"/>
      <c r="AA40" s="3"/>
    </row>
    <row r="41" spans="1:27" ht="15" customHeight="1" x14ac:dyDescent="0.25">
      <c r="A41" s="498"/>
      <c r="B41" s="285" t="s">
        <v>138</v>
      </c>
      <c r="C41" s="28">
        <f>'Water and Burning'!C35</f>
        <v>3.9394999999999998</v>
      </c>
      <c r="D41" s="28">
        <f>'Water and Burning'!D35</f>
        <v>3.1941999999999999</v>
      </c>
      <c r="E41" s="28">
        <f>'Water and Burning'!E35</f>
        <v>18.918644498032741</v>
      </c>
      <c r="F41" s="28">
        <f>'Water and Burning'!F35</f>
        <v>3.0724999999999998</v>
      </c>
      <c r="G41" s="28">
        <f>'Water and Burning'!G35</f>
        <v>3.8100306806086075</v>
      </c>
      <c r="H41" s="429">
        <f>'Water and Burning'!H35</f>
        <v>3.9710000000000001</v>
      </c>
      <c r="I41" s="28">
        <f>'Water and Burning'!I35</f>
        <v>3.0834999999999999</v>
      </c>
      <c r="J41" s="28">
        <f>'Water and Burning'!J35</f>
        <v>22.349534122387311</v>
      </c>
      <c r="K41" s="28">
        <f>'Water and Burning'!K35</f>
        <v>2.9832000000000001</v>
      </c>
      <c r="L41" s="430">
        <f>'Water and Burning'!L35</f>
        <v>3.252797146100205</v>
      </c>
      <c r="W41" s="3"/>
      <c r="X41" s="3"/>
      <c r="Y41" s="3"/>
      <c r="Z41" s="3"/>
      <c r="AA41" s="3"/>
    </row>
    <row r="42" spans="1:27" ht="15" customHeight="1" x14ac:dyDescent="0.25">
      <c r="A42" s="498"/>
      <c r="B42" s="285" t="s">
        <v>139</v>
      </c>
      <c r="C42" s="28">
        <f>'Water and Burning'!C36</f>
        <v>3.8799000000000001</v>
      </c>
      <c r="D42" s="28">
        <f>'Water and Burning'!D36</f>
        <v>3.1495000000000002</v>
      </c>
      <c r="E42" s="28">
        <f>'Water and Burning'!E36</f>
        <v>18.825227454315829</v>
      </c>
      <c r="F42" s="28">
        <f>'Water and Burning'!F36</f>
        <v>3.0295999999999998</v>
      </c>
      <c r="G42" s="28">
        <f>'Water and Burning'!G36</f>
        <v>3.8069534846801187</v>
      </c>
      <c r="H42" s="429">
        <f>'Water and Burning'!H36</f>
        <v>4.0709</v>
      </c>
      <c r="I42" s="28">
        <f>'Water and Burning'!I36</f>
        <v>3.1707999999999998</v>
      </c>
      <c r="J42" s="28">
        <f>'Water and Burning'!J36</f>
        <v>22.110589795868236</v>
      </c>
      <c r="K42" s="28">
        <f>'Water and Burning'!K36</f>
        <v>3.0680999999999998</v>
      </c>
      <c r="L42" s="430">
        <f>'Water and Burning'!L36</f>
        <v>3.2389302384256342</v>
      </c>
      <c r="W42" s="3"/>
      <c r="X42" s="3"/>
      <c r="Y42" s="3"/>
      <c r="Z42" s="3"/>
      <c r="AA42" s="3"/>
    </row>
    <row r="43" spans="1:27" ht="15" customHeight="1" x14ac:dyDescent="0.25">
      <c r="A43" s="498"/>
      <c r="B43" s="285" t="s">
        <v>140</v>
      </c>
      <c r="C43" s="28">
        <f>'Water and Burning'!C37</f>
        <v>3.9102999999999999</v>
      </c>
      <c r="D43" s="28">
        <f>'Water and Burning'!D37</f>
        <v>3.1619999999999999</v>
      </c>
      <c r="E43" s="28">
        <f>'Water and Burning'!E37</f>
        <v>19.136639132547376</v>
      </c>
      <c r="F43" s="28">
        <f>'Water and Burning'!F37</f>
        <v>3.0404</v>
      </c>
      <c r="G43" s="28">
        <f>'Water and Burning'!G37</f>
        <v>3.8456672991777339</v>
      </c>
      <c r="H43" s="429">
        <f>'Water and Burning'!H37</f>
        <v>3.9190999999999998</v>
      </c>
      <c r="I43" s="28">
        <f>'Water and Burning'!I37</f>
        <v>3.0464000000000002</v>
      </c>
      <c r="J43" s="28">
        <f>'Water and Burning'!J37</f>
        <v>22.267867622668462</v>
      </c>
      <c r="K43" s="28">
        <f>'Water and Burning'!K37</f>
        <v>2.9472</v>
      </c>
      <c r="L43" s="430">
        <f>'Water and Burning'!L37</f>
        <v>3.2563025210084091</v>
      </c>
      <c r="W43" s="3"/>
      <c r="X43" s="3"/>
      <c r="Y43" s="3"/>
      <c r="Z43" s="3"/>
      <c r="AA43" s="3"/>
    </row>
    <row r="44" spans="1:27" ht="15.75" customHeight="1" thickBot="1" x14ac:dyDescent="0.3">
      <c r="A44" s="499"/>
      <c r="B44" s="286" t="s">
        <v>141</v>
      </c>
      <c r="C44" s="28">
        <f>'Water and Burning'!C38</f>
        <v>3.8557000000000001</v>
      </c>
      <c r="D44" s="28">
        <f>'Water and Burning'!D38</f>
        <v>3.137</v>
      </c>
      <c r="E44" s="28">
        <f>'Water and Burning'!E38</f>
        <v>18.639935679643127</v>
      </c>
      <c r="F44" s="28">
        <f>'Water and Burning'!F38</f>
        <v>3.0165999999999999</v>
      </c>
      <c r="G44" s="28">
        <f>'Water and Burning'!G38</f>
        <v>3.8380618425247071</v>
      </c>
      <c r="H44" s="431">
        <f>'Water and Burning'!H38</f>
        <v>4.0433000000000003</v>
      </c>
      <c r="I44" s="60">
        <f>'Water and Burning'!I38</f>
        <v>3.1534</v>
      </c>
      <c r="J44" s="60">
        <f>'Water and Burning'!J38</f>
        <v>22.009249870155571</v>
      </c>
      <c r="K44" s="60">
        <f>'Water and Burning'!K38</f>
        <v>3.0495999999999999</v>
      </c>
      <c r="L44" s="432">
        <f>'Water and Burning'!L38</f>
        <v>3.2916851652184977</v>
      </c>
      <c r="W44" s="3"/>
      <c r="X44" s="3"/>
      <c r="Y44" s="3"/>
      <c r="Z44" s="3"/>
      <c r="AA44" s="3"/>
    </row>
    <row r="45" spans="1:27" ht="15.75" customHeight="1" x14ac:dyDescent="0.25">
      <c r="A45" s="270" t="s">
        <v>161</v>
      </c>
      <c r="B45" s="415"/>
      <c r="C45" s="191">
        <f t="shared" ref="C45:L45" si="10">AVERAGE(C38:C44)</f>
        <v>3.9287571428571426</v>
      </c>
      <c r="D45" s="62">
        <f t="shared" si="10"/>
        <v>3.1875285714285719</v>
      </c>
      <c r="E45" s="62">
        <f t="shared" si="10"/>
        <v>18.866465533093351</v>
      </c>
      <c r="F45" s="62">
        <f t="shared" si="10"/>
        <v>3.066014285714286</v>
      </c>
      <c r="G45" s="163">
        <f t="shared" si="10"/>
        <v>3.812377715395797</v>
      </c>
      <c r="H45" s="191">
        <f t="shared" si="10"/>
        <v>4.0178000000000003</v>
      </c>
      <c r="I45" s="62">
        <f t="shared" si="10"/>
        <v>3.1278571428571427</v>
      </c>
      <c r="J45" s="62">
        <f t="shared" si="10"/>
        <v>22.151142113288508</v>
      </c>
      <c r="K45" s="62">
        <f t="shared" si="10"/>
        <v>3.0260142857142855</v>
      </c>
      <c r="L45" s="163">
        <f t="shared" si="10"/>
        <v>3.2559846549222096</v>
      </c>
      <c r="W45" s="3"/>
      <c r="X45" s="3"/>
      <c r="Y45" s="3"/>
      <c r="Z45" s="3"/>
      <c r="AA45" s="3"/>
    </row>
    <row r="46" spans="1:27" ht="15.75" customHeight="1" thickBot="1" x14ac:dyDescent="0.3">
      <c r="A46" s="273" t="s">
        <v>162</v>
      </c>
      <c r="B46" s="414"/>
      <c r="C46" s="193">
        <f t="shared" ref="C46:L46" si="11">STDEV(C38:C44)</f>
        <v>5.9572193097754696E-2</v>
      </c>
      <c r="D46" s="59">
        <f t="shared" si="11"/>
        <v>4.7948921235196208E-2</v>
      </c>
      <c r="E46" s="59">
        <f t="shared" si="11"/>
        <v>0.16284379006740868</v>
      </c>
      <c r="F46" s="59">
        <f t="shared" si="11"/>
        <v>4.6620003881432351E-2</v>
      </c>
      <c r="G46" s="165">
        <f t="shared" si="11"/>
        <v>2.3326106089982548E-2</v>
      </c>
      <c r="H46" s="193">
        <f t="shared" si="11"/>
        <v>5.4538060104847901E-2</v>
      </c>
      <c r="I46" s="59">
        <f t="shared" si="11"/>
        <v>4.6751144625661469E-2</v>
      </c>
      <c r="J46" s="59">
        <f t="shared" si="11"/>
        <v>0.18005963680380596</v>
      </c>
      <c r="K46" s="59">
        <f t="shared" si="11"/>
        <v>4.5210965800029361E-2</v>
      </c>
      <c r="L46" s="165">
        <f t="shared" si="11"/>
        <v>2.1743057539692658E-2</v>
      </c>
      <c r="W46" s="3"/>
      <c r="X46" s="3"/>
      <c r="Y46" s="3"/>
      <c r="Z46" s="3"/>
      <c r="AA46" s="3"/>
    </row>
    <row r="47" spans="1:27" ht="16.5" thickBot="1" x14ac:dyDescent="0.3">
      <c r="A47" s="15" t="s">
        <v>2</v>
      </c>
      <c r="B47" s="492" t="s">
        <v>147</v>
      </c>
      <c r="C47" s="493"/>
      <c r="D47" s="493"/>
      <c r="E47" s="493"/>
      <c r="F47" s="493"/>
      <c r="G47" s="494"/>
      <c r="H47" s="492" t="s">
        <v>148</v>
      </c>
      <c r="I47" s="493"/>
      <c r="J47" s="493"/>
      <c r="K47" s="493"/>
      <c r="L47" s="494"/>
      <c r="W47" s="3"/>
      <c r="X47" s="3"/>
      <c r="Y47" s="3"/>
      <c r="Z47" s="3"/>
      <c r="AA47" s="3"/>
    </row>
    <row r="48" spans="1:27" ht="15.75" customHeight="1" thickBot="1" x14ac:dyDescent="0.3">
      <c r="A48" s="16"/>
      <c r="B48" s="18" t="s">
        <v>6</v>
      </c>
      <c r="C48" s="18" t="s">
        <v>7</v>
      </c>
      <c r="D48" s="17" t="s">
        <v>8</v>
      </c>
      <c r="E48" s="19" t="s">
        <v>9</v>
      </c>
      <c r="F48" s="20" t="s">
        <v>10</v>
      </c>
      <c r="G48" s="21" t="s">
        <v>11</v>
      </c>
      <c r="H48" s="17" t="s">
        <v>7</v>
      </c>
      <c r="I48" s="17" t="s">
        <v>8</v>
      </c>
      <c r="J48" s="19" t="s">
        <v>9</v>
      </c>
      <c r="K48" s="20" t="s">
        <v>10</v>
      </c>
      <c r="L48" s="21" t="s">
        <v>11</v>
      </c>
      <c r="W48" s="3"/>
      <c r="X48" s="3"/>
      <c r="Y48" s="3"/>
      <c r="Z48" s="3"/>
      <c r="AA48" s="3"/>
    </row>
    <row r="49" spans="1:27" ht="15" customHeight="1" x14ac:dyDescent="0.25">
      <c r="A49" s="495" t="s">
        <v>134</v>
      </c>
      <c r="B49" s="281" t="s">
        <v>135</v>
      </c>
      <c r="C49" s="29">
        <f>'Water and Burning'!C41</f>
        <v>3.8887999999999998</v>
      </c>
      <c r="D49" s="29">
        <f>'Water and Burning'!D41</f>
        <v>3.1248999999999998</v>
      </c>
      <c r="E49" s="29">
        <f>'Water and Burning'!E41</f>
        <v>19.643591853528083</v>
      </c>
      <c r="F49" s="29">
        <f>'Water and Burning'!F41</f>
        <v>2.8365</v>
      </c>
      <c r="G49" s="29">
        <f>'Water and Burning'!G41</f>
        <v>9.229095331050587</v>
      </c>
      <c r="H49" s="427">
        <f>'Water and Burning'!H41</f>
        <v>3.992</v>
      </c>
      <c r="I49" s="24">
        <f>'Water and Burning'!I41</f>
        <v>3.1211000000000002</v>
      </c>
      <c r="J49" s="24">
        <f>'Water and Burning'!J41</f>
        <v>21.816132264529053</v>
      </c>
      <c r="K49" s="24">
        <f>'Water and Burning'!K41</f>
        <v>2.8972000000000002</v>
      </c>
      <c r="L49" s="428">
        <f>'Water and Burning'!L41</f>
        <v>7.1737528435487476</v>
      </c>
      <c r="W49" s="3"/>
      <c r="X49" s="3"/>
      <c r="Y49" s="3"/>
      <c r="Z49" s="3"/>
      <c r="AA49" s="3"/>
    </row>
    <row r="50" spans="1:27" ht="15" customHeight="1" x14ac:dyDescent="0.25">
      <c r="A50" s="496"/>
      <c r="B50" s="282" t="s">
        <v>136</v>
      </c>
      <c r="C50" s="28">
        <f>'Water and Burning'!C42</f>
        <v>3.8447</v>
      </c>
      <c r="D50" s="28">
        <f>'Water and Burning'!D42</f>
        <v>3.0876999999999999</v>
      </c>
      <c r="E50" s="28">
        <f>'Water and Burning'!E42</f>
        <v>19.689442609306322</v>
      </c>
      <c r="F50" s="28">
        <f>'Water and Burning'!F42</f>
        <v>2.8012999999999999</v>
      </c>
      <c r="G50" s="28">
        <f>'Water and Burning'!G42</f>
        <v>9.2755125174077779</v>
      </c>
      <c r="H50" s="429">
        <f>'Water and Burning'!H42</f>
        <v>3.9754999999999998</v>
      </c>
      <c r="I50" s="28">
        <f>'Water and Burning'!I42</f>
        <v>3.1084999999999998</v>
      </c>
      <c r="J50" s="28">
        <f>'Water and Burning'!J42</f>
        <v>21.808577537416678</v>
      </c>
      <c r="K50" s="28">
        <f>'Water and Burning'!K42</f>
        <v>2.8851</v>
      </c>
      <c r="L50" s="430">
        <f>'Water and Burning'!L42</f>
        <v>7.1867460189802097</v>
      </c>
      <c r="W50" s="3"/>
      <c r="X50" s="3"/>
      <c r="Y50" s="3"/>
      <c r="Z50" s="3"/>
      <c r="AA50" s="3"/>
    </row>
    <row r="51" spans="1:27" ht="15" customHeight="1" x14ac:dyDescent="0.25">
      <c r="A51" s="496"/>
      <c r="B51" s="282" t="s">
        <v>137</v>
      </c>
      <c r="C51" s="28">
        <f>'Water and Burning'!C43</f>
        <v>3.976</v>
      </c>
      <c r="D51" s="28">
        <f>'Water and Burning'!D43</f>
        <v>3.1806000000000001</v>
      </c>
      <c r="E51" s="28">
        <f>'Water and Burning'!E43</f>
        <v>20.005030181086518</v>
      </c>
      <c r="F51" s="28">
        <f>'Water and Burning'!F43</f>
        <v>2.8843000000000001</v>
      </c>
      <c r="G51" s="28">
        <f>'Water and Burning'!G43</f>
        <v>9.3158523549015904</v>
      </c>
      <c r="H51" s="429">
        <f>'Water and Burning'!H43</f>
        <v>4.0964</v>
      </c>
      <c r="I51" s="28">
        <f>'Water and Burning'!I43</f>
        <v>3.2178</v>
      </c>
      <c r="J51" s="28">
        <f>'Water and Burning'!J43</f>
        <v>21.448100771409042</v>
      </c>
      <c r="K51" s="28">
        <f>'Water and Burning'!K43</f>
        <v>2.9860000000000002</v>
      </c>
      <c r="L51" s="430">
        <f>'Water and Burning'!L43</f>
        <v>7.2036795325999066</v>
      </c>
      <c r="W51" s="3"/>
      <c r="X51" s="3"/>
      <c r="Y51" s="3"/>
      <c r="Z51" s="3"/>
      <c r="AA51" s="3"/>
    </row>
    <row r="52" spans="1:27" ht="15" customHeight="1" x14ac:dyDescent="0.25">
      <c r="A52" s="496"/>
      <c r="B52" s="282" t="s">
        <v>138</v>
      </c>
      <c r="C52" s="28">
        <f>'Water and Burning'!C44</f>
        <v>3.9752999999999998</v>
      </c>
      <c r="D52" s="28">
        <f>'Water and Burning'!D44</f>
        <v>3.1966000000000001</v>
      </c>
      <c r="E52" s="28">
        <f>'Water and Burning'!E44</f>
        <v>19.588458732674258</v>
      </c>
      <c r="F52" s="28">
        <f>'Water and Burning'!F44</f>
        <v>2.9005999999999998</v>
      </c>
      <c r="G52" s="28">
        <f>'Water and Burning'!G44</f>
        <v>9.2598385784896529</v>
      </c>
      <c r="H52" s="429">
        <f>'Water and Burning'!H44</f>
        <v>4.0357000000000003</v>
      </c>
      <c r="I52" s="28">
        <f>'Water and Burning'!I44</f>
        <v>3.1711</v>
      </c>
      <c r="J52" s="28">
        <f>'Water and Burning'!J44</f>
        <v>21.423792650593459</v>
      </c>
      <c r="K52" s="28">
        <f>'Water and Burning'!K44</f>
        <v>2.9436</v>
      </c>
      <c r="L52" s="430">
        <f>'Water and Burning'!L44</f>
        <v>7.1741666929456658</v>
      </c>
      <c r="W52" s="3"/>
      <c r="X52" s="3"/>
      <c r="Y52" s="3"/>
      <c r="Z52" s="3"/>
      <c r="AA52" s="3"/>
    </row>
    <row r="53" spans="1:27" ht="15" customHeight="1" x14ac:dyDescent="0.25">
      <c r="A53" s="496"/>
      <c r="B53" s="282" t="s">
        <v>139</v>
      </c>
      <c r="C53" s="28">
        <f>'Water and Burning'!C45</f>
        <v>3.8304</v>
      </c>
      <c r="D53" s="28">
        <f>'Water and Burning'!D45</f>
        <v>3.0714999999999999</v>
      </c>
      <c r="E53" s="28">
        <f>'Water and Burning'!E45</f>
        <v>19.812552213868006</v>
      </c>
      <c r="F53" s="28">
        <f>'Water and Burning'!F45</f>
        <v>2.7850999999999999</v>
      </c>
      <c r="G53" s="28">
        <f>'Water and Burning'!G45</f>
        <v>9.3244343154810352</v>
      </c>
      <c r="H53" s="429">
        <f>'Water and Burning'!H45</f>
        <v>4.1116000000000001</v>
      </c>
      <c r="I53" s="28">
        <f>'Water and Burning'!I45</f>
        <v>3.2218</v>
      </c>
      <c r="J53" s="28">
        <f>'Water and Burning'!J45</f>
        <v>21.641210234458608</v>
      </c>
      <c r="K53" s="28">
        <f>'Water and Burning'!K45</f>
        <v>2.9914000000000001</v>
      </c>
      <c r="L53" s="430">
        <f>'Water and Burning'!L45</f>
        <v>7.1512818921099992</v>
      </c>
      <c r="W53" s="3"/>
      <c r="X53" s="3"/>
      <c r="Y53" s="3"/>
      <c r="Z53" s="3"/>
      <c r="AA53" s="3"/>
    </row>
    <row r="54" spans="1:27" ht="15" customHeight="1" x14ac:dyDescent="0.25">
      <c r="A54" s="496"/>
      <c r="B54" s="282" t="s">
        <v>140</v>
      </c>
      <c r="C54" s="28">
        <f>'Water and Burning'!C46</f>
        <v>3.8769999999999998</v>
      </c>
      <c r="D54" s="28">
        <f>'Water and Burning'!D46</f>
        <v>3.1162999999999998</v>
      </c>
      <c r="E54" s="28">
        <f>'Water and Burning'!E46</f>
        <v>19.620840856332215</v>
      </c>
      <c r="F54" s="28">
        <f>'Water and Burning'!F46</f>
        <v>2.8250999999999999</v>
      </c>
      <c r="G54" s="28">
        <f>'Water and Burning'!G46</f>
        <v>9.3444148509450287</v>
      </c>
      <c r="H54" s="429">
        <f>'Water and Burning'!H46</f>
        <v>4.0370999999999997</v>
      </c>
      <c r="I54" s="28">
        <f>'Water and Burning'!I46</f>
        <v>3.1528</v>
      </c>
      <c r="J54" s="28">
        <f>'Water and Burning'!J46</f>
        <v>21.90433727180401</v>
      </c>
      <c r="K54" s="28">
        <f>'Water and Burning'!K46</f>
        <v>2.9275000000000002</v>
      </c>
      <c r="L54" s="430">
        <f>'Water and Burning'!L46</f>
        <v>7.146028926668353</v>
      </c>
      <c r="W54" s="3"/>
      <c r="X54" s="3"/>
      <c r="Y54" s="3"/>
      <c r="Z54" s="3"/>
      <c r="AA54" s="3"/>
    </row>
    <row r="55" spans="1:27" ht="15.75" customHeight="1" thickBot="1" x14ac:dyDescent="0.3">
      <c r="A55" s="497"/>
      <c r="B55" s="283" t="s">
        <v>141</v>
      </c>
      <c r="C55" s="28">
        <f>'Water and Burning'!C47</f>
        <v>3.9270999999999998</v>
      </c>
      <c r="D55" s="28">
        <f>'Water and Burning'!D47</f>
        <v>3.1594000000000002</v>
      </c>
      <c r="E55" s="28">
        <f>'Water and Burning'!E47</f>
        <v>19.548776450816117</v>
      </c>
      <c r="F55" s="28">
        <f>'Water and Burning'!F47</f>
        <v>2.8662999999999998</v>
      </c>
      <c r="G55" s="28">
        <f>'Water and Burning'!G47</f>
        <v>9.277077926188527</v>
      </c>
      <c r="H55" s="431">
        <f>'Water and Burning'!H47</f>
        <v>4.0129999999999999</v>
      </c>
      <c r="I55" s="60">
        <f>'Water and Burning'!I47</f>
        <v>3.1564999999999999</v>
      </c>
      <c r="J55" s="60">
        <f>'Water and Burning'!J47</f>
        <v>21.343134811861454</v>
      </c>
      <c r="K55" s="60">
        <f>'Water and Burning'!K47</f>
        <v>2.9302000000000001</v>
      </c>
      <c r="L55" s="432">
        <f>'Water and Burning'!L47</f>
        <v>7.1693331221289318</v>
      </c>
      <c r="W55" s="3"/>
      <c r="X55" s="3"/>
      <c r="Y55" s="3"/>
      <c r="Z55" s="3"/>
      <c r="AA55" s="3"/>
    </row>
    <row r="56" spans="1:27" ht="15.75" customHeight="1" x14ac:dyDescent="0.25">
      <c r="A56" s="266" t="s">
        <v>161</v>
      </c>
      <c r="B56" s="415"/>
      <c r="C56" s="191">
        <f t="shared" ref="C56:L56" si="12">AVERAGE(C49:C55)</f>
        <v>3.9027571428571428</v>
      </c>
      <c r="D56" s="62">
        <f t="shared" si="12"/>
        <v>3.1338571428571429</v>
      </c>
      <c r="E56" s="62">
        <f t="shared" si="12"/>
        <v>19.701241842515934</v>
      </c>
      <c r="F56" s="62">
        <f t="shared" si="12"/>
        <v>2.8427428571428566</v>
      </c>
      <c r="G56" s="163">
        <f t="shared" si="12"/>
        <v>9.2894608392091715</v>
      </c>
      <c r="H56" s="191">
        <f t="shared" si="12"/>
        <v>4.0373285714285716</v>
      </c>
      <c r="I56" s="62">
        <f t="shared" si="12"/>
        <v>3.1642285714285721</v>
      </c>
      <c r="J56" s="62">
        <f t="shared" si="12"/>
        <v>21.626469363153184</v>
      </c>
      <c r="K56" s="62">
        <f t="shared" si="12"/>
        <v>2.9372857142857143</v>
      </c>
      <c r="L56" s="163">
        <f t="shared" si="12"/>
        <v>7.1721412898545447</v>
      </c>
      <c r="W56" s="3"/>
      <c r="X56" s="3"/>
      <c r="Y56" s="3"/>
      <c r="Z56" s="3"/>
      <c r="AA56" s="3"/>
    </row>
    <row r="57" spans="1:27" ht="15.75" customHeight="1" thickBot="1" x14ac:dyDescent="0.3">
      <c r="A57" s="268" t="s">
        <v>162</v>
      </c>
      <c r="B57" s="414"/>
      <c r="C57" s="193">
        <f t="shared" ref="C57:L57" si="13">STDEV(C49:C55)</f>
        <v>5.8713963618627546E-2</v>
      </c>
      <c r="D57" s="59">
        <f t="shared" si="13"/>
        <v>4.687105919942712E-2</v>
      </c>
      <c r="E57" s="59">
        <f t="shared" si="13"/>
        <v>0.1584140885294501</v>
      </c>
      <c r="F57" s="59">
        <f t="shared" si="13"/>
        <v>4.2856032525299452E-2</v>
      </c>
      <c r="G57" s="165">
        <f t="shared" si="13"/>
        <v>4.0432999456462698E-2</v>
      </c>
      <c r="H57" s="193">
        <f t="shared" si="13"/>
        <v>5.0789950262025818E-2</v>
      </c>
      <c r="I57" s="59">
        <f t="shared" si="13"/>
        <v>4.3565418789284174E-2</v>
      </c>
      <c r="J57" s="59">
        <f t="shared" si="13"/>
        <v>0.22350799520644102</v>
      </c>
      <c r="K57" s="59">
        <f t="shared" si="13"/>
        <v>4.0450563596050128E-2</v>
      </c>
      <c r="L57" s="165">
        <f t="shared" si="13"/>
        <v>1.9746366850208773E-2</v>
      </c>
      <c r="W57" s="3"/>
      <c r="X57" s="3"/>
      <c r="Y57" s="3"/>
      <c r="Z57" s="3"/>
      <c r="AA57" s="3"/>
    </row>
    <row r="58" spans="1:27" ht="15" customHeight="1" x14ac:dyDescent="0.25">
      <c r="A58" s="498" t="s">
        <v>20</v>
      </c>
      <c r="B58" s="284" t="s">
        <v>135</v>
      </c>
      <c r="C58" s="29">
        <f>'Water and Burning'!C48</f>
        <v>3.9296000000000002</v>
      </c>
      <c r="D58" s="29">
        <f>'Water and Burning'!D48</f>
        <v>3.1545000000000001</v>
      </c>
      <c r="E58" s="29">
        <f>'Water and Burning'!E48</f>
        <v>19.724653908794789</v>
      </c>
      <c r="F58" s="29">
        <f>'Water and Burning'!F48</f>
        <v>3.0356000000000001</v>
      </c>
      <c r="G58" s="29">
        <f>'Water and Burning'!G48</f>
        <v>3.7692185766365509</v>
      </c>
      <c r="H58" s="427">
        <f>'Water and Burning'!H48</f>
        <v>3.9127999999999998</v>
      </c>
      <c r="I58" s="24">
        <f>'Water and Burning'!I48</f>
        <v>3.0289000000000001</v>
      </c>
      <c r="J58" s="24">
        <f>'Water and Burning'!J48</f>
        <v>22.589961153138411</v>
      </c>
      <c r="K58" s="24">
        <f>'Water and Burning'!K48</f>
        <v>2.9304000000000001</v>
      </c>
      <c r="L58" s="428">
        <f>'Water and Burning'!L48</f>
        <v>3.2520056786292066</v>
      </c>
      <c r="W58" s="3"/>
      <c r="X58" s="3"/>
      <c r="Y58" s="3"/>
      <c r="Z58" s="3"/>
      <c r="AA58" s="3"/>
    </row>
    <row r="59" spans="1:27" ht="15" customHeight="1" x14ac:dyDescent="0.25">
      <c r="A59" s="498"/>
      <c r="B59" s="285" t="s">
        <v>136</v>
      </c>
      <c r="C59" s="28">
        <f>'Water and Burning'!C49</f>
        <v>3.92</v>
      </c>
      <c r="D59" s="28">
        <f>'Water and Burning'!D49</f>
        <v>3.1294</v>
      </c>
      <c r="E59" s="28">
        <f>'Water and Burning'!E49</f>
        <v>20.168367346938776</v>
      </c>
      <c r="F59" s="28">
        <f>'Water and Burning'!F49</f>
        <v>3.0116000000000001</v>
      </c>
      <c r="G59" s="28">
        <f>'Water and Burning'!G49</f>
        <v>3.7642998657889661</v>
      </c>
      <c r="H59" s="429">
        <f>'Water and Burning'!H49</f>
        <v>3.9594999999999998</v>
      </c>
      <c r="I59" s="28">
        <f>'Water and Burning'!I49</f>
        <v>3.0598999999999998</v>
      </c>
      <c r="J59" s="28">
        <f>'Water and Burning'!J49</f>
        <v>22.72004040914257</v>
      </c>
      <c r="K59" s="28">
        <f>'Water and Burning'!K49</f>
        <v>2.9594</v>
      </c>
      <c r="L59" s="430">
        <f>'Water and Burning'!L49</f>
        <v>3.2844210595117427</v>
      </c>
      <c r="W59" s="3"/>
      <c r="X59" s="3"/>
      <c r="Y59" s="3"/>
      <c r="Z59" s="3"/>
      <c r="AA59" s="3"/>
    </row>
    <row r="60" spans="1:27" ht="15" customHeight="1" x14ac:dyDescent="0.25">
      <c r="A60" s="498"/>
      <c r="B60" s="285" t="s">
        <v>137</v>
      </c>
      <c r="C60" s="28">
        <f>'Water and Burning'!C50</f>
        <v>3.9842</v>
      </c>
      <c r="D60" s="28">
        <f>'Water and Burning'!D50</f>
        <v>3.1856</v>
      </c>
      <c r="E60" s="28">
        <f>'Water and Burning'!E50</f>
        <v>20.044174489232468</v>
      </c>
      <c r="F60" s="28">
        <f>'Water and Burning'!F50</f>
        <v>3.0651000000000002</v>
      </c>
      <c r="G60" s="28">
        <f>'Water and Burning'!G50</f>
        <v>3.7826469110999446</v>
      </c>
      <c r="H60" s="429">
        <f>'Water and Burning'!H50</f>
        <v>3.8763000000000001</v>
      </c>
      <c r="I60" s="28">
        <f>'Water and Burning'!I50</f>
        <v>2.9937999999999998</v>
      </c>
      <c r="J60" s="28">
        <f>'Water and Burning'!J50</f>
        <v>22.766555736140141</v>
      </c>
      <c r="K60" s="28">
        <f>'Water and Burning'!K50</f>
        <v>2.8957999999999999</v>
      </c>
      <c r="L60" s="430">
        <f>'Water and Burning'!L50</f>
        <v>3.2734317589685307</v>
      </c>
      <c r="W60" s="3"/>
      <c r="X60" s="3"/>
      <c r="Y60" s="3"/>
      <c r="Z60" s="3"/>
      <c r="AA60" s="3"/>
    </row>
    <row r="61" spans="1:27" ht="15" customHeight="1" x14ac:dyDescent="0.25">
      <c r="A61" s="498"/>
      <c r="B61" s="285" t="s">
        <v>138</v>
      </c>
      <c r="C61" s="28">
        <f>'Water and Burning'!C51</f>
        <v>3.9348000000000001</v>
      </c>
      <c r="D61" s="28">
        <f>'Water and Burning'!D51</f>
        <v>3.1385999999999998</v>
      </c>
      <c r="E61" s="28">
        <f>'Water and Burning'!E51</f>
        <v>20.234827691369325</v>
      </c>
      <c r="F61" s="28">
        <f>'Water and Burning'!F51</f>
        <v>3.0202</v>
      </c>
      <c r="G61" s="28">
        <f>'Water and Burning'!G51</f>
        <v>3.7723825909641193</v>
      </c>
      <c r="H61" s="429">
        <f>'Water and Burning'!H51</f>
        <v>3.9316</v>
      </c>
      <c r="I61" s="28">
        <f>'Water and Burning'!I51</f>
        <v>3.0127999999999999</v>
      </c>
      <c r="J61" s="28">
        <f>'Water and Burning'!J51</f>
        <v>23.369620510733547</v>
      </c>
      <c r="K61" s="28">
        <f>'Water and Burning'!K51</f>
        <v>2.9150999999999998</v>
      </c>
      <c r="L61" s="430">
        <f>'Water and Burning'!L51</f>
        <v>3.2428305894848686</v>
      </c>
      <c r="W61" s="3"/>
      <c r="X61" s="3"/>
      <c r="Y61" s="3"/>
      <c r="Z61" s="3"/>
      <c r="AA61" s="3"/>
    </row>
    <row r="62" spans="1:27" ht="15" customHeight="1" x14ac:dyDescent="0.25">
      <c r="A62" s="498"/>
      <c r="B62" s="285" t="s">
        <v>139</v>
      </c>
      <c r="C62" s="28">
        <f>'Water and Burning'!C52</f>
        <v>3.9615999999999998</v>
      </c>
      <c r="D62" s="28">
        <f>'Water and Burning'!D52</f>
        <v>3.1735000000000002</v>
      </c>
      <c r="E62" s="28">
        <f>'Water and Burning'!E52</f>
        <v>19.893477382875595</v>
      </c>
      <c r="F62" s="28">
        <f>'Water and Burning'!F52</f>
        <v>3.0537999999999998</v>
      </c>
      <c r="G62" s="28">
        <f>'Water and Burning'!G52</f>
        <v>3.7718607216007669</v>
      </c>
      <c r="H62" s="429">
        <f>'Water and Burning'!H52</f>
        <v>3.9716</v>
      </c>
      <c r="I62" s="28">
        <f>'Water and Burning'!I52</f>
        <v>3.0687000000000002</v>
      </c>
      <c r="J62" s="28">
        <f>'Water and Burning'!J52</f>
        <v>22.733910766441731</v>
      </c>
      <c r="K62" s="28">
        <f>'Water and Burning'!K52</f>
        <v>2.9683000000000002</v>
      </c>
      <c r="L62" s="430">
        <f>'Water and Burning'!L52</f>
        <v>3.2717437351321417</v>
      </c>
      <c r="W62" s="3"/>
      <c r="X62" s="3"/>
      <c r="Y62" s="3"/>
      <c r="Z62" s="3"/>
      <c r="AA62" s="3"/>
    </row>
    <row r="63" spans="1:27" ht="15" customHeight="1" x14ac:dyDescent="0.25">
      <c r="A63" s="498"/>
      <c r="B63" s="285" t="s">
        <v>140</v>
      </c>
      <c r="C63" s="28">
        <f>'Water and Burning'!C53</f>
        <v>3.9268999999999998</v>
      </c>
      <c r="D63" s="28">
        <f>'Water and Burning'!D53</f>
        <v>3.1484999999999999</v>
      </c>
      <c r="E63" s="28">
        <f>'Water and Burning'!E53</f>
        <v>19.822251648883345</v>
      </c>
      <c r="F63" s="28">
        <f>'Water and Burning'!F53</f>
        <v>3.0293999999999999</v>
      </c>
      <c r="G63" s="28">
        <f>'Water and Burning'!G53</f>
        <v>3.7827536922343965</v>
      </c>
      <c r="H63" s="429">
        <f>'Water and Burning'!H53</f>
        <v>3.9601000000000002</v>
      </c>
      <c r="I63" s="28">
        <f>'Water and Burning'!I53</f>
        <v>3.0577999999999999</v>
      </c>
      <c r="J63" s="28">
        <f>'Water and Burning'!J53</f>
        <v>22.78477816216763</v>
      </c>
      <c r="K63" s="28">
        <f>'Water and Burning'!K53</f>
        <v>2.9575999999999998</v>
      </c>
      <c r="L63" s="430">
        <f>'Water and Burning'!L53</f>
        <v>3.2768657204526153</v>
      </c>
      <c r="W63" s="3"/>
      <c r="X63" s="3"/>
      <c r="Y63" s="3"/>
      <c r="Z63" s="3"/>
      <c r="AA63" s="3"/>
    </row>
    <row r="64" spans="1:27" ht="15.95" customHeight="1" thickBot="1" x14ac:dyDescent="0.3">
      <c r="A64" s="499"/>
      <c r="B64" s="286" t="s">
        <v>141</v>
      </c>
      <c r="C64" s="28">
        <f>'Water and Burning'!C54</f>
        <v>3.8572000000000002</v>
      </c>
      <c r="D64" s="28">
        <f>'Water and Burning'!D54</f>
        <v>3.1015000000000001</v>
      </c>
      <c r="E64" s="28">
        <f>'Water and Burning'!E54</f>
        <v>19.591931971378202</v>
      </c>
      <c r="F64" s="28">
        <f>'Water and Burning'!F54</f>
        <v>2.984</v>
      </c>
      <c r="G64" s="28">
        <f>'Water and Burning'!G54</f>
        <v>3.7884894405932665</v>
      </c>
      <c r="H64" s="431">
        <f>'Water and Burning'!H54</f>
        <v>3.9075000000000002</v>
      </c>
      <c r="I64" s="60">
        <f>'Water and Burning'!I54</f>
        <v>3.0327999999999999</v>
      </c>
      <c r="J64" s="60">
        <f>'Water and Burning'!J54</f>
        <v>22.385156749840057</v>
      </c>
      <c r="K64" s="60">
        <f>'Water and Burning'!K54</f>
        <v>2.9325999999999999</v>
      </c>
      <c r="L64" s="432">
        <f>'Water and Burning'!L54</f>
        <v>3.3038776048536027</v>
      </c>
      <c r="W64" s="3"/>
      <c r="X64" s="3"/>
      <c r="Y64" s="3"/>
      <c r="Z64" s="3"/>
      <c r="AA64" s="3"/>
    </row>
    <row r="65" spans="1:36" ht="15.75" customHeight="1" x14ac:dyDescent="0.25">
      <c r="A65" s="270" t="s">
        <v>161</v>
      </c>
      <c r="B65" s="415"/>
      <c r="C65" s="191">
        <f t="shared" ref="C65:L65" si="14">AVERAGE(C58:C64)</f>
        <v>3.9306142857142854</v>
      </c>
      <c r="D65" s="62">
        <f t="shared" si="14"/>
        <v>3.1473714285714287</v>
      </c>
      <c r="E65" s="62">
        <f t="shared" si="14"/>
        <v>19.925669205638933</v>
      </c>
      <c r="F65" s="62">
        <f t="shared" si="14"/>
        <v>3.0285285714285712</v>
      </c>
      <c r="G65" s="163">
        <f t="shared" si="14"/>
        <v>3.7759502569882879</v>
      </c>
      <c r="H65" s="191">
        <f t="shared" si="14"/>
        <v>3.9313428571428566</v>
      </c>
      <c r="I65" s="62">
        <f t="shared" si="14"/>
        <v>3.0363857142857142</v>
      </c>
      <c r="J65" s="62">
        <f t="shared" si="14"/>
        <v>22.764289069657732</v>
      </c>
      <c r="K65" s="62">
        <f t="shared" si="14"/>
        <v>2.9370285714285713</v>
      </c>
      <c r="L65" s="163">
        <f t="shared" si="14"/>
        <v>3.2721680210046729</v>
      </c>
      <c r="W65" s="3"/>
      <c r="X65" s="3"/>
      <c r="Y65" s="3"/>
      <c r="Z65" s="3"/>
      <c r="AA65" s="3"/>
    </row>
    <row r="66" spans="1:36" ht="15.75" customHeight="1" thickBot="1" x14ac:dyDescent="0.3">
      <c r="A66" s="273" t="s">
        <v>162</v>
      </c>
      <c r="B66" s="414"/>
      <c r="C66" s="193">
        <f t="shared" ref="C66:L66" si="15">STDEV(C58:C64)</f>
        <v>3.9509932446218574E-2</v>
      </c>
      <c r="D66" s="59">
        <f t="shared" si="15"/>
        <v>2.7989028462697924E-2</v>
      </c>
      <c r="E66" s="59">
        <f t="shared" si="15"/>
        <v>0.23524599002057231</v>
      </c>
      <c r="F66" s="59">
        <f t="shared" si="15"/>
        <v>2.6974105748891503E-2</v>
      </c>
      <c r="G66" s="165">
        <f t="shared" si="15"/>
        <v>8.7451196763253317E-3</v>
      </c>
      <c r="H66" s="193">
        <f t="shared" si="15"/>
        <v>3.4598981542951844E-2</v>
      </c>
      <c r="I66" s="59">
        <f t="shared" si="15"/>
        <v>2.7369169307295965E-2</v>
      </c>
      <c r="J66" s="59">
        <f t="shared" si="15"/>
        <v>0.30107125898357057</v>
      </c>
      <c r="K66" s="59">
        <f t="shared" si="15"/>
        <v>2.6286163298442466E-2</v>
      </c>
      <c r="L66" s="165">
        <f t="shared" si="15"/>
        <v>2.0193584092556473E-2</v>
      </c>
      <c r="W66" s="3"/>
      <c r="X66" s="3"/>
      <c r="Y66" s="3"/>
      <c r="Z66" s="3"/>
      <c r="AA66" s="3"/>
    </row>
    <row r="67" spans="1:36" x14ac:dyDescent="0.25">
      <c r="A67" s="66"/>
      <c r="B67" s="67"/>
      <c r="C67" s="68"/>
      <c r="D67" s="68"/>
      <c r="E67" s="69"/>
      <c r="F67" s="68"/>
      <c r="G67" s="69"/>
      <c r="V67" s="66"/>
      <c r="W67" s="71"/>
      <c r="X67" s="68"/>
      <c r="Y67" s="68"/>
      <c r="Z67" s="69"/>
      <c r="AA67" s="68"/>
      <c r="AB67" s="69"/>
      <c r="AD67" s="66"/>
      <c r="AE67" s="71"/>
      <c r="AF67" s="68"/>
      <c r="AG67" s="68"/>
      <c r="AH67" s="69"/>
      <c r="AI67" s="68"/>
      <c r="AJ67" s="69"/>
    </row>
    <row r="68" spans="1:36" ht="15.75" thickBot="1" x14ac:dyDescent="0.3">
      <c r="A68" s="66"/>
      <c r="B68" s="67"/>
      <c r="C68" s="68"/>
      <c r="D68" s="68"/>
      <c r="E68" s="69"/>
      <c r="F68" s="68"/>
      <c r="G68" s="69"/>
      <c r="V68" s="66"/>
      <c r="W68" s="71"/>
      <c r="X68" s="68"/>
      <c r="Y68" s="68"/>
      <c r="Z68" s="69"/>
      <c r="AA68" s="68"/>
      <c r="AB68" s="69"/>
      <c r="AD68" s="66"/>
      <c r="AE68" s="71"/>
      <c r="AF68" s="68"/>
      <c r="AG68" s="68"/>
      <c r="AH68" s="69"/>
      <c r="AI68" s="68"/>
      <c r="AJ68" s="69"/>
    </row>
    <row r="69" spans="1:36" ht="16.5" thickBot="1" x14ac:dyDescent="0.3">
      <c r="A69" s="15" t="s">
        <v>129</v>
      </c>
      <c r="B69" s="492" t="s">
        <v>149</v>
      </c>
      <c r="C69" s="493"/>
      <c r="D69" s="493"/>
      <c r="E69" s="493"/>
      <c r="F69" s="493"/>
      <c r="G69" s="494"/>
      <c r="H69" s="492" t="s">
        <v>150</v>
      </c>
      <c r="I69" s="493"/>
      <c r="J69" s="493"/>
      <c r="K69" s="493"/>
      <c r="L69" s="494"/>
      <c r="V69" s="66"/>
      <c r="W69" s="71"/>
      <c r="X69" s="68"/>
      <c r="Y69" s="68"/>
      <c r="Z69" s="69"/>
      <c r="AA69" s="68"/>
      <c r="AB69" s="69"/>
      <c r="AD69" s="66"/>
      <c r="AE69" s="71"/>
      <c r="AF69" s="68"/>
      <c r="AG69" s="68"/>
      <c r="AH69" s="69"/>
      <c r="AI69" s="68"/>
      <c r="AJ69" s="69"/>
    </row>
    <row r="70" spans="1:36" ht="15.75" thickBot="1" x14ac:dyDescent="0.3">
      <c r="A70" s="16"/>
      <c r="B70" s="309" t="s">
        <v>6</v>
      </c>
      <c r="C70" s="310" t="s">
        <v>7</v>
      </c>
      <c r="D70" s="310" t="s">
        <v>8</v>
      </c>
      <c r="E70" s="136" t="s">
        <v>9</v>
      </c>
      <c r="F70" s="311" t="s">
        <v>132</v>
      </c>
      <c r="G70" s="312" t="s">
        <v>133</v>
      </c>
      <c r="H70" s="274" t="s">
        <v>7</v>
      </c>
      <c r="I70" s="17" t="s">
        <v>8</v>
      </c>
      <c r="J70" s="19" t="s">
        <v>9</v>
      </c>
      <c r="K70" s="304" t="s">
        <v>132</v>
      </c>
      <c r="L70" s="303" t="s">
        <v>133</v>
      </c>
      <c r="V70" s="66"/>
      <c r="W70" s="71"/>
      <c r="X70" s="68"/>
      <c r="Y70" s="68"/>
      <c r="Z70" s="69"/>
      <c r="AA70" s="68"/>
      <c r="AB70" s="69"/>
      <c r="AD70" s="66"/>
      <c r="AE70" s="71"/>
      <c r="AF70" s="68"/>
      <c r="AG70" s="68"/>
      <c r="AH70" s="69"/>
      <c r="AI70" s="68"/>
      <c r="AJ70" s="69"/>
    </row>
    <row r="71" spans="1:36" x14ac:dyDescent="0.25">
      <c r="A71" s="500" t="s">
        <v>134</v>
      </c>
      <c r="B71" s="313" t="s">
        <v>135</v>
      </c>
      <c r="C71" s="29">
        <f>'Water and Burning'!C59</f>
        <v>3.9923000000000002</v>
      </c>
      <c r="D71" s="29">
        <f>'Water and Burning'!D59</f>
        <v>3.2299000000000002</v>
      </c>
      <c r="E71" s="29">
        <f>'Water and Burning'!E59</f>
        <v>19.096761265435962</v>
      </c>
      <c r="F71" s="29">
        <f>'Water and Burning'!F59</f>
        <v>3.0182000000000002</v>
      </c>
      <c r="G71" s="29">
        <f>'Water and Burning'!G59</f>
        <v>6.554382488621938</v>
      </c>
      <c r="H71" s="427">
        <f>'Water and Burning'!H59</f>
        <v>4.0792000000000002</v>
      </c>
      <c r="I71" s="24">
        <f>'Water and Burning'!I59</f>
        <v>3.2322000000000002</v>
      </c>
      <c r="J71" s="24">
        <f>'Water and Burning'!J59</f>
        <v>20.763875269660716</v>
      </c>
      <c r="K71" s="24">
        <f>'Water and Burning'!K59</f>
        <v>3.0070000000000001</v>
      </c>
      <c r="L71" s="428">
        <f>'Water and Burning'!L59</f>
        <v>6.967390631767838</v>
      </c>
      <c r="V71" s="66"/>
      <c r="W71" s="71"/>
      <c r="X71" s="68"/>
      <c r="Y71" s="68"/>
      <c r="Z71" s="69"/>
      <c r="AA71" s="68"/>
      <c r="AB71" s="69"/>
      <c r="AD71" s="66"/>
      <c r="AE71" s="71"/>
      <c r="AF71" s="68"/>
      <c r="AG71" s="68"/>
      <c r="AH71" s="69"/>
      <c r="AI71" s="68"/>
      <c r="AJ71" s="69"/>
    </row>
    <row r="72" spans="1:36" x14ac:dyDescent="0.25">
      <c r="A72" s="501"/>
      <c r="B72" s="282" t="s">
        <v>136</v>
      </c>
      <c r="C72" s="28">
        <f>'Water and Burning'!C60</f>
        <v>4.0006000000000004</v>
      </c>
      <c r="D72" s="28">
        <f>'Water and Burning'!D60</f>
        <v>3.2132999999999998</v>
      </c>
      <c r="E72" s="28">
        <f>'Water and Burning'!E60</f>
        <v>19.679548067789842</v>
      </c>
      <c r="F72" s="28">
        <f>'Water and Burning'!F60</f>
        <v>3.0026000000000002</v>
      </c>
      <c r="G72" s="28">
        <f>'Water and Burning'!G60</f>
        <v>6.5571219618460672</v>
      </c>
      <c r="H72" s="429">
        <f>'Water and Burning'!H60</f>
        <v>3.9295</v>
      </c>
      <c r="I72" s="28">
        <f>'Water and Burning'!I60</f>
        <v>3.1040000000000001</v>
      </c>
      <c r="J72" s="28">
        <f>'Water and Burning'!J60</f>
        <v>21.007761801755944</v>
      </c>
      <c r="K72" s="28">
        <f>'Water and Burning'!K60</f>
        <v>2.8893</v>
      </c>
      <c r="L72" s="430">
        <f>'Water and Burning'!L60</f>
        <v>6.9168814432989727</v>
      </c>
      <c r="V72" s="66"/>
      <c r="W72" s="71"/>
      <c r="X72" s="68"/>
      <c r="Y72" s="68"/>
      <c r="Z72" s="69"/>
      <c r="AA72" s="68"/>
      <c r="AB72" s="69"/>
      <c r="AD72" s="66"/>
      <c r="AE72" s="71"/>
      <c r="AF72" s="68"/>
      <c r="AG72" s="68"/>
      <c r="AH72" s="69"/>
      <c r="AI72" s="68"/>
      <c r="AJ72" s="69"/>
    </row>
    <row r="73" spans="1:36" x14ac:dyDescent="0.25">
      <c r="A73" s="501"/>
      <c r="B73" s="282" t="s">
        <v>137</v>
      </c>
      <c r="C73" s="28">
        <f>'Water and Burning'!C61</f>
        <v>3.8757999999999999</v>
      </c>
      <c r="D73" s="28">
        <f>'Water and Burning'!D61</f>
        <v>3.1221000000000001</v>
      </c>
      <c r="E73" s="28">
        <f>'Water and Burning'!E61</f>
        <v>19.446307859022649</v>
      </c>
      <c r="F73" s="28">
        <f>'Water and Burning'!F61</f>
        <v>2.9174000000000002</v>
      </c>
      <c r="G73" s="28">
        <f>'Water and Burning'!G61</f>
        <v>6.5564844175394725</v>
      </c>
      <c r="H73" s="429">
        <f>'Water and Burning'!H61</f>
        <v>4.0357000000000003</v>
      </c>
      <c r="I73" s="28">
        <f>'Water and Burning'!I61</f>
        <v>3.1892</v>
      </c>
      <c r="J73" s="28">
        <f>'Water and Burning'!J61</f>
        <v>20.975295487771643</v>
      </c>
      <c r="K73" s="28">
        <f>'Water and Burning'!K61</f>
        <v>2.9674999999999998</v>
      </c>
      <c r="L73" s="430">
        <f>'Water and Burning'!L61</f>
        <v>6.951586604791177</v>
      </c>
      <c r="V73" s="66"/>
      <c r="W73" s="71"/>
      <c r="X73" s="68"/>
      <c r="Y73" s="68"/>
      <c r="Z73" s="69"/>
      <c r="AA73" s="68"/>
      <c r="AB73" s="69"/>
      <c r="AD73" s="66"/>
      <c r="AE73" s="71"/>
      <c r="AF73" s="68"/>
      <c r="AG73" s="68"/>
      <c r="AH73" s="69"/>
      <c r="AI73" s="68"/>
      <c r="AJ73" s="69"/>
    </row>
    <row r="74" spans="1:36" x14ac:dyDescent="0.25">
      <c r="A74" s="501"/>
      <c r="B74" s="282" t="s">
        <v>138</v>
      </c>
      <c r="C74" s="28">
        <f>'Water and Burning'!C62</f>
        <v>3.9834000000000001</v>
      </c>
      <c r="D74" s="28">
        <f>'Water and Burning'!D62</f>
        <v>3.2012</v>
      </c>
      <c r="E74" s="28">
        <f>'Water and Burning'!E62</f>
        <v>19.636491439473815</v>
      </c>
      <c r="F74" s="28">
        <f>'Water and Burning'!F62</f>
        <v>2.9910999999999999</v>
      </c>
      <c r="G74" s="28">
        <f>'Water and Burning'!G62</f>
        <v>6.5631638135699166</v>
      </c>
      <c r="H74" s="429">
        <f>'Water and Burning'!H62</f>
        <v>3.9443999999999999</v>
      </c>
      <c r="I74" s="28">
        <f>'Water and Burning'!I62</f>
        <v>3.0878999999999999</v>
      </c>
      <c r="J74" s="28">
        <f>'Water and Burning'!J62</f>
        <v>21.714329175540005</v>
      </c>
      <c r="K74" s="28">
        <f>'Water and Burning'!K62</f>
        <v>2.8738999999999999</v>
      </c>
      <c r="L74" s="430">
        <f>'Water and Burning'!L62</f>
        <v>6.9302762395155275</v>
      </c>
      <c r="V74" s="66"/>
      <c r="W74" s="71"/>
      <c r="X74" s="68"/>
      <c r="Y74" s="68"/>
      <c r="Z74" s="69"/>
      <c r="AA74" s="68"/>
      <c r="AB74" s="69"/>
      <c r="AD74" s="66"/>
      <c r="AE74" s="71"/>
      <c r="AF74" s="68"/>
      <c r="AG74" s="68"/>
      <c r="AH74" s="69"/>
      <c r="AI74" s="68"/>
      <c r="AJ74" s="69"/>
    </row>
    <row r="75" spans="1:36" x14ac:dyDescent="0.25">
      <c r="A75" s="501"/>
      <c r="B75" s="282" t="s">
        <v>139</v>
      </c>
      <c r="C75" s="28">
        <f>'Water and Burning'!C63</f>
        <v>3.9925000000000002</v>
      </c>
      <c r="D75" s="28">
        <f>'Water and Burning'!D63</f>
        <v>3.2124999999999999</v>
      </c>
      <c r="E75" s="28">
        <f>'Water and Burning'!E63</f>
        <v>19.536631183469012</v>
      </c>
      <c r="F75" s="28">
        <f>'Water and Burning'!F63</f>
        <v>3.0026999999999999</v>
      </c>
      <c r="G75" s="28">
        <f>'Water and Burning'!G63</f>
        <v>6.5307392996108948</v>
      </c>
      <c r="H75" s="429">
        <f>'Water and Burning'!H63</f>
        <v>3.9615999999999998</v>
      </c>
      <c r="I75" s="28">
        <f>'Water and Burning'!I63</f>
        <v>3.1255000000000002</v>
      </c>
      <c r="J75" s="28">
        <f>'Water and Burning'!J63</f>
        <v>21.105109046849748</v>
      </c>
      <c r="K75" s="28">
        <f>'Water and Burning'!K63</f>
        <v>2.9085000000000001</v>
      </c>
      <c r="L75" s="430">
        <f>'Water and Burning'!L63</f>
        <v>6.9428891377379651</v>
      </c>
      <c r="V75" s="66"/>
      <c r="W75" s="71"/>
      <c r="X75" s="68"/>
      <c r="Y75" s="68"/>
      <c r="Z75" s="69"/>
      <c r="AA75" s="68"/>
      <c r="AB75" s="69"/>
      <c r="AD75" s="66"/>
      <c r="AE75" s="71"/>
      <c r="AF75" s="68"/>
      <c r="AG75" s="68"/>
      <c r="AH75" s="69"/>
      <c r="AI75" s="68"/>
      <c r="AJ75" s="69"/>
    </row>
    <row r="76" spans="1:36" x14ac:dyDescent="0.25">
      <c r="A76" s="501"/>
      <c r="B76" s="282" t="s">
        <v>140</v>
      </c>
      <c r="C76" s="28">
        <f>'Water and Burning'!C64</f>
        <v>3.8995000000000002</v>
      </c>
      <c r="D76" s="28">
        <f>'Water and Burning'!D64</f>
        <v>3.1442999999999999</v>
      </c>
      <c r="E76" s="28">
        <f>'Water and Burning'!E64</f>
        <v>19.366585459674322</v>
      </c>
      <c r="F76" s="28">
        <f>'Water and Burning'!F64</f>
        <v>2.9384000000000001</v>
      </c>
      <c r="G76" s="28">
        <f>'Water and Burning'!G64</f>
        <v>6.5483573450370436</v>
      </c>
      <c r="H76" s="429">
        <f>'Water and Burning'!H64</f>
        <v>4.0728999999999997</v>
      </c>
      <c r="I76" s="28">
        <f>'Water and Burning'!I64</f>
        <v>3.2151000000000001</v>
      </c>
      <c r="J76" s="28">
        <f>'Water and Burning'!J64</f>
        <v>21.061160352574326</v>
      </c>
      <c r="K76" s="28">
        <f>'Water and Burning'!K64</f>
        <v>2.9935</v>
      </c>
      <c r="L76" s="430">
        <f>'Water and Burning'!L64</f>
        <v>6.8924761282697284</v>
      </c>
      <c r="V76" s="66"/>
      <c r="W76" s="71"/>
      <c r="X76" s="68"/>
      <c r="Y76" s="68"/>
      <c r="Z76" s="69"/>
      <c r="AA76" s="68"/>
      <c r="AB76" s="69"/>
      <c r="AD76" s="66"/>
      <c r="AE76" s="71"/>
      <c r="AF76" s="68"/>
      <c r="AG76" s="68"/>
      <c r="AH76" s="69"/>
      <c r="AI76" s="68"/>
      <c r="AJ76" s="69"/>
    </row>
    <row r="77" spans="1:36" ht="15.75" thickBot="1" x14ac:dyDescent="0.3">
      <c r="A77" s="502"/>
      <c r="B77" s="316" t="s">
        <v>141</v>
      </c>
      <c r="C77" s="28">
        <f>'Water and Burning'!C65</f>
        <v>3.9887000000000001</v>
      </c>
      <c r="D77" s="28">
        <f>'Water and Burning'!D65</f>
        <v>3.2286000000000001</v>
      </c>
      <c r="E77" s="28">
        <f>'Water and Burning'!E65</f>
        <v>19.056334143956676</v>
      </c>
      <c r="F77" s="28">
        <f>'Water and Burning'!F65</f>
        <v>3.0165000000000002</v>
      </c>
      <c r="G77" s="28">
        <f>'Water and Burning'!G65</f>
        <v>6.5694108901691122</v>
      </c>
      <c r="H77" s="431">
        <f>'Water and Burning'!H65</f>
        <v>4.0476000000000001</v>
      </c>
      <c r="I77" s="60">
        <f>'Water and Burning'!I65</f>
        <v>3.2025000000000001</v>
      </c>
      <c r="J77" s="60">
        <f>'Water and Burning'!J65</f>
        <v>20.879039430773791</v>
      </c>
      <c r="K77" s="60">
        <f>'Water and Burning'!K65</f>
        <v>2.9796</v>
      </c>
      <c r="L77" s="432">
        <f>'Water and Burning'!L65</f>
        <v>6.960187353629979</v>
      </c>
      <c r="V77" s="66"/>
      <c r="W77" s="71"/>
      <c r="X77" s="68"/>
      <c r="Y77" s="68"/>
      <c r="Z77" s="69"/>
      <c r="AA77" s="68"/>
      <c r="AB77" s="69"/>
      <c r="AD77" s="66"/>
      <c r="AE77" s="71"/>
      <c r="AF77" s="68"/>
      <c r="AG77" s="68"/>
      <c r="AH77" s="69"/>
      <c r="AI77" s="68"/>
      <c r="AJ77" s="69"/>
    </row>
    <row r="78" spans="1:36" ht="15.75" customHeight="1" x14ac:dyDescent="0.25">
      <c r="A78" s="266" t="s">
        <v>161</v>
      </c>
      <c r="B78" s="415"/>
      <c r="C78" s="191">
        <f t="shared" ref="C78:L78" si="16">AVERAGE(C71:C77)</f>
        <v>3.9618285714285717</v>
      </c>
      <c r="D78" s="62">
        <f t="shared" si="16"/>
        <v>3.1931285714285713</v>
      </c>
      <c r="E78" s="62">
        <f t="shared" si="16"/>
        <v>19.402665631260327</v>
      </c>
      <c r="F78" s="62">
        <f t="shared" si="16"/>
        <v>2.9838428571428572</v>
      </c>
      <c r="G78" s="163">
        <f t="shared" si="16"/>
        <v>6.5542371737706349</v>
      </c>
      <c r="H78" s="191">
        <f t="shared" si="16"/>
        <v>4.0101285714285719</v>
      </c>
      <c r="I78" s="62">
        <f t="shared" si="16"/>
        <v>3.1652</v>
      </c>
      <c r="J78" s="62">
        <f t="shared" si="16"/>
        <v>21.072367223560882</v>
      </c>
      <c r="K78" s="62">
        <f t="shared" si="16"/>
        <v>2.945614285714286</v>
      </c>
      <c r="L78" s="163">
        <f t="shared" si="16"/>
        <v>6.9373839341444556</v>
      </c>
      <c r="W78" s="3"/>
      <c r="X78" s="3"/>
      <c r="Y78" s="3"/>
      <c r="Z78" s="3"/>
      <c r="AA78" s="3"/>
    </row>
    <row r="79" spans="1:36" ht="15.75" customHeight="1" thickBot="1" x14ac:dyDescent="0.3">
      <c r="A79" s="268" t="s">
        <v>162</v>
      </c>
      <c r="B79" s="414"/>
      <c r="C79" s="193">
        <f t="shared" ref="C79:L79" si="17">STDEV(C71:C77)</f>
        <v>5.1390067596949668E-2</v>
      </c>
      <c r="D79" s="59">
        <f t="shared" si="17"/>
        <v>4.2596819689021972E-2</v>
      </c>
      <c r="E79" s="59">
        <f t="shared" si="17"/>
        <v>0.24698669477588256</v>
      </c>
      <c r="F79" s="59">
        <f t="shared" si="17"/>
        <v>3.9763251759334123E-2</v>
      </c>
      <c r="G79" s="165">
        <f t="shared" si="17"/>
        <v>1.2315588134647554E-2</v>
      </c>
      <c r="H79" s="193">
        <f t="shared" si="17"/>
        <v>6.3173510120559134E-2</v>
      </c>
      <c r="I79" s="59">
        <f t="shared" si="17"/>
        <v>5.8084880419377115E-2</v>
      </c>
      <c r="J79" s="59">
        <f t="shared" si="17"/>
        <v>0.30535565936549991</v>
      </c>
      <c r="K79" s="59">
        <f t="shared" si="17"/>
        <v>5.3831478664793327E-2</v>
      </c>
      <c r="L79" s="165">
        <f t="shared" si="17"/>
        <v>2.6267862001846998E-2</v>
      </c>
      <c r="W79" s="3"/>
      <c r="X79" s="3"/>
      <c r="Y79" s="3"/>
      <c r="Z79" s="3"/>
      <c r="AA79" s="3"/>
    </row>
    <row r="80" spans="1:36" x14ac:dyDescent="0.25">
      <c r="A80" s="498" t="s">
        <v>20</v>
      </c>
      <c r="B80" s="284" t="s">
        <v>135</v>
      </c>
      <c r="C80" s="29">
        <f>'Water and Burning'!C66</f>
        <v>4.0351999999999997</v>
      </c>
      <c r="D80" s="29">
        <f>'Water and Burning'!D66</f>
        <v>3.2330000000000001</v>
      </c>
      <c r="E80" s="29">
        <f>'Water and Burning'!E66</f>
        <v>19.880055511498799</v>
      </c>
      <c r="F80" s="29">
        <f>'Water and Burning'!F66</f>
        <v>3.1326999999999998</v>
      </c>
      <c r="G80" s="29">
        <f>'Water and Burning'!G66</f>
        <v>3.1023816888339089</v>
      </c>
      <c r="H80" s="427">
        <f>'Water and Burning'!H66</f>
        <v>4.0307000000000004</v>
      </c>
      <c r="I80" s="24">
        <f>'Water and Burning'!I66</f>
        <v>3.1551</v>
      </c>
      <c r="J80" s="24">
        <f>'Water and Burning'!J66</f>
        <v>21.723273873024542</v>
      </c>
      <c r="K80" s="24">
        <f>'Water and Burning'!K66</f>
        <v>3.0438000000000001</v>
      </c>
      <c r="L80" s="428">
        <f>'Water and Burning'!L66</f>
        <v>3.5276219454216968</v>
      </c>
      <c r="V80" s="66"/>
      <c r="W80" s="71"/>
      <c r="X80" s="68"/>
      <c r="Y80" s="68"/>
      <c r="Z80" s="69"/>
      <c r="AA80" s="68"/>
      <c r="AB80" s="69"/>
      <c r="AD80" s="66"/>
      <c r="AE80" s="71"/>
      <c r="AF80" s="68"/>
      <c r="AG80" s="68"/>
      <c r="AH80" s="69"/>
      <c r="AI80" s="68"/>
      <c r="AJ80" s="69"/>
    </row>
    <row r="81" spans="1:36" x14ac:dyDescent="0.25">
      <c r="A81" s="498"/>
      <c r="B81" s="285" t="s">
        <v>136</v>
      </c>
      <c r="C81" s="28">
        <f>'Water and Burning'!C67</f>
        <v>3.9453</v>
      </c>
      <c r="D81" s="28">
        <f>'Water and Burning'!D67</f>
        <v>3.1615000000000002</v>
      </c>
      <c r="E81" s="28">
        <f>'Water and Burning'!E67</f>
        <v>19.866676805312647</v>
      </c>
      <c r="F81" s="28">
        <f>'Water and Burning'!F67</f>
        <v>3.0644999999999998</v>
      </c>
      <c r="G81" s="28">
        <f>'Water and Burning'!G67</f>
        <v>3.0681638462755152</v>
      </c>
      <c r="H81" s="429">
        <f>'Water and Burning'!H67</f>
        <v>4.0274999999999999</v>
      </c>
      <c r="I81" s="28">
        <f>'Water and Burning'!I67</f>
        <v>3.1520000000000001</v>
      </c>
      <c r="J81" s="28">
        <f>'Water and Burning'!J67</f>
        <v>21.738050900062067</v>
      </c>
      <c r="K81" s="28">
        <f>'Water and Burning'!K67</f>
        <v>3.0409999999999999</v>
      </c>
      <c r="L81" s="430">
        <f>'Water and Burning'!L67</f>
        <v>3.52157360406092</v>
      </c>
      <c r="V81" s="66"/>
      <c r="W81" s="71"/>
      <c r="X81" s="68"/>
      <c r="Y81" s="68"/>
      <c r="Z81" s="69"/>
      <c r="AA81" s="68"/>
      <c r="AB81" s="69"/>
      <c r="AD81" s="66"/>
      <c r="AE81" s="71"/>
      <c r="AF81" s="68"/>
      <c r="AG81" s="68"/>
      <c r="AH81" s="69"/>
      <c r="AI81" s="68"/>
      <c r="AJ81" s="69"/>
    </row>
    <row r="82" spans="1:36" x14ac:dyDescent="0.25">
      <c r="A82" s="498"/>
      <c r="B82" s="285" t="s">
        <v>137</v>
      </c>
      <c r="C82" s="28">
        <f>'Water and Burning'!C68</f>
        <v>4.016</v>
      </c>
      <c r="D82" s="28">
        <f>'Water and Burning'!D68</f>
        <v>3.2128999999999999</v>
      </c>
      <c r="E82" s="28">
        <f>'Water and Burning'!E68</f>
        <v>19.997509960159366</v>
      </c>
      <c r="F82" s="28">
        <f>'Water and Burning'!F68</f>
        <v>3.1137000000000001</v>
      </c>
      <c r="G82" s="28">
        <f>'Water and Burning'!G68</f>
        <v>3.0875533007563178</v>
      </c>
      <c r="H82" s="429">
        <f>'Water and Burning'!H68</f>
        <v>3.9538000000000002</v>
      </c>
      <c r="I82" s="28">
        <f>'Water and Burning'!I68</f>
        <v>3.0868000000000002</v>
      </c>
      <c r="J82" s="28">
        <f>'Water and Burning'!J68</f>
        <v>21.928271536243614</v>
      </c>
      <c r="K82" s="28">
        <f>'Water and Burning'!K68</f>
        <v>2.9792000000000001</v>
      </c>
      <c r="L82" s="430">
        <f>'Water and Burning'!L68</f>
        <v>3.4858105481404738</v>
      </c>
      <c r="V82" s="66"/>
      <c r="W82" s="71"/>
      <c r="X82" s="68"/>
      <c r="Y82" s="68"/>
      <c r="Z82" s="69"/>
      <c r="AA82" s="68"/>
      <c r="AB82" s="69"/>
      <c r="AD82" s="66"/>
      <c r="AE82" s="71"/>
      <c r="AF82" s="68"/>
      <c r="AG82" s="68"/>
      <c r="AH82" s="69"/>
      <c r="AI82" s="68"/>
      <c r="AJ82" s="69"/>
    </row>
    <row r="83" spans="1:36" x14ac:dyDescent="0.25">
      <c r="A83" s="498"/>
      <c r="B83" s="285" t="s">
        <v>138</v>
      </c>
      <c r="C83" s="28">
        <f>'Water and Burning'!C69</f>
        <v>3.9228999999999998</v>
      </c>
      <c r="D83" s="28">
        <f>'Water and Burning'!D69</f>
        <v>3.137</v>
      </c>
      <c r="E83" s="28">
        <f>'Water and Burning'!E69</f>
        <v>20.033648576308337</v>
      </c>
      <c r="F83" s="28">
        <f>'Water and Burning'!F69</f>
        <v>3.0398999999999998</v>
      </c>
      <c r="G83" s="28">
        <f>'Water and Burning'!G69</f>
        <v>3.0953139942620398</v>
      </c>
      <c r="H83" s="429">
        <f>'Water and Burning'!H69</f>
        <v>3.9205000000000001</v>
      </c>
      <c r="I83" s="28">
        <f>'Water and Burning'!I69</f>
        <v>3.0741999999999998</v>
      </c>
      <c r="J83" s="28">
        <f>'Water and Burning'!J69</f>
        <v>21.586532330059949</v>
      </c>
      <c r="K83" s="28">
        <f>'Water and Burning'!K69</f>
        <v>2.9672999999999998</v>
      </c>
      <c r="L83" s="430">
        <f>'Water and Burning'!L69</f>
        <v>3.4773274347797805</v>
      </c>
      <c r="V83" s="66"/>
      <c r="W83" s="71"/>
      <c r="X83" s="68"/>
      <c r="Y83" s="68"/>
      <c r="Z83" s="69"/>
      <c r="AA83" s="68"/>
      <c r="AB83" s="69"/>
      <c r="AD83" s="66"/>
      <c r="AE83" s="71"/>
      <c r="AF83" s="68"/>
      <c r="AG83" s="68"/>
      <c r="AH83" s="69"/>
      <c r="AI83" s="68"/>
      <c r="AJ83" s="69"/>
    </row>
    <row r="84" spans="1:36" x14ac:dyDescent="0.25">
      <c r="A84" s="498"/>
      <c r="B84" s="285" t="s">
        <v>139</v>
      </c>
      <c r="C84" s="28">
        <f>'Water and Burning'!C70</f>
        <v>3.9847000000000001</v>
      </c>
      <c r="D84" s="28">
        <f>'Water and Burning'!D70</f>
        <v>3.1749000000000001</v>
      </c>
      <c r="E84" s="28">
        <f>'Water and Burning'!E70</f>
        <v>20.322734459306847</v>
      </c>
      <c r="F84" s="28">
        <f>'Water and Burning'!F70</f>
        <v>3.0762</v>
      </c>
      <c r="G84" s="28">
        <f>'Water and Burning'!G70</f>
        <v>3.1087593310025516</v>
      </c>
      <c r="H84" s="429">
        <f>'Water and Burning'!H70</f>
        <v>3.9815</v>
      </c>
      <c r="I84" s="28">
        <f>'Water and Burning'!I70</f>
        <v>3.0960999999999999</v>
      </c>
      <c r="J84" s="28">
        <f>'Water and Burning'!J70</f>
        <v>22.23785005651137</v>
      </c>
      <c r="K84" s="28">
        <f>'Water and Burning'!K70</f>
        <v>2.9885999999999999</v>
      </c>
      <c r="L84" s="430">
        <f>'Water and Burning'!L70</f>
        <v>3.4721100739640174</v>
      </c>
      <c r="V84" s="66"/>
      <c r="W84" s="71"/>
      <c r="X84" s="68"/>
      <c r="Y84" s="68"/>
      <c r="Z84" s="69"/>
      <c r="AA84" s="68"/>
      <c r="AB84" s="69"/>
      <c r="AD84" s="66"/>
      <c r="AE84" s="71"/>
      <c r="AF84" s="68"/>
      <c r="AG84" s="68"/>
      <c r="AH84" s="69"/>
      <c r="AI84" s="68"/>
      <c r="AJ84" s="69"/>
    </row>
    <row r="85" spans="1:36" x14ac:dyDescent="0.25">
      <c r="A85" s="498"/>
      <c r="B85" s="285" t="s">
        <v>140</v>
      </c>
      <c r="C85" s="28">
        <f>'Water and Burning'!C71</f>
        <v>4.0010000000000003</v>
      </c>
      <c r="D85" s="28">
        <f>'Water and Burning'!D71</f>
        <v>3.1960000000000002</v>
      </c>
      <c r="E85" s="28">
        <f>'Water and Burning'!E71</f>
        <v>20.119970007498129</v>
      </c>
      <c r="F85" s="28">
        <f>'Water and Burning'!F71</f>
        <v>3.0968</v>
      </c>
      <c r="G85" s="28">
        <f>'Water and Burning'!G71</f>
        <v>3.1038798498122704</v>
      </c>
      <c r="H85" s="429">
        <f>'Water and Burning'!H71</f>
        <v>3.9418000000000002</v>
      </c>
      <c r="I85" s="28">
        <f>'Water and Burning'!I71</f>
        <v>3.0808</v>
      </c>
      <c r="J85" s="28">
        <f>'Water and Burning'!J71</f>
        <v>21.842812928103918</v>
      </c>
      <c r="K85" s="28">
        <f>'Water and Burning'!K71</f>
        <v>2.9725000000000001</v>
      </c>
      <c r="L85" s="430">
        <f>'Water and Burning'!L71</f>
        <v>3.515320695923132</v>
      </c>
      <c r="V85" s="66"/>
      <c r="W85" s="71"/>
      <c r="X85" s="68"/>
      <c r="Y85" s="68"/>
      <c r="Z85" s="69"/>
      <c r="AA85" s="68"/>
      <c r="AB85" s="69"/>
      <c r="AD85" s="66"/>
      <c r="AE85" s="71"/>
      <c r="AF85" s="68"/>
      <c r="AG85" s="68"/>
      <c r="AH85" s="69"/>
      <c r="AI85" s="68"/>
      <c r="AJ85" s="69"/>
    </row>
    <row r="86" spans="1:36" ht="15.75" thickBot="1" x14ac:dyDescent="0.3">
      <c r="A86" s="499"/>
      <c r="B86" s="287" t="s">
        <v>141</v>
      </c>
      <c r="C86" s="28">
        <f>'Water and Burning'!C72</f>
        <v>3.9251999999999998</v>
      </c>
      <c r="D86" s="28">
        <f>'Water and Burning'!D72</f>
        <v>3.1484000000000001</v>
      </c>
      <c r="E86" s="28">
        <f>'Water and Burning'!E72</f>
        <v>19.790074391113819</v>
      </c>
      <c r="F86" s="28">
        <f>'Water and Burning'!F72</f>
        <v>3.0495000000000001</v>
      </c>
      <c r="G86" s="28">
        <f>'Water and Burning'!G72</f>
        <v>3.1412781095159445</v>
      </c>
      <c r="H86" s="431">
        <f>'Water and Burning'!H72</f>
        <v>3.9287000000000001</v>
      </c>
      <c r="I86" s="60">
        <f>'Water and Burning'!I72</f>
        <v>3.0678000000000001</v>
      </c>
      <c r="J86" s="60">
        <f>'Water and Burning'!J72</f>
        <v>21.913101025784609</v>
      </c>
      <c r="K86" s="60">
        <f>'Water and Burning'!K72</f>
        <v>2.9598</v>
      </c>
      <c r="L86" s="432">
        <f>'Water and Burning'!L72</f>
        <v>3.5204380989634299</v>
      </c>
      <c r="V86" s="66"/>
      <c r="W86" s="71"/>
      <c r="X86" s="68"/>
      <c r="Y86" s="68"/>
      <c r="Z86" s="69"/>
      <c r="AA86" s="68"/>
      <c r="AB86" s="69"/>
      <c r="AD86" s="66"/>
      <c r="AE86" s="71"/>
      <c r="AF86" s="68"/>
      <c r="AG86" s="68"/>
      <c r="AH86" s="69"/>
      <c r="AI86" s="68"/>
      <c r="AJ86" s="69"/>
    </row>
    <row r="87" spans="1:36" ht="15.75" customHeight="1" x14ac:dyDescent="0.25">
      <c r="A87" s="270" t="s">
        <v>161</v>
      </c>
      <c r="B87" s="415"/>
      <c r="C87" s="191">
        <f t="shared" ref="C87:L87" si="18">AVERAGE(C80:C86)</f>
        <v>3.9757571428571432</v>
      </c>
      <c r="D87" s="62">
        <f t="shared" si="18"/>
        <v>3.1805285714285714</v>
      </c>
      <c r="E87" s="62">
        <f t="shared" si="18"/>
        <v>20.001524244456846</v>
      </c>
      <c r="F87" s="62">
        <f t="shared" si="18"/>
        <v>3.0819000000000005</v>
      </c>
      <c r="G87" s="163">
        <f t="shared" si="18"/>
        <v>3.1010471600655065</v>
      </c>
      <c r="H87" s="191">
        <f t="shared" si="18"/>
        <v>3.969214285714286</v>
      </c>
      <c r="I87" s="62">
        <f t="shared" si="18"/>
        <v>3.1018285714285718</v>
      </c>
      <c r="J87" s="62">
        <f t="shared" si="18"/>
        <v>21.852841807112867</v>
      </c>
      <c r="K87" s="62">
        <f t="shared" si="18"/>
        <v>2.9931714285714288</v>
      </c>
      <c r="L87" s="163">
        <f t="shared" si="18"/>
        <v>3.5028860573219212</v>
      </c>
      <c r="W87" s="3"/>
      <c r="X87" s="3"/>
      <c r="Y87" s="3"/>
      <c r="Z87" s="3"/>
      <c r="AA87" s="3"/>
    </row>
    <row r="88" spans="1:36" ht="15.75" customHeight="1" thickBot="1" x14ac:dyDescent="0.3">
      <c r="A88" s="273" t="s">
        <v>162</v>
      </c>
      <c r="B88" s="414"/>
      <c r="C88" s="193">
        <f t="shared" ref="C88:L88" si="19">STDEV(C80:C86)</f>
        <v>4.4995661166489447E-2</v>
      </c>
      <c r="D88" s="59">
        <f t="shared" si="19"/>
        <v>3.5026833251366678E-2</v>
      </c>
      <c r="E88" s="59">
        <f t="shared" si="19"/>
        <v>0.18069449977365604</v>
      </c>
      <c r="F88" s="59">
        <f t="shared" si="19"/>
        <v>3.4065867570536555E-2</v>
      </c>
      <c r="G88" s="165">
        <f t="shared" si="19"/>
        <v>2.2301262025119676E-2</v>
      </c>
      <c r="H88" s="193">
        <f t="shared" si="19"/>
        <v>4.5336314677876369E-2</v>
      </c>
      <c r="I88" s="59">
        <f t="shared" si="19"/>
        <v>3.6462707628741042E-2</v>
      </c>
      <c r="J88" s="59">
        <f t="shared" si="19"/>
        <v>0.20758062186549869</v>
      </c>
      <c r="K88" s="59">
        <f t="shared" si="19"/>
        <v>3.4826269504772515E-2</v>
      </c>
      <c r="L88" s="165">
        <f t="shared" si="19"/>
        <v>2.3508013945029316E-2</v>
      </c>
      <c r="W88" s="3"/>
      <c r="X88" s="3"/>
      <c r="Y88" s="3"/>
      <c r="Z88" s="3"/>
      <c r="AA88" s="3"/>
    </row>
    <row r="89" spans="1:36" ht="16.5" thickBot="1" x14ac:dyDescent="0.3">
      <c r="A89" s="15" t="s">
        <v>142</v>
      </c>
      <c r="B89" s="492" t="s">
        <v>151</v>
      </c>
      <c r="C89" s="493"/>
      <c r="D89" s="493"/>
      <c r="E89" s="493"/>
      <c r="F89" s="493"/>
      <c r="G89" s="494"/>
      <c r="H89" s="492" t="s">
        <v>152</v>
      </c>
      <c r="I89" s="493"/>
      <c r="J89" s="493"/>
      <c r="K89" s="493"/>
      <c r="L89" s="494"/>
      <c r="V89" s="66"/>
      <c r="W89" s="71"/>
      <c r="X89" s="68"/>
      <c r="Y89" s="68"/>
      <c r="Z89" s="69"/>
      <c r="AA89" s="68"/>
      <c r="AB89" s="69"/>
      <c r="AD89" s="66"/>
      <c r="AE89" s="71"/>
      <c r="AF89" s="68"/>
      <c r="AG89" s="68"/>
      <c r="AH89" s="69"/>
      <c r="AI89" s="68"/>
      <c r="AJ89" s="69"/>
    </row>
    <row r="90" spans="1:36" ht="15.75" thickBot="1" x14ac:dyDescent="0.3">
      <c r="A90" s="16"/>
      <c r="B90" s="18" t="s">
        <v>6</v>
      </c>
      <c r="C90" s="17" t="s">
        <v>7</v>
      </c>
      <c r="D90" s="17" t="s">
        <v>8</v>
      </c>
      <c r="E90" s="136" t="s">
        <v>9</v>
      </c>
      <c r="F90" s="20" t="s">
        <v>145</v>
      </c>
      <c r="G90" s="21" t="s">
        <v>146</v>
      </c>
      <c r="H90" s="17" t="s">
        <v>7</v>
      </c>
      <c r="I90" s="17" t="s">
        <v>8</v>
      </c>
      <c r="J90" s="19" t="s">
        <v>9</v>
      </c>
      <c r="K90" s="20" t="s">
        <v>145</v>
      </c>
      <c r="L90" s="21" t="s">
        <v>146</v>
      </c>
      <c r="V90" s="66"/>
      <c r="W90" s="71"/>
      <c r="X90" s="68"/>
      <c r="Y90" s="68"/>
      <c r="Z90" s="69"/>
      <c r="AA90" s="68"/>
      <c r="AB90" s="69"/>
      <c r="AD90" s="66"/>
      <c r="AE90" s="71"/>
      <c r="AF90" s="68"/>
      <c r="AG90" s="68"/>
      <c r="AH90" s="69"/>
      <c r="AI90" s="68"/>
      <c r="AJ90" s="69"/>
    </row>
    <row r="91" spans="1:36" x14ac:dyDescent="0.25">
      <c r="A91" s="495" t="s">
        <v>134</v>
      </c>
      <c r="B91" s="281" t="s">
        <v>135</v>
      </c>
      <c r="C91" s="29">
        <f>'Water and Burning'!C75</f>
        <v>3.8744999999999998</v>
      </c>
      <c r="D91" s="29">
        <f>'Water and Burning'!D75</f>
        <v>3.0832999999999999</v>
      </c>
      <c r="E91" s="29">
        <f>'Water and Burning'!E75</f>
        <v>20.420699445089689</v>
      </c>
      <c r="F91" s="29">
        <f>'Water and Burning'!F75</f>
        <v>2.8807999999999998</v>
      </c>
      <c r="G91" s="29">
        <f>'Water and Burning'!G75</f>
        <v>6.5676385690656165</v>
      </c>
      <c r="H91" s="427">
        <f>'Water and Burning'!H75</f>
        <v>3.9140000000000001</v>
      </c>
      <c r="I91" s="24">
        <f>'Water and Burning'!I75</f>
        <v>3.08</v>
      </c>
      <c r="J91" s="24">
        <f>'Water and Burning'!J75</f>
        <v>21.308124680633625</v>
      </c>
      <c r="K91" s="24">
        <f>'Water and Burning'!K75</f>
        <v>2.8651</v>
      </c>
      <c r="L91" s="428">
        <f>'Water and Burning'!L75</f>
        <v>6.9772727272727302</v>
      </c>
      <c r="V91" s="66"/>
      <c r="W91" s="71"/>
      <c r="X91" s="68"/>
      <c r="Y91" s="68"/>
      <c r="Z91" s="69"/>
      <c r="AA91" s="68"/>
      <c r="AB91" s="69"/>
      <c r="AD91" s="66"/>
      <c r="AE91" s="71"/>
      <c r="AF91" s="68"/>
      <c r="AG91" s="68"/>
      <c r="AH91" s="69"/>
      <c r="AI91" s="68"/>
      <c r="AJ91" s="69"/>
    </row>
    <row r="92" spans="1:36" x14ac:dyDescent="0.25">
      <c r="A92" s="496"/>
      <c r="B92" s="282" t="s">
        <v>136</v>
      </c>
      <c r="C92" s="28">
        <f>'Water and Burning'!C76</f>
        <v>3.9546000000000001</v>
      </c>
      <c r="D92" s="28">
        <f>'Water and Burning'!D76</f>
        <v>3.1233</v>
      </c>
      <c r="E92" s="28">
        <f>'Water and Burning'!E76</f>
        <v>21.021089364284634</v>
      </c>
      <c r="F92" s="28">
        <f>'Water and Burning'!F76</f>
        <v>2.9188999999999998</v>
      </c>
      <c r="G92" s="28">
        <f>'Water and Burning'!G76</f>
        <v>6.5443601319117644</v>
      </c>
      <c r="H92" s="429">
        <f>'Water and Burning'!H76</f>
        <v>3.9702999999999999</v>
      </c>
      <c r="I92" s="28">
        <f>'Water and Burning'!I76</f>
        <v>3.1065999999999998</v>
      </c>
      <c r="J92" s="28">
        <f>'Water and Burning'!J76</f>
        <v>21.754023625418739</v>
      </c>
      <c r="K92" s="28">
        <f>'Water and Burning'!K76</f>
        <v>2.8910999999999998</v>
      </c>
      <c r="L92" s="430">
        <f>'Water and Burning'!L76</f>
        <v>6.9368441382862303</v>
      </c>
      <c r="V92" s="66"/>
      <c r="W92" s="71"/>
      <c r="X92" s="68"/>
      <c r="Y92" s="68"/>
      <c r="Z92" s="69"/>
      <c r="AA92" s="68"/>
      <c r="AB92" s="69"/>
      <c r="AD92" s="66"/>
      <c r="AE92" s="71"/>
      <c r="AF92" s="68"/>
      <c r="AG92" s="68"/>
      <c r="AH92" s="69"/>
      <c r="AI92" s="68"/>
      <c r="AJ92" s="69"/>
    </row>
    <row r="93" spans="1:36" x14ac:dyDescent="0.25">
      <c r="A93" s="496"/>
      <c r="B93" s="282" t="s">
        <v>137</v>
      </c>
      <c r="C93" s="28">
        <f>'Water and Burning'!C77</f>
        <v>3.8835000000000002</v>
      </c>
      <c r="D93" s="28">
        <f>'Water and Burning'!D77</f>
        <v>3.0642</v>
      </c>
      <c r="E93" s="28">
        <f>'Water and Burning'!E77</f>
        <v>21.096948628814218</v>
      </c>
      <c r="F93" s="28">
        <f>'Water and Burning'!F77</f>
        <v>2.8647</v>
      </c>
      <c r="G93" s="28">
        <f>'Water and Burning'!G77</f>
        <v>6.5106716271783824</v>
      </c>
      <c r="H93" s="429">
        <f>'Water and Burning'!H77</f>
        <v>4.0590999999999999</v>
      </c>
      <c r="I93" s="28">
        <f>'Water and Burning'!I77</f>
        <v>3.1781999999999999</v>
      </c>
      <c r="J93" s="28">
        <f>'Water and Burning'!J77</f>
        <v>21.70185509103003</v>
      </c>
      <c r="K93" s="28">
        <f>'Water and Burning'!K77</f>
        <v>2.9567999999999999</v>
      </c>
      <c r="L93" s="430">
        <f>'Water and Burning'!L77</f>
        <v>6.9662072871436678</v>
      </c>
      <c r="V93" s="66"/>
      <c r="W93" s="71"/>
      <c r="X93" s="68"/>
      <c r="Y93" s="68"/>
      <c r="Z93" s="69"/>
      <c r="AA93" s="68"/>
      <c r="AB93" s="69"/>
      <c r="AD93" s="66"/>
      <c r="AE93" s="71"/>
      <c r="AF93" s="68"/>
      <c r="AG93" s="68"/>
      <c r="AH93" s="69"/>
      <c r="AI93" s="68"/>
      <c r="AJ93" s="69"/>
    </row>
    <row r="94" spans="1:36" x14ac:dyDescent="0.25">
      <c r="A94" s="496"/>
      <c r="B94" s="282" t="s">
        <v>138</v>
      </c>
      <c r="C94" s="28">
        <f>'Water and Burning'!C78</f>
        <v>3.8136999999999999</v>
      </c>
      <c r="D94" s="28">
        <f>'Water and Burning'!D78</f>
        <v>3.0070999999999999</v>
      </c>
      <c r="E94" s="28">
        <f>'Water and Burning'!E78</f>
        <v>21.150064242074627</v>
      </c>
      <c r="F94" s="28">
        <f>'Water and Burning'!F78</f>
        <v>2.8108</v>
      </c>
      <c r="G94" s="28">
        <f>'Water and Burning'!G78</f>
        <v>6.5278840078480904</v>
      </c>
      <c r="H94" s="429">
        <f>'Water and Burning'!H78</f>
        <v>4.0277000000000003</v>
      </c>
      <c r="I94" s="28">
        <f>'Water and Burning'!I78</f>
        <v>3.1459000000000001</v>
      </c>
      <c r="J94" s="28">
        <f>'Water and Burning'!J78</f>
        <v>21.893388286118633</v>
      </c>
      <c r="K94" s="28">
        <f>'Water and Burning'!K78</f>
        <v>2.9276</v>
      </c>
      <c r="L94" s="430">
        <f>'Water and Burning'!L78</f>
        <v>6.9391906926475775</v>
      </c>
      <c r="V94" s="66"/>
      <c r="W94" s="71"/>
      <c r="X94" s="68"/>
      <c r="Y94" s="68"/>
      <c r="Z94" s="69"/>
      <c r="AA94" s="68"/>
      <c r="AB94" s="69"/>
      <c r="AD94" s="66"/>
      <c r="AE94" s="71"/>
      <c r="AF94" s="68"/>
      <c r="AG94" s="68"/>
      <c r="AH94" s="69"/>
      <c r="AI94" s="68"/>
      <c r="AJ94" s="69"/>
    </row>
    <row r="95" spans="1:36" x14ac:dyDescent="0.25">
      <c r="A95" s="496"/>
      <c r="B95" s="282" t="s">
        <v>139</v>
      </c>
      <c r="C95" s="28">
        <f>'Water and Burning'!C79</f>
        <v>3.8866000000000001</v>
      </c>
      <c r="D95" s="28">
        <f>'Water and Burning'!D79</f>
        <v>3.0649000000000002</v>
      </c>
      <c r="E95" s="28">
        <f>'Water and Burning'!E79</f>
        <v>21.141872073277412</v>
      </c>
      <c r="F95" s="28">
        <f>'Water and Burning'!F79</f>
        <v>2.8643000000000001</v>
      </c>
      <c r="G95" s="28">
        <f>'Water and Burning'!G79</f>
        <v>6.5450748800939706</v>
      </c>
      <c r="H95" s="429">
        <f>'Water and Burning'!H79</f>
        <v>3.9723999999999999</v>
      </c>
      <c r="I95" s="28">
        <f>'Water and Burning'!I79</f>
        <v>3.1116000000000001</v>
      </c>
      <c r="J95" s="28">
        <f>'Water and Burning'!J79</f>
        <v>21.669519685832235</v>
      </c>
      <c r="K95" s="28">
        <f>'Water and Burning'!K79</f>
        <v>2.8963000000000001</v>
      </c>
      <c r="L95" s="430">
        <f>'Water and Burning'!L79</f>
        <v>6.9192698290268684</v>
      </c>
      <c r="V95" s="66"/>
      <c r="W95" s="71"/>
      <c r="X95" s="68"/>
      <c r="Y95" s="68"/>
      <c r="Z95" s="69"/>
      <c r="AA95" s="68"/>
      <c r="AB95" s="69"/>
      <c r="AD95" s="66"/>
      <c r="AE95" s="71"/>
      <c r="AF95" s="68"/>
      <c r="AG95" s="68"/>
      <c r="AH95" s="69"/>
      <c r="AI95" s="68"/>
      <c r="AJ95" s="69"/>
    </row>
    <row r="96" spans="1:36" x14ac:dyDescent="0.25">
      <c r="A96" s="496"/>
      <c r="B96" s="282" t="s">
        <v>140</v>
      </c>
      <c r="C96" s="28">
        <f>'Water and Burning'!C80</f>
        <v>4.0011999999999999</v>
      </c>
      <c r="D96" s="28">
        <f>'Water and Burning'!D80</f>
        <v>3.1494</v>
      </c>
      <c r="E96" s="28">
        <f>'Water and Burning'!E80</f>
        <v>21.288613415975206</v>
      </c>
      <c r="F96" s="28">
        <f>'Water and Burning'!F80</f>
        <v>2.9422999999999999</v>
      </c>
      <c r="G96" s="28">
        <f>'Water and Burning'!G80</f>
        <v>6.5758557185495672</v>
      </c>
      <c r="H96" s="429">
        <f>'Water and Burning'!H80</f>
        <v>3.9409000000000001</v>
      </c>
      <c r="I96" s="28">
        <f>'Water and Burning'!I80</f>
        <v>3.0878000000000001</v>
      </c>
      <c r="J96" s="28">
        <f>'Water and Burning'!J80</f>
        <v>21.647339440229388</v>
      </c>
      <c r="K96" s="28">
        <f>'Water and Burning'!K80</f>
        <v>2.871</v>
      </c>
      <c r="L96" s="430">
        <f>'Water and Burning'!L80</f>
        <v>7.0211801282466517</v>
      </c>
      <c r="V96" s="66"/>
      <c r="W96" s="71"/>
      <c r="X96" s="68"/>
      <c r="Y96" s="68"/>
      <c r="Z96" s="69"/>
      <c r="AA96" s="68"/>
      <c r="AB96" s="69"/>
      <c r="AD96" s="66"/>
      <c r="AE96" s="71"/>
      <c r="AF96" s="68"/>
      <c r="AG96" s="68"/>
      <c r="AH96" s="69"/>
      <c r="AI96" s="68"/>
      <c r="AJ96" s="69"/>
    </row>
    <row r="97" spans="1:36" ht="15.75" thickBot="1" x14ac:dyDescent="0.3">
      <c r="A97" s="497"/>
      <c r="B97" s="283" t="s">
        <v>141</v>
      </c>
      <c r="C97" s="28">
        <f>'Water and Burning'!C81</f>
        <v>3.9087999999999998</v>
      </c>
      <c r="D97" s="28">
        <f>'Water and Burning'!D81</f>
        <v>3.0851000000000002</v>
      </c>
      <c r="E97" s="28">
        <f>'Water and Burning'!E81</f>
        <v>21.072963569381901</v>
      </c>
      <c r="F97" s="28">
        <f>'Water and Burning'!F81</f>
        <v>2.8820999999999999</v>
      </c>
      <c r="G97" s="28">
        <f>'Water and Burning'!G81</f>
        <v>6.5800136138212784</v>
      </c>
      <c r="H97" s="431">
        <f>'Water and Burning'!H81</f>
        <v>4.0324999999999998</v>
      </c>
      <c r="I97" s="60">
        <f>'Water and Burning'!I81</f>
        <v>3.1623000000000001</v>
      </c>
      <c r="J97" s="60">
        <f>'Water and Burning'!J81</f>
        <v>21.579665220086788</v>
      </c>
      <c r="K97" s="60">
        <f>'Water and Burning'!K81</f>
        <v>2.923</v>
      </c>
      <c r="L97" s="432">
        <f>'Water and Burning'!L81</f>
        <v>7.5672769819435244</v>
      </c>
      <c r="V97" s="66"/>
      <c r="W97" s="71"/>
      <c r="X97" s="68"/>
      <c r="Y97" s="68"/>
      <c r="Z97" s="69"/>
      <c r="AA97" s="68"/>
      <c r="AB97" s="69"/>
      <c r="AD97" s="66"/>
      <c r="AE97" s="71"/>
      <c r="AF97" s="68"/>
      <c r="AG97" s="68"/>
      <c r="AH97" s="69"/>
      <c r="AI97" s="68"/>
      <c r="AJ97" s="69"/>
    </row>
    <row r="98" spans="1:36" ht="15.75" customHeight="1" x14ac:dyDescent="0.25">
      <c r="A98" s="266" t="s">
        <v>161</v>
      </c>
      <c r="B98" s="415"/>
      <c r="C98" s="191">
        <f t="shared" ref="C98:L98" si="20">AVERAGE(C91:C97)</f>
        <v>3.9032714285714287</v>
      </c>
      <c r="D98" s="62">
        <f t="shared" si="20"/>
        <v>3.0824714285714281</v>
      </c>
      <c r="E98" s="62">
        <f t="shared" si="20"/>
        <v>21.027464391271099</v>
      </c>
      <c r="F98" s="62">
        <f t="shared" si="20"/>
        <v>2.880557142857143</v>
      </c>
      <c r="G98" s="163">
        <f t="shared" si="20"/>
        <v>6.5502140783526679</v>
      </c>
      <c r="H98" s="191">
        <f t="shared" si="20"/>
        <v>3.9881285714285712</v>
      </c>
      <c r="I98" s="62">
        <f t="shared" si="20"/>
        <v>3.1246285714285711</v>
      </c>
      <c r="J98" s="62">
        <f t="shared" si="20"/>
        <v>21.650559432764204</v>
      </c>
      <c r="K98" s="62">
        <f t="shared" si="20"/>
        <v>2.9044142857142856</v>
      </c>
      <c r="L98" s="163">
        <f t="shared" si="20"/>
        <v>7.0467488263667502</v>
      </c>
      <c r="W98" s="3"/>
      <c r="X98" s="3"/>
      <c r="Y98" s="3"/>
      <c r="Z98" s="3"/>
      <c r="AA98" s="3"/>
    </row>
    <row r="99" spans="1:36" ht="15.75" customHeight="1" thickBot="1" x14ac:dyDescent="0.3">
      <c r="A99" s="268" t="s">
        <v>162</v>
      </c>
      <c r="B99" s="414"/>
      <c r="C99" s="193">
        <f t="shared" ref="C99:L99" si="21">STDEV(C91:C97)</f>
        <v>6.0242391339369289E-2</v>
      </c>
      <c r="D99" s="59">
        <f t="shared" si="21"/>
        <v>4.560236522687957E-2</v>
      </c>
      <c r="E99" s="59">
        <f t="shared" si="21"/>
        <v>0.28030377259392664</v>
      </c>
      <c r="F99" s="59">
        <f t="shared" si="21"/>
        <v>4.2163564726860878E-2</v>
      </c>
      <c r="G99" s="165">
        <f t="shared" si="21"/>
        <v>2.5729478696698463E-2</v>
      </c>
      <c r="H99" s="193">
        <f t="shared" si="21"/>
        <v>5.3013354112767745E-2</v>
      </c>
      <c r="I99" s="59">
        <f t="shared" si="21"/>
        <v>3.7824891023668261E-2</v>
      </c>
      <c r="J99" s="59">
        <f t="shared" si="21"/>
        <v>0.18025876961848269</v>
      </c>
      <c r="K99" s="59">
        <f t="shared" si="21"/>
        <v>3.2996233551292296E-2</v>
      </c>
      <c r="L99" s="165">
        <f t="shared" si="21"/>
        <v>0.23195397327611855</v>
      </c>
      <c r="W99" s="3"/>
      <c r="X99" s="3"/>
      <c r="Y99" s="3"/>
      <c r="Z99" s="3"/>
      <c r="AA99" s="3"/>
    </row>
    <row r="100" spans="1:36" x14ac:dyDescent="0.25">
      <c r="A100" s="498" t="s">
        <v>20</v>
      </c>
      <c r="B100" s="284" t="s">
        <v>135</v>
      </c>
      <c r="C100" s="29">
        <f>'Water and Burning'!C82</f>
        <v>4.0208000000000004</v>
      </c>
      <c r="D100" s="29">
        <f>'Water and Burning'!D82</f>
        <v>3.1991000000000001</v>
      </c>
      <c r="E100" s="29">
        <f>'Water and Burning'!E82</f>
        <v>20.436231595702353</v>
      </c>
      <c r="F100" s="29">
        <f>'Water and Burning'!F82</f>
        <v>3.1000999999999999</v>
      </c>
      <c r="G100" s="29">
        <f>'Water and Burning'!G82</f>
        <v>3.094620361976812</v>
      </c>
      <c r="H100" s="427">
        <f>'Water and Burning'!H82</f>
        <v>3.9422000000000001</v>
      </c>
      <c r="I100" s="24">
        <f>'Water and Burning'!I82</f>
        <v>3.0855999999999999</v>
      </c>
      <c r="J100" s="24">
        <f>'Water and Burning'!J82</f>
        <v>21.728983816143277</v>
      </c>
      <c r="K100" s="24">
        <f>'Water and Burning'!K82</f>
        <v>2.9792999999999998</v>
      </c>
      <c r="L100" s="428">
        <f>'Water and Burning'!L82</f>
        <v>3.445035001296346</v>
      </c>
      <c r="V100" s="66"/>
      <c r="W100" s="71"/>
      <c r="X100" s="68"/>
      <c r="Y100" s="68"/>
      <c r="Z100" s="69"/>
      <c r="AA100" s="68"/>
      <c r="AB100" s="69"/>
      <c r="AD100" s="66"/>
      <c r="AE100" s="71"/>
      <c r="AF100" s="68"/>
      <c r="AG100" s="68"/>
      <c r="AH100" s="69"/>
      <c r="AI100" s="68"/>
      <c r="AJ100" s="69"/>
    </row>
    <row r="101" spans="1:36" x14ac:dyDescent="0.25">
      <c r="A101" s="498"/>
      <c r="B101" s="285" t="s">
        <v>136</v>
      </c>
      <c r="C101" s="28">
        <f>'Water and Burning'!C83</f>
        <v>3.9373</v>
      </c>
      <c r="D101" s="28">
        <f>'Water and Burning'!D83</f>
        <v>3.1078000000000001</v>
      </c>
      <c r="E101" s="28">
        <f>'Water and Burning'!E83</f>
        <v>21.067736773931372</v>
      </c>
      <c r="F101" s="28">
        <f>'Water and Burning'!F83</f>
        <v>3.012</v>
      </c>
      <c r="G101" s="28">
        <f>'Water and Burning'!G83</f>
        <v>3.082566445717231</v>
      </c>
      <c r="H101" s="429">
        <f>'Water and Burning'!H83</f>
        <v>3.9521999999999999</v>
      </c>
      <c r="I101" s="28">
        <f>'Water and Burning'!I83</f>
        <v>3.0912999999999999</v>
      </c>
      <c r="J101" s="28">
        <f>'Water and Burning'!J83</f>
        <v>21.782804513941603</v>
      </c>
      <c r="K101" s="28">
        <f>'Water and Burning'!K83</f>
        <v>2.9842</v>
      </c>
      <c r="L101" s="430">
        <f>'Water and Burning'!L83</f>
        <v>3.464561834826771</v>
      </c>
      <c r="V101" s="66"/>
      <c r="W101" s="71"/>
      <c r="X101" s="68"/>
      <c r="Y101" s="68"/>
      <c r="Z101" s="69"/>
      <c r="AA101" s="68"/>
      <c r="AB101" s="69"/>
      <c r="AD101" s="66"/>
      <c r="AE101" s="71"/>
      <c r="AF101" s="68"/>
      <c r="AG101" s="68"/>
      <c r="AH101" s="69"/>
      <c r="AI101" s="68"/>
      <c r="AJ101" s="69"/>
    </row>
    <row r="102" spans="1:36" x14ac:dyDescent="0.25">
      <c r="A102" s="498"/>
      <c r="B102" s="285" t="s">
        <v>137</v>
      </c>
      <c r="C102" s="28">
        <f>'Water and Burning'!C84</f>
        <v>4.0327000000000002</v>
      </c>
      <c r="D102" s="28">
        <f>'Water and Burning'!D84</f>
        <v>3.1806999999999999</v>
      </c>
      <c r="E102" s="28">
        <f>'Water and Burning'!E84</f>
        <v>21.127284449624327</v>
      </c>
      <c r="F102" s="28">
        <f>'Water and Burning'!F84</f>
        <v>3.0828000000000002</v>
      </c>
      <c r="G102" s="28">
        <f>'Water and Burning'!G84</f>
        <v>3.0779388184990619</v>
      </c>
      <c r="H102" s="429">
        <f>'Water and Burning'!H84</f>
        <v>4.01</v>
      </c>
      <c r="I102" s="28">
        <f>'Water and Burning'!I84</f>
        <v>3.1385999999999998</v>
      </c>
      <c r="J102" s="28">
        <f>'Water and Burning'!J84</f>
        <v>21.730673316708231</v>
      </c>
      <c r="K102" s="28">
        <f>'Water and Burning'!K84</f>
        <v>3.0301</v>
      </c>
      <c r="L102" s="430">
        <f>'Water and Burning'!L84</f>
        <v>3.4569553304020846</v>
      </c>
      <c r="V102" s="66"/>
      <c r="W102" s="71"/>
      <c r="X102" s="68"/>
      <c r="Y102" s="68"/>
      <c r="Z102" s="69"/>
      <c r="AA102" s="68"/>
      <c r="AB102" s="69"/>
      <c r="AD102" s="66"/>
      <c r="AE102" s="71"/>
      <c r="AF102" s="68"/>
      <c r="AG102" s="68"/>
      <c r="AH102" s="69"/>
      <c r="AI102" s="68"/>
      <c r="AJ102" s="69"/>
    </row>
    <row r="103" spans="1:36" x14ac:dyDescent="0.25">
      <c r="A103" s="498"/>
      <c r="B103" s="285" t="s">
        <v>138</v>
      </c>
      <c r="C103" s="28">
        <f>'Water and Burning'!C85</f>
        <v>3.9979</v>
      </c>
      <c r="D103" s="28">
        <f>'Water and Burning'!D85</f>
        <v>3.157</v>
      </c>
      <c r="E103" s="28">
        <f>'Water and Burning'!E85</f>
        <v>21.033542609870182</v>
      </c>
      <c r="F103" s="28">
        <f>'Water and Burning'!F85</f>
        <v>3.0596999999999999</v>
      </c>
      <c r="G103" s="28">
        <f>'Water and Burning'!G85</f>
        <v>3.0820399113082089</v>
      </c>
      <c r="H103" s="429">
        <f>'Water and Burning'!H85</f>
        <v>3.9134000000000002</v>
      </c>
      <c r="I103" s="28">
        <f>'Water and Burning'!I85</f>
        <v>3.0560999999999998</v>
      </c>
      <c r="J103" s="28">
        <f>'Water and Burning'!J85</f>
        <v>21.906781826544702</v>
      </c>
      <c r="K103" s="28">
        <f>'Water and Burning'!K85</f>
        <v>2.9512</v>
      </c>
      <c r="L103" s="430">
        <f>'Water and Burning'!L85</f>
        <v>3.4324793036876993</v>
      </c>
      <c r="V103" s="66"/>
      <c r="W103" s="71"/>
      <c r="X103" s="68"/>
      <c r="Y103" s="68"/>
      <c r="Z103" s="69"/>
      <c r="AA103" s="68"/>
      <c r="AB103" s="69"/>
      <c r="AD103" s="66"/>
      <c r="AE103" s="71"/>
      <c r="AF103" s="68"/>
      <c r="AG103" s="68"/>
      <c r="AH103" s="69"/>
      <c r="AI103" s="68"/>
      <c r="AJ103" s="69"/>
    </row>
    <row r="104" spans="1:36" x14ac:dyDescent="0.25">
      <c r="A104" s="498"/>
      <c r="B104" s="285" t="s">
        <v>139</v>
      </c>
      <c r="C104" s="28">
        <f>'Water and Burning'!C86</f>
        <v>4.0149999999999997</v>
      </c>
      <c r="D104" s="28">
        <f>'Water and Burning'!D86</f>
        <v>3.1707000000000001</v>
      </c>
      <c r="E104" s="28">
        <f>'Water and Burning'!E86</f>
        <v>21.028642590286417</v>
      </c>
      <c r="F104" s="28">
        <f>'Water and Burning'!F86</f>
        <v>3.0718999999999999</v>
      </c>
      <c r="G104" s="28">
        <f>'Water and Burning'!G86</f>
        <v>3.1160311603116102</v>
      </c>
      <c r="H104" s="429">
        <f>'Water and Burning'!H86</f>
        <v>4.0831</v>
      </c>
      <c r="I104" s="28">
        <f>'Water and Burning'!I86</f>
        <v>3.1936</v>
      </c>
      <c r="J104" s="28">
        <f>'Water and Burning'!J86</f>
        <v>21.784918321863287</v>
      </c>
      <c r="K104" s="28">
        <f>'Water and Burning'!K86</f>
        <v>3.0844</v>
      </c>
      <c r="L104" s="430">
        <f>'Water and Burning'!L86</f>
        <v>3.4193386773547081</v>
      </c>
      <c r="V104" s="66"/>
      <c r="W104" s="71"/>
      <c r="X104" s="68"/>
      <c r="Y104" s="68"/>
      <c r="Z104" s="69"/>
      <c r="AA104" s="68"/>
      <c r="AB104" s="69"/>
      <c r="AD104" s="66"/>
      <c r="AE104" s="71"/>
      <c r="AF104" s="68"/>
      <c r="AG104" s="68"/>
      <c r="AH104" s="69"/>
      <c r="AI104" s="68"/>
      <c r="AJ104" s="69"/>
    </row>
    <row r="105" spans="1:36" x14ac:dyDescent="0.25">
      <c r="A105" s="498"/>
      <c r="B105" s="285" t="s">
        <v>140</v>
      </c>
      <c r="C105" s="28">
        <f>'Water and Burning'!C87</f>
        <v>4</v>
      </c>
      <c r="D105" s="28">
        <f>'Water and Burning'!D87</f>
        <v>3.1600999999999999</v>
      </c>
      <c r="E105" s="28">
        <f>'Water and Burning'!E87</f>
        <v>20.997500000000002</v>
      </c>
      <c r="F105" s="28">
        <f>'Water and Burning'!F87</f>
        <v>3.0621</v>
      </c>
      <c r="G105" s="28">
        <f>'Water and Burning'!G87</f>
        <v>3.1011676845669398</v>
      </c>
      <c r="H105" s="429">
        <f>'Water and Burning'!H87</f>
        <v>3.9741</v>
      </c>
      <c r="I105" s="28">
        <f>'Water and Burning'!I87</f>
        <v>3.1118999999999999</v>
      </c>
      <c r="J105" s="28">
        <f>'Water and Burning'!J87</f>
        <v>21.695478221484112</v>
      </c>
      <c r="K105" s="28">
        <f>'Water and Burning'!K87</f>
        <v>3.0057999999999998</v>
      </c>
      <c r="L105" s="430">
        <f>'Water and Burning'!L87</f>
        <v>3.4094925929496478</v>
      </c>
      <c r="V105" s="66"/>
      <c r="W105" s="71"/>
      <c r="X105" s="68"/>
      <c r="Y105" s="68"/>
      <c r="Z105" s="69"/>
      <c r="AA105" s="68"/>
      <c r="AB105" s="69"/>
      <c r="AD105" s="66"/>
      <c r="AE105" s="71"/>
      <c r="AF105" s="68"/>
      <c r="AG105" s="68"/>
      <c r="AH105" s="69"/>
      <c r="AI105" s="68"/>
      <c r="AJ105" s="69"/>
    </row>
    <row r="106" spans="1:36" ht="15.75" thickBot="1" x14ac:dyDescent="0.3">
      <c r="A106" s="499"/>
      <c r="B106" s="286" t="s">
        <v>141</v>
      </c>
      <c r="C106" s="28">
        <f>'Water and Burning'!C88</f>
        <v>3.9981</v>
      </c>
      <c r="D106" s="28">
        <f>'Water and Burning'!D88</f>
        <v>3.1690999999999998</v>
      </c>
      <c r="E106" s="28">
        <f>'Water and Burning'!E88</f>
        <v>20.734849053300323</v>
      </c>
      <c r="F106" s="28">
        <f>'Water and Burning'!F88</f>
        <v>3.0708000000000002</v>
      </c>
      <c r="G106" s="28">
        <f>'Water and Burning'!G88</f>
        <v>3.1018270171341902</v>
      </c>
      <c r="H106" s="431">
        <f>'Water and Burning'!H88</f>
        <v>3.9643000000000002</v>
      </c>
      <c r="I106" s="60">
        <f>'Water and Burning'!I88</f>
        <v>3.1076000000000001</v>
      </c>
      <c r="J106" s="60">
        <f>'Water and Burning'!J88</f>
        <v>21.610372575233963</v>
      </c>
      <c r="K106" s="60">
        <f>'Water and Burning'!K88</f>
        <v>3.0004</v>
      </c>
      <c r="L106" s="432">
        <f>'Water and Burning'!L88</f>
        <v>3.4496074140816124</v>
      </c>
      <c r="V106" s="66"/>
      <c r="W106" s="71"/>
      <c r="X106" s="68"/>
      <c r="Y106" s="68"/>
      <c r="Z106" s="69"/>
      <c r="AA106" s="68"/>
      <c r="AB106" s="69"/>
      <c r="AD106" s="66"/>
      <c r="AE106" s="71"/>
      <c r="AF106" s="68"/>
      <c r="AG106" s="68"/>
      <c r="AH106" s="69"/>
      <c r="AI106" s="68"/>
      <c r="AJ106" s="69"/>
    </row>
    <row r="107" spans="1:36" ht="15.75" customHeight="1" x14ac:dyDescent="0.25">
      <c r="A107" s="270" t="s">
        <v>161</v>
      </c>
      <c r="B107" s="415"/>
      <c r="C107" s="191">
        <f t="shared" ref="C107:L107" si="22">AVERAGE(C100:C106)</f>
        <v>4.0002571428571425</v>
      </c>
      <c r="D107" s="62">
        <f t="shared" si="22"/>
        <v>3.1635</v>
      </c>
      <c r="E107" s="62">
        <f t="shared" si="22"/>
        <v>20.917969581816426</v>
      </c>
      <c r="F107" s="62">
        <f t="shared" si="22"/>
        <v>3.0656285714285718</v>
      </c>
      <c r="G107" s="163">
        <f t="shared" si="22"/>
        <v>3.0937416285020083</v>
      </c>
      <c r="H107" s="191">
        <f t="shared" si="22"/>
        <v>3.9770428571428575</v>
      </c>
      <c r="I107" s="62">
        <f t="shared" si="22"/>
        <v>3.1121000000000003</v>
      </c>
      <c r="J107" s="62">
        <f t="shared" si="22"/>
        <v>21.748573227417022</v>
      </c>
      <c r="K107" s="62">
        <f t="shared" si="22"/>
        <v>3.0050571428571429</v>
      </c>
      <c r="L107" s="163">
        <f t="shared" si="22"/>
        <v>3.439638593514124</v>
      </c>
      <c r="W107" s="3"/>
      <c r="X107" s="3"/>
      <c r="Y107" s="3"/>
      <c r="Z107" s="3"/>
      <c r="AA107" s="3"/>
    </row>
    <row r="108" spans="1:36" ht="15.75" customHeight="1" thickBot="1" x14ac:dyDescent="0.3">
      <c r="A108" s="273" t="s">
        <v>162</v>
      </c>
      <c r="B108" s="414"/>
      <c r="C108" s="193">
        <f t="shared" ref="C108:L108" si="23">STDEV(C100:C106)</f>
        <v>3.0729402702886908E-2</v>
      </c>
      <c r="D108" s="59">
        <f t="shared" si="23"/>
        <v>2.8292225080399698E-2</v>
      </c>
      <c r="E108" s="59">
        <f t="shared" si="23"/>
        <v>0.24623101212156495</v>
      </c>
      <c r="F108" s="59">
        <f t="shared" si="23"/>
        <v>2.7303340106155153E-2</v>
      </c>
      <c r="G108" s="165">
        <f t="shared" si="23"/>
        <v>1.3721387917954846E-2</v>
      </c>
      <c r="H108" s="193">
        <f t="shared" si="23"/>
        <v>5.5357831639340008E-2</v>
      </c>
      <c r="I108" s="59">
        <f t="shared" si="23"/>
        <v>4.4037256953629651E-2</v>
      </c>
      <c r="J108" s="59">
        <f t="shared" si="23"/>
        <v>9.1419691042331219E-2</v>
      </c>
      <c r="K108" s="59">
        <f t="shared" si="23"/>
        <v>4.2707761087920057E-2</v>
      </c>
      <c r="L108" s="165">
        <f t="shared" si="23"/>
        <v>2.0090044430702326E-2</v>
      </c>
      <c r="W108" s="3"/>
      <c r="X108" s="3"/>
      <c r="Y108" s="3"/>
      <c r="Z108" s="3"/>
      <c r="AA108" s="3"/>
    </row>
    <row r="109" spans="1:36" ht="16.5" thickBot="1" x14ac:dyDescent="0.3">
      <c r="A109" s="15" t="s">
        <v>2</v>
      </c>
      <c r="B109" s="492" t="s">
        <v>153</v>
      </c>
      <c r="C109" s="493"/>
      <c r="D109" s="493"/>
      <c r="E109" s="493"/>
      <c r="F109" s="493"/>
      <c r="G109" s="494"/>
      <c r="H109" s="492" t="s">
        <v>154</v>
      </c>
      <c r="I109" s="493"/>
      <c r="J109" s="493"/>
      <c r="K109" s="493"/>
      <c r="L109" s="494"/>
      <c r="V109" s="66"/>
      <c r="W109" s="71"/>
      <c r="X109" s="68"/>
      <c r="Y109" s="68"/>
      <c r="Z109" s="69"/>
      <c r="AA109" s="68"/>
      <c r="AB109" s="69"/>
      <c r="AD109" s="66"/>
      <c r="AE109" s="71"/>
      <c r="AF109" s="68"/>
      <c r="AG109" s="68"/>
      <c r="AH109" s="69"/>
      <c r="AI109" s="68"/>
      <c r="AJ109" s="69"/>
    </row>
    <row r="110" spans="1:36" ht="15.75" thickBot="1" x14ac:dyDescent="0.3">
      <c r="A110" s="16"/>
      <c r="B110" s="18" t="s">
        <v>6</v>
      </c>
      <c r="C110" s="17" t="s">
        <v>7</v>
      </c>
      <c r="D110" s="17" t="s">
        <v>8</v>
      </c>
      <c r="E110" s="136" t="s">
        <v>9</v>
      </c>
      <c r="F110" s="20" t="s">
        <v>10</v>
      </c>
      <c r="G110" s="21" t="s">
        <v>11</v>
      </c>
      <c r="H110" s="17" t="s">
        <v>7</v>
      </c>
      <c r="I110" s="17" t="s">
        <v>8</v>
      </c>
      <c r="J110" s="19" t="s">
        <v>9</v>
      </c>
      <c r="K110" s="20" t="s">
        <v>10</v>
      </c>
      <c r="L110" s="21" t="s">
        <v>11</v>
      </c>
      <c r="V110" s="66"/>
      <c r="W110" s="71"/>
      <c r="X110" s="68"/>
      <c r="Y110" s="68"/>
      <c r="Z110" s="69"/>
      <c r="AA110" s="68"/>
      <c r="AB110" s="69"/>
      <c r="AD110" s="66"/>
      <c r="AE110" s="71"/>
      <c r="AF110" s="68"/>
      <c r="AG110" s="68"/>
      <c r="AH110" s="69"/>
      <c r="AI110" s="68"/>
      <c r="AJ110" s="69"/>
    </row>
    <row r="111" spans="1:36" x14ac:dyDescent="0.25">
      <c r="A111" s="495" t="s">
        <v>134</v>
      </c>
      <c r="B111" s="281" t="s">
        <v>135</v>
      </c>
      <c r="C111" s="29">
        <f>'Water and Burning'!C91</f>
        <v>3.831</v>
      </c>
      <c r="D111" s="29">
        <f>'Water and Burning'!D91</f>
        <v>3.0884999999999998</v>
      </c>
      <c r="E111" s="29">
        <f>'Water and Burning'!E91</f>
        <v>19.381362568519972</v>
      </c>
      <c r="F111" s="29">
        <f>'Water and Burning'!F91</f>
        <v>2.8786999999999998</v>
      </c>
      <c r="G111" s="29">
        <f>'Water and Burning'!G91</f>
        <v>6.7929415573903196</v>
      </c>
      <c r="H111" s="427">
        <f>'Water and Burning'!H91</f>
        <v>3.9639000000000002</v>
      </c>
      <c r="I111" s="24">
        <f>'Water and Burning'!I91</f>
        <v>3.1705000000000001</v>
      </c>
      <c r="J111" s="24">
        <f>'Water and Burning'!J91</f>
        <v>20.015641161482382</v>
      </c>
      <c r="K111" s="24">
        <f>'Water and Burning'!K91</f>
        <v>2.9416000000000002</v>
      </c>
      <c r="L111" s="428">
        <f>'Water and Burning'!L91</f>
        <v>7.219681438258946</v>
      </c>
      <c r="V111" s="66"/>
      <c r="W111" s="71"/>
      <c r="X111" s="68"/>
      <c r="Y111" s="68"/>
      <c r="Z111" s="69"/>
      <c r="AA111" s="68"/>
      <c r="AB111" s="69"/>
      <c r="AD111" s="66"/>
      <c r="AE111" s="71"/>
      <c r="AF111" s="68"/>
      <c r="AG111" s="68"/>
      <c r="AH111" s="69"/>
      <c r="AI111" s="68"/>
      <c r="AJ111" s="69"/>
    </row>
    <row r="112" spans="1:36" x14ac:dyDescent="0.25">
      <c r="A112" s="496"/>
      <c r="B112" s="282" t="s">
        <v>136</v>
      </c>
      <c r="C112" s="28">
        <f>'Water and Burning'!C92</f>
        <v>3.8765000000000001</v>
      </c>
      <c r="D112" s="28">
        <f>'Water and Burning'!D92</f>
        <v>3.1063999999999998</v>
      </c>
      <c r="E112" s="28">
        <f>'Water and Burning'!E92</f>
        <v>19.865858377402301</v>
      </c>
      <c r="F112" s="28">
        <f>'Water and Burning'!F92</f>
        <v>2.8959999999999999</v>
      </c>
      <c r="G112" s="28">
        <f>'Water and Burning'!G92</f>
        <v>6.7731135719804252</v>
      </c>
      <c r="H112" s="429">
        <f>'Water and Burning'!H92</f>
        <v>3.9077999999999999</v>
      </c>
      <c r="I112" s="28">
        <f>'Water and Burning'!I92</f>
        <v>3.0956999999999999</v>
      </c>
      <c r="J112" s="28">
        <f>'Water and Burning'!J92</f>
        <v>20.781513895286352</v>
      </c>
      <c r="K112" s="28">
        <f>'Water and Burning'!K92</f>
        <v>2.8702999999999999</v>
      </c>
      <c r="L112" s="430">
        <f>'Water and Burning'!L92</f>
        <v>7.2810672868818056</v>
      </c>
      <c r="V112" s="66"/>
      <c r="W112" s="71"/>
      <c r="X112" s="68"/>
      <c r="Y112" s="68"/>
      <c r="Z112" s="69"/>
      <c r="AA112" s="68"/>
      <c r="AB112" s="69"/>
      <c r="AD112" s="66"/>
      <c r="AE112" s="71"/>
      <c r="AF112" s="68"/>
      <c r="AG112" s="68"/>
      <c r="AH112" s="69"/>
      <c r="AI112" s="68"/>
      <c r="AJ112" s="69"/>
    </row>
    <row r="113" spans="1:36" x14ac:dyDescent="0.25">
      <c r="A113" s="496"/>
      <c r="B113" s="282" t="s">
        <v>137</v>
      </c>
      <c r="C113" s="28">
        <f>'Water and Burning'!C93</f>
        <v>3.9096000000000002</v>
      </c>
      <c r="D113" s="28">
        <f>'Water and Burning'!D93</f>
        <v>3.1269999999999998</v>
      </c>
      <c r="E113" s="28">
        <f>'Water and Burning'!E93</f>
        <v>20.017393083691434</v>
      </c>
      <c r="F113" s="28">
        <f>'Water and Burning'!F93</f>
        <v>2.9144999999999999</v>
      </c>
      <c r="G113" s="28">
        <f>'Water and Burning'!G93</f>
        <v>6.7956507834985578</v>
      </c>
      <c r="H113" s="429">
        <f>'Water and Burning'!H93</f>
        <v>4.0514999999999999</v>
      </c>
      <c r="I113" s="28">
        <f>'Water and Burning'!I93</f>
        <v>3.2176999999999998</v>
      </c>
      <c r="J113" s="28">
        <f>'Water and Burning'!J93</f>
        <v>20.580032086881406</v>
      </c>
      <c r="K113" s="28">
        <f>'Water and Burning'!K93</f>
        <v>2.9841000000000002</v>
      </c>
      <c r="L113" s="430">
        <f>'Water and Burning'!L93</f>
        <v>7.259843987941685</v>
      </c>
      <c r="V113" s="66"/>
      <c r="W113" s="71"/>
      <c r="X113" s="68"/>
      <c r="Y113" s="68"/>
      <c r="Z113" s="69"/>
      <c r="AA113" s="68"/>
      <c r="AB113" s="69"/>
      <c r="AD113" s="66"/>
      <c r="AE113" s="71"/>
      <c r="AF113" s="68"/>
      <c r="AG113" s="68"/>
      <c r="AH113" s="69"/>
      <c r="AI113" s="68"/>
      <c r="AJ113" s="69"/>
    </row>
    <row r="114" spans="1:36" x14ac:dyDescent="0.25">
      <c r="A114" s="496"/>
      <c r="B114" s="282" t="s">
        <v>138</v>
      </c>
      <c r="C114" s="28">
        <f>'Water and Burning'!C94</f>
        <v>4.0327000000000002</v>
      </c>
      <c r="D114" s="28">
        <f>'Water and Burning'!D94</f>
        <v>3.2263000000000002</v>
      </c>
      <c r="E114" s="28">
        <f>'Water and Burning'!E94</f>
        <v>19.996528380489497</v>
      </c>
      <c r="F114" s="28">
        <f>'Water and Burning'!F94</f>
        <v>3.0081000000000002</v>
      </c>
      <c r="G114" s="28">
        <f>'Water and Burning'!G94</f>
        <v>6.7631652357189331</v>
      </c>
      <c r="H114" s="429">
        <f>'Water and Burning'!H94</f>
        <v>4.0174000000000003</v>
      </c>
      <c r="I114" s="28">
        <f>'Water and Burning'!I94</f>
        <v>3.2</v>
      </c>
      <c r="J114" s="28">
        <f>'Water and Burning'!J94</f>
        <v>20.346492756509189</v>
      </c>
      <c r="K114" s="28">
        <f>'Water and Burning'!K94</f>
        <v>2.9681999999999999</v>
      </c>
      <c r="L114" s="430">
        <f>'Water and Burning'!L94</f>
        <v>7.2437500000000075</v>
      </c>
      <c r="V114" s="66"/>
      <c r="W114" s="71"/>
      <c r="X114" s="68"/>
      <c r="Y114" s="68"/>
      <c r="Z114" s="69"/>
      <c r="AA114" s="68"/>
      <c r="AB114" s="69"/>
      <c r="AD114" s="66"/>
      <c r="AE114" s="71"/>
      <c r="AF114" s="68"/>
      <c r="AG114" s="68"/>
      <c r="AH114" s="69"/>
      <c r="AI114" s="68"/>
      <c r="AJ114" s="69"/>
    </row>
    <row r="115" spans="1:36" x14ac:dyDescent="0.25">
      <c r="A115" s="496"/>
      <c r="B115" s="282" t="s">
        <v>139</v>
      </c>
      <c r="C115" s="28">
        <f>'Water and Burning'!C95</f>
        <v>3.9529000000000001</v>
      </c>
      <c r="D115" s="28">
        <f>'Water and Burning'!D95</f>
        <v>3.1785999999999999</v>
      </c>
      <c r="E115" s="28">
        <f>'Water and Burning'!E95</f>
        <v>19.588150471805516</v>
      </c>
      <c r="F115" s="28">
        <f>'Water and Burning'!F95</f>
        <v>2.9630999999999998</v>
      </c>
      <c r="G115" s="28">
        <f>'Water and Burning'!G95</f>
        <v>6.7797143396463868</v>
      </c>
      <c r="H115" s="429">
        <f>'Water and Burning'!H95</f>
        <v>3.9645999999999999</v>
      </c>
      <c r="I115" s="28">
        <f>'Water and Burning'!I95</f>
        <v>3.1610999999999998</v>
      </c>
      <c r="J115" s="28">
        <f>'Water and Burning'!J95</f>
        <v>20.266861726277561</v>
      </c>
      <c r="K115" s="28">
        <f>'Water and Burning'!K95</f>
        <v>2.9293999999999998</v>
      </c>
      <c r="L115" s="430">
        <f>'Water and Burning'!L95</f>
        <v>7.3297269937679932</v>
      </c>
      <c r="V115" s="66"/>
      <c r="W115" s="71"/>
      <c r="X115" s="68"/>
      <c r="Y115" s="68"/>
      <c r="Z115" s="69"/>
      <c r="AA115" s="68"/>
      <c r="AB115" s="69"/>
      <c r="AD115" s="66"/>
      <c r="AE115" s="71"/>
      <c r="AF115" s="68"/>
      <c r="AG115" s="68"/>
      <c r="AH115" s="69"/>
      <c r="AI115" s="68"/>
      <c r="AJ115" s="69"/>
    </row>
    <row r="116" spans="1:36" x14ac:dyDescent="0.25">
      <c r="A116" s="496"/>
      <c r="B116" s="282" t="s">
        <v>140</v>
      </c>
      <c r="C116" s="28">
        <f>'Water and Burning'!C96</f>
        <v>4.0281000000000002</v>
      </c>
      <c r="D116" s="28">
        <f>'Water and Burning'!D96</f>
        <v>3.2551000000000001</v>
      </c>
      <c r="E116" s="28">
        <f>'Water and Burning'!E96</f>
        <v>19.19018892281721</v>
      </c>
      <c r="F116" s="28">
        <f>'Water and Burning'!F96</f>
        <v>3.0236999999999998</v>
      </c>
      <c r="G116" s="28">
        <f>'Water and Burning'!G96</f>
        <v>7.1088445823477091</v>
      </c>
      <c r="H116" s="429">
        <f>'Water and Burning'!H96</f>
        <v>4.0250000000000004</v>
      </c>
      <c r="I116" s="28">
        <f>'Water and Burning'!I96</f>
        <v>3.2067000000000001</v>
      </c>
      <c r="J116" s="28">
        <f>'Water and Burning'!J96</f>
        <v>20.330434782608702</v>
      </c>
      <c r="K116" s="28">
        <f>'Water and Burning'!K96</f>
        <v>2.9733999999999998</v>
      </c>
      <c r="L116" s="430">
        <f>'Water and Burning'!L96</f>
        <v>7.2753921476907806</v>
      </c>
      <c r="V116" s="66"/>
      <c r="W116" s="71"/>
      <c r="X116" s="68"/>
      <c r="Y116" s="68"/>
      <c r="Z116" s="69"/>
      <c r="AA116" s="68"/>
      <c r="AB116" s="69"/>
      <c r="AD116" s="66"/>
      <c r="AE116" s="71"/>
      <c r="AF116" s="68"/>
      <c r="AG116" s="68"/>
      <c r="AH116" s="69"/>
      <c r="AI116" s="68"/>
      <c r="AJ116" s="69"/>
    </row>
    <row r="117" spans="1:36" ht="15.75" thickBot="1" x14ac:dyDescent="0.3">
      <c r="A117" s="497"/>
      <c r="B117" s="283" t="s">
        <v>141</v>
      </c>
      <c r="C117" s="28">
        <f>'Water and Burning'!C97</f>
        <v>3.9325999999999999</v>
      </c>
      <c r="D117" s="28">
        <f>'Water and Burning'!D97</f>
        <v>3.1758999999999999</v>
      </c>
      <c r="E117" s="28">
        <f>'Water and Burning'!E97</f>
        <v>19.241723033107867</v>
      </c>
      <c r="F117" s="28">
        <f>'Water and Burning'!F97</f>
        <v>2.9590000000000001</v>
      </c>
      <c r="G117" s="28">
        <f>'Water and Burning'!G97</f>
        <v>6.8295601246890598</v>
      </c>
      <c r="H117" s="431">
        <f>'Water and Burning'!H97</f>
        <v>4.0195999999999996</v>
      </c>
      <c r="I117" s="60">
        <f>'Water and Burning'!I97</f>
        <v>3.2023000000000001</v>
      </c>
      <c r="J117" s="60">
        <f>'Water and Burning'!J97</f>
        <v>20.332868942183289</v>
      </c>
      <c r="K117" s="60">
        <f>'Water and Burning'!K97</f>
        <v>2.9670999999999998</v>
      </c>
      <c r="L117" s="432">
        <f>'Water and Burning'!L97</f>
        <v>7.3447209817943451</v>
      </c>
      <c r="V117" s="66"/>
      <c r="W117" s="71"/>
      <c r="X117" s="68"/>
      <c r="Y117" s="68"/>
      <c r="Z117" s="69"/>
      <c r="AA117" s="68"/>
      <c r="AB117" s="69"/>
      <c r="AD117" s="66"/>
      <c r="AE117" s="71"/>
      <c r="AF117" s="68"/>
      <c r="AG117" s="68"/>
      <c r="AH117" s="69"/>
      <c r="AI117" s="68"/>
      <c r="AJ117" s="69"/>
    </row>
    <row r="118" spans="1:36" ht="15.75" customHeight="1" x14ac:dyDescent="0.25">
      <c r="A118" s="266" t="s">
        <v>161</v>
      </c>
      <c r="B118" s="415"/>
      <c r="C118" s="191">
        <f t="shared" ref="C118:L118" si="24">AVERAGE(C111:C117)</f>
        <v>3.9376285714285717</v>
      </c>
      <c r="D118" s="62">
        <f t="shared" si="24"/>
        <v>3.1653999999999995</v>
      </c>
      <c r="E118" s="62">
        <f t="shared" si="24"/>
        <v>19.611600691119115</v>
      </c>
      <c r="F118" s="62">
        <f t="shared" si="24"/>
        <v>2.9490142857142856</v>
      </c>
      <c r="G118" s="163">
        <f t="shared" si="24"/>
        <v>6.8347128850387699</v>
      </c>
      <c r="H118" s="191">
        <f t="shared" si="24"/>
        <v>3.9928285714285714</v>
      </c>
      <c r="I118" s="62">
        <f t="shared" si="24"/>
        <v>3.1791428571428568</v>
      </c>
      <c r="J118" s="62">
        <f t="shared" si="24"/>
        <v>20.37912076446127</v>
      </c>
      <c r="K118" s="62">
        <f t="shared" si="24"/>
        <v>2.9477285714285708</v>
      </c>
      <c r="L118" s="163">
        <f t="shared" si="24"/>
        <v>7.2791689766193661</v>
      </c>
      <c r="W118" s="3"/>
      <c r="X118" s="3"/>
      <c r="Y118" s="3"/>
      <c r="Z118" s="3"/>
      <c r="AA118" s="3"/>
    </row>
    <row r="119" spans="1:36" ht="15.75" customHeight="1" thickBot="1" x14ac:dyDescent="0.3">
      <c r="A119" s="268" t="s">
        <v>162</v>
      </c>
      <c r="B119" s="414"/>
      <c r="C119" s="193">
        <f t="shared" ref="C119:L119" si="25">STDEV(C111:C117)</f>
        <v>7.4581179803971942E-2</v>
      </c>
      <c r="D119" s="59">
        <f t="shared" si="25"/>
        <v>6.1790722065155949E-2</v>
      </c>
      <c r="E119" s="59">
        <f t="shared" si="25"/>
        <v>0.35247709835551155</v>
      </c>
      <c r="F119" s="59">
        <f t="shared" si="25"/>
        <v>5.524649094652772E-2</v>
      </c>
      <c r="G119" s="165">
        <f t="shared" si="25"/>
        <v>0.1227353599461634</v>
      </c>
      <c r="H119" s="193">
        <f t="shared" si="25"/>
        <v>4.9432402136173614E-2</v>
      </c>
      <c r="I119" s="59">
        <f t="shared" si="25"/>
        <v>4.1992612729020898E-2</v>
      </c>
      <c r="J119" s="59">
        <f t="shared" si="25"/>
        <v>0.24241123717192678</v>
      </c>
      <c r="K119" s="59">
        <f t="shared" si="25"/>
        <v>3.9040394221272728E-2</v>
      </c>
      <c r="L119" s="165">
        <f t="shared" si="25"/>
        <v>4.4791689726643213E-2</v>
      </c>
      <c r="W119" s="3"/>
      <c r="X119" s="3"/>
      <c r="Y119" s="3"/>
      <c r="Z119" s="3"/>
      <c r="AA119" s="3"/>
    </row>
    <row r="120" spans="1:36" x14ac:dyDescent="0.25">
      <c r="A120" s="498" t="s">
        <v>20</v>
      </c>
      <c r="B120" s="284" t="s">
        <v>135</v>
      </c>
      <c r="C120" s="29">
        <f>'Water and Burning'!C98</f>
        <v>3.9392999999999998</v>
      </c>
      <c r="D120" s="29">
        <f>'Water and Burning'!D98</f>
        <v>3.1349999999999998</v>
      </c>
      <c r="E120" s="29">
        <f>'Water and Burning'!E98</f>
        <v>20.417333028710686</v>
      </c>
      <c r="F120" s="29">
        <f>'Water and Burning'!F98</f>
        <v>3.0331999999999999</v>
      </c>
      <c r="G120" s="29">
        <f>'Water and Burning'!G98</f>
        <v>3.247208931419455</v>
      </c>
      <c r="H120" s="427">
        <f>'Water and Burning'!H98</f>
        <v>4.0433000000000003</v>
      </c>
      <c r="I120" s="24">
        <f>'Water and Burning'!I98</f>
        <v>3.2008000000000001</v>
      </c>
      <c r="J120" s="24">
        <f>'Water and Burning'!J98</f>
        <v>20.836940123166727</v>
      </c>
      <c r="K120" s="24">
        <f>'Water and Burning'!K98</f>
        <v>3.0831</v>
      </c>
      <c r="L120" s="428">
        <f>'Water and Burning'!L98</f>
        <v>3.6772056985753601</v>
      </c>
      <c r="V120" s="66"/>
      <c r="W120" s="71"/>
      <c r="X120" s="68"/>
      <c r="Y120" s="68"/>
      <c r="Z120" s="69"/>
      <c r="AA120" s="68"/>
      <c r="AB120" s="69"/>
      <c r="AD120" s="66"/>
      <c r="AE120" s="71"/>
      <c r="AF120" s="68"/>
      <c r="AG120" s="68"/>
      <c r="AH120" s="69"/>
      <c r="AI120" s="68"/>
      <c r="AJ120" s="69"/>
    </row>
    <row r="121" spans="1:36" x14ac:dyDescent="0.25">
      <c r="A121" s="498"/>
      <c r="B121" s="285" t="s">
        <v>136</v>
      </c>
      <c r="C121" s="28">
        <f>'Water and Burning'!C99</f>
        <v>4.0026999999999999</v>
      </c>
      <c r="D121" s="28">
        <f>'Water and Burning'!D99</f>
        <v>3.1863000000000001</v>
      </c>
      <c r="E121" s="28">
        <f>'Water and Burning'!E99</f>
        <v>20.396232543033445</v>
      </c>
      <c r="F121" s="28">
        <f>'Water and Burning'!F99</f>
        <v>3.0825999999999998</v>
      </c>
      <c r="G121" s="28">
        <f>'Water and Burning'!G99</f>
        <v>3.2545585789159945</v>
      </c>
      <c r="H121" s="429">
        <f>'Water and Burning'!H99</f>
        <v>4.0145999999999997</v>
      </c>
      <c r="I121" s="28">
        <f>'Water and Burning'!I99</f>
        <v>3.1714000000000002</v>
      </c>
      <c r="J121" s="28">
        <f>'Water and Burning'!J99</f>
        <v>21.003337816968056</v>
      </c>
      <c r="K121" s="28">
        <f>'Water and Burning'!K99</f>
        <v>3.0554999999999999</v>
      </c>
      <c r="L121" s="430">
        <f>'Water and Burning'!L99</f>
        <v>3.6545374282651295</v>
      </c>
      <c r="V121" s="66"/>
      <c r="W121" s="71"/>
      <c r="X121" s="68"/>
      <c r="Y121" s="68"/>
      <c r="Z121" s="69"/>
      <c r="AA121" s="68"/>
      <c r="AB121" s="69"/>
      <c r="AD121" s="66"/>
      <c r="AE121" s="71"/>
      <c r="AF121" s="68"/>
      <c r="AG121" s="68"/>
      <c r="AH121" s="69"/>
      <c r="AI121" s="68"/>
      <c r="AJ121" s="69"/>
    </row>
    <row r="122" spans="1:36" x14ac:dyDescent="0.25">
      <c r="A122" s="498"/>
      <c r="B122" s="285" t="s">
        <v>137</v>
      </c>
      <c r="C122" s="28">
        <f>'Water and Burning'!C100</f>
        <v>4.0019</v>
      </c>
      <c r="D122" s="28">
        <f>'Water and Burning'!D100</f>
        <v>3.1863000000000001</v>
      </c>
      <c r="E122" s="28">
        <f>'Water and Burning'!E100</f>
        <v>20.380319348309548</v>
      </c>
      <c r="F122" s="28">
        <f>'Water and Burning'!F100</f>
        <v>3.0823999999999998</v>
      </c>
      <c r="G122" s="28">
        <f>'Water and Burning'!G100</f>
        <v>3.2608354517779348</v>
      </c>
      <c r="H122" s="429">
        <f>'Water and Burning'!H100</f>
        <v>3.9961000000000002</v>
      </c>
      <c r="I122" s="28">
        <f>'Water and Burning'!I100</f>
        <v>3.1591999999999998</v>
      </c>
      <c r="J122" s="28">
        <f>'Water and Burning'!J100</f>
        <v>20.942919346362711</v>
      </c>
      <c r="K122" s="28">
        <f>'Water and Burning'!K100</f>
        <v>3.0434999999999999</v>
      </c>
      <c r="L122" s="430">
        <f>'Water and Burning'!L100</f>
        <v>3.6623195745758395</v>
      </c>
      <c r="V122" s="66"/>
      <c r="W122" s="71"/>
      <c r="X122" s="68"/>
      <c r="Y122" s="68"/>
      <c r="Z122" s="69"/>
      <c r="AA122" s="68"/>
      <c r="AB122" s="69"/>
      <c r="AD122" s="66"/>
      <c r="AE122" s="71"/>
      <c r="AF122" s="68"/>
      <c r="AG122" s="68"/>
      <c r="AH122" s="69"/>
      <c r="AI122" s="68"/>
      <c r="AJ122" s="69"/>
    </row>
    <row r="123" spans="1:36" x14ac:dyDescent="0.25">
      <c r="A123" s="498"/>
      <c r="B123" s="285" t="s">
        <v>138</v>
      </c>
      <c r="C123" s="28">
        <f>'Water and Burning'!C101</f>
        <v>4.0448000000000004</v>
      </c>
      <c r="D123" s="28">
        <f>'Water and Burning'!D101</f>
        <v>3.2086000000000001</v>
      </c>
      <c r="E123" s="28">
        <f>'Water and Burning'!E101</f>
        <v>20.673457278481017</v>
      </c>
      <c r="F123" s="28">
        <f>'Water and Burning'!F101</f>
        <v>3.1052</v>
      </c>
      <c r="G123" s="28">
        <f>'Water and Burning'!G101</f>
        <v>3.2225892912796907</v>
      </c>
      <c r="H123" s="429">
        <f>'Water and Burning'!H101</f>
        <v>3.9224000000000001</v>
      </c>
      <c r="I123" s="28">
        <f>'Water and Burning'!I101</f>
        <v>3.0939999999999999</v>
      </c>
      <c r="J123" s="28">
        <f>'Water and Burning'!J101</f>
        <v>21.119722618804822</v>
      </c>
      <c r="K123" s="28">
        <f>'Water and Burning'!K101</f>
        <v>2.9807000000000001</v>
      </c>
      <c r="L123" s="430">
        <f>'Water and Burning'!L101</f>
        <v>3.6619263089851244</v>
      </c>
      <c r="V123" s="66"/>
      <c r="W123" s="71"/>
      <c r="X123" s="68"/>
      <c r="Y123" s="68"/>
      <c r="Z123" s="69"/>
      <c r="AA123" s="68"/>
      <c r="AB123" s="69"/>
      <c r="AD123" s="66"/>
      <c r="AE123" s="71"/>
      <c r="AF123" s="68"/>
      <c r="AG123" s="68"/>
      <c r="AH123" s="69"/>
      <c r="AI123" s="68"/>
      <c r="AJ123" s="69"/>
    </row>
    <row r="124" spans="1:36" x14ac:dyDescent="0.25">
      <c r="A124" s="498"/>
      <c r="B124" s="285" t="s">
        <v>139</v>
      </c>
      <c r="C124" s="28">
        <f>'Water and Burning'!C102</f>
        <v>4.0454999999999997</v>
      </c>
      <c r="D124" s="28">
        <f>'Water and Burning'!D102</f>
        <v>3.2172999999999998</v>
      </c>
      <c r="E124" s="28">
        <f>'Water and Burning'!E102</f>
        <v>20.472129526634532</v>
      </c>
      <c r="F124" s="28">
        <f>'Water and Burning'!F102</f>
        <v>3.113</v>
      </c>
      <c r="G124" s="28">
        <f>'Water and Burning'!G102</f>
        <v>3.2418487551673718</v>
      </c>
      <c r="H124" s="429">
        <f>'Water and Burning'!H102</f>
        <v>4.0441000000000003</v>
      </c>
      <c r="I124" s="28">
        <f>'Water and Burning'!I102</f>
        <v>3.1981999999999999</v>
      </c>
      <c r="J124" s="28">
        <f>'Water and Burning'!J102</f>
        <v>20.916891273707382</v>
      </c>
      <c r="K124" s="28">
        <f>'Water and Burning'!K102</f>
        <v>3.0798999999999999</v>
      </c>
      <c r="L124" s="430">
        <f>'Water and Burning'!L102</f>
        <v>3.6989556625601923</v>
      </c>
      <c r="V124" s="66"/>
      <c r="W124" s="71"/>
      <c r="X124" s="68"/>
      <c r="Y124" s="68"/>
      <c r="Z124" s="69"/>
      <c r="AA124" s="68"/>
      <c r="AB124" s="69"/>
      <c r="AD124" s="66"/>
      <c r="AE124" s="71"/>
      <c r="AF124" s="68"/>
      <c r="AG124" s="68"/>
      <c r="AH124" s="69"/>
      <c r="AI124" s="68"/>
      <c r="AJ124" s="69"/>
    </row>
    <row r="125" spans="1:36" x14ac:dyDescent="0.25">
      <c r="A125" s="498"/>
      <c r="B125" s="285" t="s">
        <v>140</v>
      </c>
      <c r="C125" s="28">
        <f>'Water and Burning'!C103</f>
        <v>3.9376000000000002</v>
      </c>
      <c r="D125" s="28">
        <f>'Water and Burning'!D103</f>
        <v>3.1291000000000002</v>
      </c>
      <c r="E125" s="28">
        <f>'Water and Burning'!E103</f>
        <v>20.532811865095489</v>
      </c>
      <c r="F125" s="28">
        <f>'Water and Burning'!F103</f>
        <v>3.0268000000000002</v>
      </c>
      <c r="G125" s="28">
        <f>'Water and Burning'!G103</f>
        <v>3.2693106644082981</v>
      </c>
      <c r="H125" s="429">
        <f>'Water and Burning'!H103</f>
        <v>4.0521000000000003</v>
      </c>
      <c r="I125" s="28">
        <f>'Water and Burning'!I103</f>
        <v>3.1957</v>
      </c>
      <c r="J125" s="28">
        <f>'Water and Burning'!J103</f>
        <v>21.134720268502758</v>
      </c>
      <c r="K125" s="28">
        <f>'Water and Burning'!K103</f>
        <v>3.0789</v>
      </c>
      <c r="L125" s="430">
        <f>'Water and Burning'!L103</f>
        <v>3.6549112870419633</v>
      </c>
      <c r="V125" s="66"/>
      <c r="W125" s="71"/>
      <c r="X125" s="68"/>
      <c r="Y125" s="68"/>
      <c r="Z125" s="69"/>
      <c r="AA125" s="68"/>
      <c r="AB125" s="69"/>
      <c r="AD125" s="66"/>
      <c r="AE125" s="71"/>
      <c r="AF125" s="68"/>
      <c r="AG125" s="68"/>
      <c r="AH125" s="69"/>
      <c r="AI125" s="68"/>
      <c r="AJ125" s="69"/>
    </row>
    <row r="126" spans="1:36" ht="15.75" thickBot="1" x14ac:dyDescent="0.3">
      <c r="A126" s="499"/>
      <c r="B126" s="286" t="s">
        <v>141</v>
      </c>
      <c r="C126" s="28">
        <f>'Water and Burning'!C104</f>
        <v>3.8932000000000002</v>
      </c>
      <c r="D126" s="28">
        <f>'Water and Burning'!D104</f>
        <v>3.1027999999999998</v>
      </c>
      <c r="E126" s="28">
        <f>'Water and Burning'!E104</f>
        <v>20.302065139217106</v>
      </c>
      <c r="F126" s="28">
        <f>'Water and Burning'!F104</f>
        <v>3.0015999999999998</v>
      </c>
      <c r="G126" s="28">
        <f>'Water and Burning'!G104</f>
        <v>3.2615701946628843</v>
      </c>
      <c r="H126" s="431">
        <f>'Water and Burning'!H104</f>
        <v>4.0892999999999997</v>
      </c>
      <c r="I126" s="60">
        <f>'Water and Burning'!I104</f>
        <v>3.2416</v>
      </c>
      <c r="J126" s="60">
        <f>'Water and Burning'!J104</f>
        <v>20.729709241190417</v>
      </c>
      <c r="K126" s="60">
        <f>'Water and Burning'!K104</f>
        <v>3.1215999999999999</v>
      </c>
      <c r="L126" s="432">
        <f>'Water and Burning'!L104</f>
        <v>3.7018756169792728</v>
      </c>
      <c r="V126" s="66"/>
      <c r="W126" s="71"/>
      <c r="X126" s="68"/>
      <c r="Y126" s="68"/>
      <c r="Z126" s="69"/>
      <c r="AA126" s="68"/>
      <c r="AB126" s="69"/>
      <c r="AD126" s="66"/>
      <c r="AE126" s="71"/>
      <c r="AF126" s="68"/>
      <c r="AG126" s="68"/>
      <c r="AH126" s="69"/>
      <c r="AI126" s="68"/>
      <c r="AJ126" s="69"/>
    </row>
    <row r="127" spans="1:36" ht="15.75" customHeight="1" x14ac:dyDescent="0.25">
      <c r="A127" s="270" t="s">
        <v>161</v>
      </c>
      <c r="B127" s="415"/>
      <c r="C127" s="191">
        <f t="shared" ref="C127:L127" si="26">AVERAGE(C120:C126)</f>
        <v>3.9807142857142854</v>
      </c>
      <c r="D127" s="62">
        <f t="shared" si="26"/>
        <v>3.1664857142857139</v>
      </c>
      <c r="E127" s="62">
        <f t="shared" si="26"/>
        <v>20.453478389925976</v>
      </c>
      <c r="F127" s="62">
        <f t="shared" si="26"/>
        <v>3.0635428571428571</v>
      </c>
      <c r="G127" s="163">
        <f t="shared" si="26"/>
        <v>3.251131695375947</v>
      </c>
      <c r="H127" s="191">
        <f t="shared" si="26"/>
        <v>4.0231285714285709</v>
      </c>
      <c r="I127" s="62">
        <f t="shared" si="26"/>
        <v>3.1801285714285714</v>
      </c>
      <c r="J127" s="62">
        <f t="shared" si="26"/>
        <v>20.954891526957557</v>
      </c>
      <c r="K127" s="62">
        <f t="shared" si="26"/>
        <v>3.0633142857142857</v>
      </c>
      <c r="L127" s="163">
        <f t="shared" si="26"/>
        <v>3.6731045109975544</v>
      </c>
      <c r="W127" s="3"/>
      <c r="X127" s="3"/>
      <c r="Y127" s="3"/>
      <c r="Z127" s="3"/>
      <c r="AA127" s="3"/>
    </row>
    <row r="128" spans="1:36" ht="15.75" customHeight="1" thickBot="1" x14ac:dyDescent="0.3">
      <c r="A128" s="273" t="s">
        <v>162</v>
      </c>
      <c r="B128" s="414"/>
      <c r="C128" s="193">
        <f t="shared" ref="C128:L128" si="27">STDEV(C120:C126)</f>
        <v>5.8408202294182011E-2</v>
      </c>
      <c r="D128" s="59">
        <f t="shared" si="27"/>
        <v>4.3942819988838144E-2</v>
      </c>
      <c r="E128" s="59">
        <f t="shared" si="27"/>
        <v>0.12103316940491439</v>
      </c>
      <c r="F128" s="59">
        <f t="shared" si="27"/>
        <v>4.2832497675746817E-2</v>
      </c>
      <c r="G128" s="165">
        <f t="shared" si="27"/>
        <v>1.5607548863274784E-2</v>
      </c>
      <c r="H128" s="193">
        <f t="shared" si="27"/>
        <v>5.3251313419974688E-2</v>
      </c>
      <c r="I128" s="59">
        <f t="shared" si="27"/>
        <v>4.6020673408288873E-2</v>
      </c>
      <c r="J128" s="59">
        <f t="shared" si="27"/>
        <v>0.1460945219004281</v>
      </c>
      <c r="K128" s="59">
        <f t="shared" si="27"/>
        <v>4.3942175206795997E-2</v>
      </c>
      <c r="L128" s="165">
        <f t="shared" si="27"/>
        <v>2.012409554496063E-2</v>
      </c>
      <c r="W128" s="3"/>
      <c r="X128" s="3"/>
      <c r="Y128" s="3"/>
      <c r="Z128" s="3"/>
      <c r="AA128" s="3"/>
    </row>
    <row r="129" spans="1:36" x14ac:dyDescent="0.25">
      <c r="A129" s="66"/>
      <c r="B129" s="67"/>
      <c r="C129" s="68"/>
      <c r="D129" s="68"/>
      <c r="E129" s="69"/>
      <c r="F129" s="68"/>
      <c r="G129" s="69"/>
      <c r="V129" s="66"/>
      <c r="W129" s="71"/>
      <c r="X129" s="68"/>
      <c r="Y129" s="68"/>
      <c r="Z129" s="69"/>
      <c r="AA129" s="68"/>
      <c r="AB129" s="69"/>
      <c r="AD129" s="66"/>
      <c r="AE129" s="71"/>
      <c r="AF129" s="68"/>
      <c r="AG129" s="68"/>
      <c r="AH129" s="69"/>
      <c r="AI129" s="68"/>
      <c r="AJ129" s="69"/>
    </row>
    <row r="130" spans="1:36" ht="15.75" thickBot="1" x14ac:dyDescent="0.3">
      <c r="A130" s="66"/>
      <c r="C130"/>
      <c r="P130" s="66"/>
      <c r="Q130" s="71"/>
      <c r="R130" s="68"/>
      <c r="S130" s="68"/>
      <c r="T130" s="69"/>
      <c r="U130" s="68"/>
      <c r="V130" s="69"/>
      <c r="W130"/>
      <c r="X130" s="66"/>
      <c r="Y130" s="71"/>
      <c r="Z130" s="68"/>
      <c r="AA130" s="68"/>
      <c r="AB130" s="69"/>
      <c r="AC130" s="68"/>
      <c r="AD130" s="69"/>
    </row>
    <row r="131" spans="1:36" ht="16.5" thickBot="1" x14ac:dyDescent="0.3">
      <c r="A131" s="15" t="s">
        <v>129</v>
      </c>
      <c r="B131" s="492" t="s">
        <v>155</v>
      </c>
      <c r="C131" s="493"/>
      <c r="D131" s="493"/>
      <c r="E131" s="493"/>
      <c r="F131" s="493"/>
      <c r="G131" s="494"/>
      <c r="H131" s="492" t="s">
        <v>156</v>
      </c>
      <c r="I131" s="493"/>
      <c r="J131" s="493"/>
      <c r="K131" s="493"/>
      <c r="L131" s="494"/>
      <c r="M131" s="3"/>
      <c r="N131" s="3"/>
      <c r="O131" s="3"/>
      <c r="P131" s="3"/>
      <c r="Q131" s="3"/>
      <c r="R131" s="3"/>
      <c r="S131" s="3"/>
      <c r="T131" s="3"/>
      <c r="U131" s="3"/>
      <c r="W131"/>
    </row>
    <row r="132" spans="1:36" ht="15.75" customHeight="1" thickBot="1" x14ac:dyDescent="0.3">
      <c r="A132" s="16"/>
      <c r="B132" s="18" t="s">
        <v>6</v>
      </c>
      <c r="C132" s="17" t="s">
        <v>7</v>
      </c>
      <c r="D132" s="17" t="s">
        <v>8</v>
      </c>
      <c r="E132" s="136" t="s">
        <v>9</v>
      </c>
      <c r="F132" s="20" t="s">
        <v>132</v>
      </c>
      <c r="G132" s="21" t="s">
        <v>133</v>
      </c>
      <c r="H132" s="17" t="s">
        <v>7</v>
      </c>
      <c r="I132" s="17" t="s">
        <v>8</v>
      </c>
      <c r="J132" s="19" t="s">
        <v>9</v>
      </c>
      <c r="K132" s="20" t="s">
        <v>132</v>
      </c>
      <c r="L132" s="21" t="s">
        <v>133</v>
      </c>
      <c r="M132" s="64"/>
      <c r="N132" s="65"/>
      <c r="O132" s="64"/>
      <c r="P132" s="65"/>
      <c r="Q132" s="3"/>
      <c r="R132" s="3"/>
      <c r="S132" s="3"/>
      <c r="T132" s="3"/>
      <c r="U132" s="3"/>
      <c r="W132"/>
    </row>
    <row r="133" spans="1:36" ht="15" customHeight="1" x14ac:dyDescent="0.25">
      <c r="A133" s="495" t="s">
        <v>134</v>
      </c>
      <c r="B133" s="281" t="s">
        <v>135</v>
      </c>
      <c r="C133" s="29">
        <f>'Water and Burning'!C110</f>
        <v>3.9777</v>
      </c>
      <c r="D133" s="29">
        <f>'Water and Burning'!D110</f>
        <v>3.2206999999999999</v>
      </c>
      <c r="E133" s="29">
        <f>'Water and Burning'!E110</f>
        <v>19.031098373431885</v>
      </c>
      <c r="F133" s="29">
        <f>'Water and Burning'!F110</f>
        <v>3.0055000000000001</v>
      </c>
      <c r="G133" s="29">
        <f>'Water and Burning'!G110</f>
        <v>6.6817772533921156</v>
      </c>
      <c r="H133" s="427">
        <f>'Water and Burning'!H110</f>
        <v>3.9300999999999999</v>
      </c>
      <c r="I133" s="24">
        <f>'Water and Burning'!I110</f>
        <v>3.093</v>
      </c>
      <c r="J133" s="24">
        <f>'Water and Burning'!J110</f>
        <v>21.299712475509526</v>
      </c>
      <c r="K133" s="24">
        <f>'Water and Burning'!K110</f>
        <v>2.8774999999999999</v>
      </c>
      <c r="L133" s="428">
        <f>'Water and Burning'!L110</f>
        <v>6.9673456191399943</v>
      </c>
      <c r="M133" s="68"/>
      <c r="N133" s="69"/>
      <c r="O133" s="68"/>
      <c r="P133" s="69"/>
      <c r="Q133" s="3"/>
      <c r="R133" s="3"/>
      <c r="S133" s="3"/>
      <c r="T133" s="3"/>
      <c r="U133" s="3"/>
      <c r="W133"/>
    </row>
    <row r="134" spans="1:36" ht="15" customHeight="1" x14ac:dyDescent="0.25">
      <c r="A134" s="496"/>
      <c r="B134" s="282" t="s">
        <v>136</v>
      </c>
      <c r="C134" s="28">
        <f>'Water and Burning'!C111</f>
        <v>3.8519000000000001</v>
      </c>
      <c r="D134" s="28">
        <f>'Water and Burning'!D111</f>
        <v>3.0912000000000002</v>
      </c>
      <c r="E134" s="28">
        <f>'Water and Burning'!E111</f>
        <v>19.748695448999193</v>
      </c>
      <c r="F134" s="28">
        <f>'Water and Burning'!F111</f>
        <v>2.8841999999999999</v>
      </c>
      <c r="G134" s="28">
        <f>'Water and Burning'!G111</f>
        <v>6.6964285714285809</v>
      </c>
      <c r="H134" s="429">
        <f>'Water and Burning'!H111</f>
        <v>4.0602</v>
      </c>
      <c r="I134" s="28">
        <f>'Water and Burning'!I111</f>
        <v>3.1953</v>
      </c>
      <c r="J134" s="28">
        <f>'Water and Burning'!J111</f>
        <v>21.301906310033988</v>
      </c>
      <c r="K134" s="28">
        <f>'Water and Burning'!K111</f>
        <v>2.9725999999999999</v>
      </c>
      <c r="L134" s="430">
        <f>'Water and Burning'!L111</f>
        <v>6.9696116170625642</v>
      </c>
      <c r="M134" s="68"/>
      <c r="N134" s="69"/>
      <c r="O134" s="68"/>
      <c r="P134" s="69"/>
      <c r="Q134" s="3"/>
      <c r="R134" s="3"/>
      <c r="S134" s="3"/>
      <c r="T134" s="3"/>
      <c r="U134" s="3"/>
      <c r="W134"/>
    </row>
    <row r="135" spans="1:36" ht="15" customHeight="1" x14ac:dyDescent="0.25">
      <c r="A135" s="496"/>
      <c r="B135" s="282" t="s">
        <v>137</v>
      </c>
      <c r="C135" s="28">
        <f>'Water and Burning'!C112</f>
        <v>3.9434999999999998</v>
      </c>
      <c r="D135" s="28">
        <f>'Water and Burning'!D112</f>
        <v>3.1562000000000001</v>
      </c>
      <c r="E135" s="28">
        <f>'Water and Burning'!E112</f>
        <v>19.964498541904394</v>
      </c>
      <c r="F135" s="28">
        <f>'Water and Burning'!F112</f>
        <v>2.9447000000000001</v>
      </c>
      <c r="G135" s="28">
        <f>'Water and Burning'!G112</f>
        <v>6.701096254990178</v>
      </c>
      <c r="H135" s="429">
        <f>'Water and Burning'!H112</f>
        <v>3.9944999999999999</v>
      </c>
      <c r="I135" s="28">
        <f>'Water and Burning'!I112</f>
        <v>3.1429999999999998</v>
      </c>
      <c r="J135" s="28">
        <f>'Water and Burning'!J112</f>
        <v>21.31681061459507</v>
      </c>
      <c r="K135" s="28">
        <f>'Water and Burning'!K112</f>
        <v>2.9249000000000001</v>
      </c>
      <c r="L135" s="430">
        <f>'Water and Burning'!L112</f>
        <v>6.9392300349984017</v>
      </c>
      <c r="M135" s="68"/>
      <c r="N135" s="69"/>
      <c r="O135" s="68"/>
      <c r="P135" s="69"/>
      <c r="Q135" s="3"/>
      <c r="R135" s="3"/>
      <c r="S135" s="3"/>
      <c r="T135" s="3"/>
      <c r="U135" s="3"/>
      <c r="W135"/>
    </row>
    <row r="136" spans="1:36" ht="15" customHeight="1" x14ac:dyDescent="0.25">
      <c r="A136" s="496"/>
      <c r="B136" s="282" t="s">
        <v>138</v>
      </c>
      <c r="C136" s="28">
        <f>'Water and Burning'!C113</f>
        <v>4.0260999999999996</v>
      </c>
      <c r="D136" s="28">
        <f>'Water and Burning'!D113</f>
        <v>3.2168000000000001</v>
      </c>
      <c r="E136" s="28">
        <f>'Water and Burning'!E113</f>
        <v>20.101338764561227</v>
      </c>
      <c r="F136" s="28">
        <f>'Water and Burning'!F113</f>
        <v>3.0015999999999998</v>
      </c>
      <c r="G136" s="28">
        <f>'Water and Burning'!G113</f>
        <v>6.6898781397662352</v>
      </c>
      <c r="H136" s="429">
        <f>'Water and Burning'!H113</f>
        <v>3.9580000000000002</v>
      </c>
      <c r="I136" s="28">
        <f>'Water and Burning'!I113</f>
        <v>3.1042000000000001</v>
      </c>
      <c r="J136" s="28">
        <f>'Water and Burning'!J113</f>
        <v>21.571500757958567</v>
      </c>
      <c r="K136" s="28">
        <f>'Water and Burning'!K113</f>
        <v>2.8885000000000001</v>
      </c>
      <c r="L136" s="430">
        <f>'Water and Burning'!L113</f>
        <v>6.9486502158366088</v>
      </c>
      <c r="M136" s="68"/>
      <c r="N136" s="69"/>
      <c r="O136" s="68"/>
      <c r="P136" s="69"/>
      <c r="Q136" s="3"/>
      <c r="R136" s="3"/>
      <c r="S136" s="3"/>
      <c r="T136" s="3"/>
      <c r="U136" s="3"/>
      <c r="W136"/>
    </row>
    <row r="137" spans="1:36" ht="15" customHeight="1" x14ac:dyDescent="0.25">
      <c r="A137" s="496"/>
      <c r="B137" s="282" t="s">
        <v>139</v>
      </c>
      <c r="C137" s="28">
        <f>'Water and Burning'!C114</f>
        <v>3.9434999999999998</v>
      </c>
      <c r="D137" s="28">
        <f>'Water and Burning'!D114</f>
        <v>3.1614</v>
      </c>
      <c r="E137" s="28">
        <f>'Water and Burning'!E114</f>
        <v>19.832635983263593</v>
      </c>
      <c r="F137" s="28">
        <f>'Water and Burning'!F114</f>
        <v>2.9500999999999999</v>
      </c>
      <c r="G137" s="28">
        <f>'Water and Burning'!G114</f>
        <v>6.683747706712218</v>
      </c>
      <c r="H137" s="429">
        <f>'Water and Burning'!H114</f>
        <v>3.9723999999999999</v>
      </c>
      <c r="I137" s="28">
        <f>'Water and Burning'!I114</f>
        <v>3.1185</v>
      </c>
      <c r="J137" s="28">
        <f>'Water and Burning'!J114</f>
        <v>21.495821166045712</v>
      </c>
      <c r="K137" s="28">
        <f>'Water and Burning'!K114</f>
        <v>2.9005000000000001</v>
      </c>
      <c r="L137" s="430">
        <f>'Water and Burning'!L114</f>
        <v>6.9905403238736561</v>
      </c>
      <c r="M137" s="68"/>
      <c r="N137" s="69"/>
      <c r="O137" s="68"/>
      <c r="P137" s="69"/>
      <c r="Q137" s="3"/>
      <c r="R137" s="3"/>
      <c r="S137" s="3"/>
      <c r="T137" s="3"/>
      <c r="U137" s="3"/>
      <c r="W137"/>
    </row>
    <row r="138" spans="1:36" ht="15" customHeight="1" x14ac:dyDescent="0.25">
      <c r="A138" s="496"/>
      <c r="B138" s="282" t="s">
        <v>140</v>
      </c>
      <c r="C138" s="28">
        <f>'Water and Burning'!C115</f>
        <v>3.9350999999999998</v>
      </c>
      <c r="D138" s="28">
        <f>'Water and Burning'!D115</f>
        <v>3.1461000000000001</v>
      </c>
      <c r="E138" s="28">
        <f>'Water and Burning'!E115</f>
        <v>20.050316383319348</v>
      </c>
      <c r="F138" s="28">
        <f>'Water and Burning'!F115</f>
        <v>2.9359000000000002</v>
      </c>
      <c r="G138" s="28">
        <f>'Water and Burning'!G115</f>
        <v>6.6812879438034365</v>
      </c>
      <c r="H138" s="429">
        <f>'Water and Burning'!H115</f>
        <v>3.9695</v>
      </c>
      <c r="I138" s="28">
        <f>'Water and Burning'!I115</f>
        <v>3.1162999999999998</v>
      </c>
      <c r="J138" s="28">
        <f>'Water and Burning'!J115</f>
        <v>21.493890918251672</v>
      </c>
      <c r="K138" s="28">
        <f>'Water and Burning'!K115</f>
        <v>2.8973</v>
      </c>
      <c r="L138" s="430">
        <f>'Water and Burning'!L115</f>
        <v>7.0275647402368149</v>
      </c>
      <c r="M138" s="68"/>
      <c r="N138" s="69"/>
      <c r="O138" s="68"/>
      <c r="P138" s="69"/>
      <c r="Q138" s="3"/>
      <c r="R138" s="3"/>
      <c r="S138" s="3"/>
      <c r="T138" s="3"/>
      <c r="U138" s="3"/>
      <c r="W138"/>
    </row>
    <row r="139" spans="1:36" ht="15.75" customHeight="1" thickBot="1" x14ac:dyDescent="0.3">
      <c r="A139" s="497"/>
      <c r="B139" s="283" t="s">
        <v>141</v>
      </c>
      <c r="C139" s="28">
        <f>'Water and Burning'!C116</f>
        <v>3.9489999999999998</v>
      </c>
      <c r="D139" s="28">
        <f>'Water and Burning'!D116</f>
        <v>3.1631</v>
      </c>
      <c r="E139" s="28">
        <f>'Water and Burning'!E116</f>
        <v>19.90124082046087</v>
      </c>
      <c r="F139" s="28">
        <f>'Water and Burning'!F116</f>
        <v>2.9510999999999998</v>
      </c>
      <c r="G139" s="28">
        <f>'Water and Burning'!G116</f>
        <v>6.7022857323511804</v>
      </c>
      <c r="H139" s="431">
        <f>'Water and Burning'!H116</f>
        <v>3.9607000000000001</v>
      </c>
      <c r="I139" s="60">
        <f>'Water and Burning'!I116</f>
        <v>3.1177000000000001</v>
      </c>
      <c r="J139" s="60">
        <f>'Water and Burning'!J116</f>
        <v>21.284116444062917</v>
      </c>
      <c r="K139" s="60">
        <f>'Water and Burning'!K116</f>
        <v>2.9003999999999999</v>
      </c>
      <c r="L139" s="432">
        <f>'Water and Burning'!L116</f>
        <v>6.9698816435192699</v>
      </c>
      <c r="M139" s="68"/>
      <c r="N139" s="69"/>
      <c r="O139" s="68"/>
      <c r="P139" s="69"/>
      <c r="Q139" s="3"/>
      <c r="R139" s="3"/>
      <c r="S139" s="3"/>
      <c r="T139" s="3"/>
      <c r="U139" s="3"/>
      <c r="W139"/>
    </row>
    <row r="140" spans="1:36" ht="15.75" customHeight="1" x14ac:dyDescent="0.25">
      <c r="A140" s="266" t="s">
        <v>161</v>
      </c>
      <c r="B140" s="415"/>
      <c r="C140" s="191">
        <f t="shared" ref="C140:L140" si="28">AVERAGE(C133:C139)</f>
        <v>3.9466857142857137</v>
      </c>
      <c r="D140" s="62">
        <f t="shared" si="28"/>
        <v>3.1650714285714288</v>
      </c>
      <c r="E140" s="62">
        <f t="shared" si="28"/>
        <v>19.804260616562924</v>
      </c>
      <c r="F140" s="62">
        <f t="shared" si="28"/>
        <v>2.9532999999999996</v>
      </c>
      <c r="G140" s="163">
        <f t="shared" si="28"/>
        <v>6.6909288003491341</v>
      </c>
      <c r="H140" s="191">
        <f t="shared" si="28"/>
        <v>3.9779142857142853</v>
      </c>
      <c r="I140" s="62">
        <f t="shared" si="28"/>
        <v>3.1268571428571428</v>
      </c>
      <c r="J140" s="62">
        <f t="shared" si="28"/>
        <v>21.394822669493919</v>
      </c>
      <c r="K140" s="62">
        <f t="shared" si="28"/>
        <v>2.908814285714286</v>
      </c>
      <c r="L140" s="163">
        <f t="shared" si="28"/>
        <v>6.9732605992381878</v>
      </c>
      <c r="W140" s="3"/>
      <c r="X140" s="3"/>
      <c r="Y140" s="3"/>
      <c r="Z140" s="3"/>
      <c r="AA140" s="3"/>
    </row>
    <row r="141" spans="1:36" ht="15.75" customHeight="1" thickBot="1" x14ac:dyDescent="0.3">
      <c r="A141" s="268" t="s">
        <v>162</v>
      </c>
      <c r="B141" s="414"/>
      <c r="C141" s="193">
        <f t="shared" ref="C141:L141" si="29">STDEV(C133:C139)</f>
        <v>5.2301575137893783E-2</v>
      </c>
      <c r="D141" s="59">
        <f t="shared" si="29"/>
        <v>4.4127380550919956E-2</v>
      </c>
      <c r="E141" s="59">
        <f t="shared" si="29"/>
        <v>0.36183622504369356</v>
      </c>
      <c r="F141" s="59">
        <f t="shared" si="29"/>
        <v>4.1280221252637042E-2</v>
      </c>
      <c r="G141" s="165">
        <f t="shared" si="29"/>
        <v>9.0551407169901683E-3</v>
      </c>
      <c r="H141" s="193">
        <f t="shared" si="29"/>
        <v>4.1081927436584099E-2</v>
      </c>
      <c r="I141" s="59">
        <f t="shared" si="29"/>
        <v>3.3837398301428602E-2</v>
      </c>
      <c r="J141" s="59">
        <f t="shared" si="29"/>
        <v>0.12058987593971099</v>
      </c>
      <c r="K141" s="59">
        <f t="shared" si="29"/>
        <v>3.1604663610055407E-2</v>
      </c>
      <c r="L141" s="165">
        <f t="shared" si="29"/>
        <v>2.9071745415316212E-2</v>
      </c>
      <c r="W141" s="3"/>
      <c r="X141" s="3"/>
      <c r="Y141" s="3"/>
      <c r="Z141" s="3"/>
      <c r="AA141" s="3"/>
    </row>
    <row r="142" spans="1:36" ht="15" customHeight="1" x14ac:dyDescent="0.25">
      <c r="A142" s="498" t="s">
        <v>20</v>
      </c>
      <c r="B142" s="284" t="s">
        <v>135</v>
      </c>
      <c r="C142" s="29">
        <f>'Water and Burning'!C117</f>
        <v>4.0037000000000003</v>
      </c>
      <c r="D142" s="29">
        <f>'Water and Burning'!D117</f>
        <v>3.1806999999999999</v>
      </c>
      <c r="E142" s="29">
        <f>'Water and Burning'!E117</f>
        <v>20.555985713215286</v>
      </c>
      <c r="F142" s="29">
        <f>'Water and Burning'!F117</f>
        <v>3.0798000000000001</v>
      </c>
      <c r="G142" s="29">
        <f>'Water and Burning'!G117</f>
        <v>3.1722576791272292</v>
      </c>
      <c r="H142" s="427">
        <f>'Water and Burning'!H117</f>
        <v>3.9268000000000001</v>
      </c>
      <c r="I142" s="24">
        <f>'Water and Burning'!I117</f>
        <v>3.1128</v>
      </c>
      <c r="J142" s="24">
        <f>'Water and Burning'!J117</f>
        <v>20.729347051033923</v>
      </c>
      <c r="K142" s="24">
        <f>'Water and Burning'!K117</f>
        <v>3.0095999999999998</v>
      </c>
      <c r="L142" s="428">
        <f>'Water and Burning'!L117</f>
        <v>3.3153430994602986</v>
      </c>
      <c r="M142" s="68"/>
      <c r="N142" s="69"/>
      <c r="O142" s="68"/>
      <c r="P142" s="69"/>
      <c r="Q142" s="3"/>
      <c r="R142" s="3"/>
      <c r="S142" s="3"/>
      <c r="T142" s="3"/>
      <c r="U142" s="3"/>
      <c r="W142"/>
    </row>
    <row r="143" spans="1:36" ht="15" customHeight="1" x14ac:dyDescent="0.25">
      <c r="A143" s="498"/>
      <c r="B143" s="285" t="s">
        <v>136</v>
      </c>
      <c r="C143" s="28">
        <f>'Water and Burning'!C118</f>
        <v>3.9539</v>
      </c>
      <c r="D143" s="28">
        <f>'Water and Burning'!D118</f>
        <v>3.1318999999999999</v>
      </c>
      <c r="E143" s="28">
        <f>'Water and Burning'!E118</f>
        <v>20.789600141632313</v>
      </c>
      <c r="F143" s="28">
        <f>'Water and Burning'!F118</f>
        <v>3.0324</v>
      </c>
      <c r="G143" s="28">
        <f>'Water and Burning'!G118</f>
        <v>3.1769852166416528</v>
      </c>
      <c r="H143" s="429">
        <f>'Water and Burning'!H118</f>
        <v>4.0141999999999998</v>
      </c>
      <c r="I143" s="28">
        <f>'Water and Burning'!I118</f>
        <v>3.1739999999999999</v>
      </c>
      <c r="J143" s="28">
        <f>'Water and Burning'!J118</f>
        <v>20.930696029096705</v>
      </c>
      <c r="K143" s="28">
        <f>'Water and Burning'!K118</f>
        <v>3.0687000000000002</v>
      </c>
      <c r="L143" s="430">
        <f>'Water and Burning'!L118</f>
        <v>3.3175803402646418</v>
      </c>
      <c r="M143" s="68"/>
      <c r="N143" s="69"/>
      <c r="O143" s="68"/>
      <c r="P143" s="69"/>
      <c r="Q143" s="3"/>
      <c r="R143" s="3"/>
      <c r="S143" s="3"/>
      <c r="T143" s="3"/>
      <c r="U143" s="3"/>
      <c r="W143"/>
    </row>
    <row r="144" spans="1:36" ht="15" customHeight="1" x14ac:dyDescent="0.25">
      <c r="A144" s="498"/>
      <c r="B144" s="285" t="s">
        <v>137</v>
      </c>
      <c r="C144" s="28">
        <f>'Water and Burning'!C119</f>
        <v>3.9857</v>
      </c>
      <c r="D144" s="28">
        <f>'Water and Burning'!D119</f>
        <v>3.1465000000000001</v>
      </c>
      <c r="E144" s="28">
        <f>'Water and Burning'!E119</f>
        <v>21.055272599543365</v>
      </c>
      <c r="F144" s="28">
        <f>'Water and Burning'!F119</f>
        <v>3.0457999999999998</v>
      </c>
      <c r="G144" s="28">
        <f>'Water and Burning'!G119</f>
        <v>3.200381376132218</v>
      </c>
      <c r="H144" s="429">
        <f>'Water and Burning'!H119</f>
        <v>3.9792000000000001</v>
      </c>
      <c r="I144" s="28">
        <f>'Water and Burning'!I119</f>
        <v>3.1362999999999999</v>
      </c>
      <c r="J144" s="28">
        <f>'Water and Burning'!J119</f>
        <v>21.182649778850024</v>
      </c>
      <c r="K144" s="28">
        <f>'Water and Burning'!K119</f>
        <v>3.0339</v>
      </c>
      <c r="L144" s="430">
        <f>'Water and Burning'!L119</f>
        <v>3.2649937824825379</v>
      </c>
      <c r="M144" s="68"/>
      <c r="N144" s="69"/>
      <c r="O144" s="68"/>
      <c r="P144" s="69"/>
      <c r="Q144" s="3"/>
      <c r="R144" s="3"/>
      <c r="S144" s="3"/>
      <c r="T144" s="3"/>
      <c r="U144" s="3"/>
      <c r="W144"/>
    </row>
    <row r="145" spans="1:27" ht="15" customHeight="1" x14ac:dyDescent="0.25">
      <c r="A145" s="498"/>
      <c r="B145" s="285" t="s">
        <v>138</v>
      </c>
      <c r="C145" s="28">
        <f>'Water and Burning'!C120</f>
        <v>3.9630000000000001</v>
      </c>
      <c r="D145" s="28">
        <f>'Water and Burning'!D120</f>
        <v>3.1345999999999998</v>
      </c>
      <c r="E145" s="28">
        <f>'Water and Burning'!E120</f>
        <v>20.90335604340147</v>
      </c>
      <c r="F145" s="28">
        <f>'Water and Burning'!F120</f>
        <v>3.0350999999999999</v>
      </c>
      <c r="G145" s="28">
        <f>'Water and Burning'!G120</f>
        <v>3.1742487079691162</v>
      </c>
      <c r="H145" s="429">
        <f>'Water and Burning'!H120</f>
        <v>3.9483999999999999</v>
      </c>
      <c r="I145" s="28">
        <f>'Water and Burning'!I120</f>
        <v>3.1086</v>
      </c>
      <c r="J145" s="28">
        <f>'Water and Burning'!J120</f>
        <v>21.26937493668321</v>
      </c>
      <c r="K145" s="28">
        <f>'Water and Burning'!K120</f>
        <v>3.0057</v>
      </c>
      <c r="L145" s="430">
        <f>'Water and Burning'!L120</f>
        <v>3.3101717815093608</v>
      </c>
      <c r="M145" s="68"/>
      <c r="N145" s="69"/>
      <c r="O145" s="68"/>
      <c r="P145" s="69"/>
      <c r="Q145" s="3"/>
      <c r="R145" s="3"/>
      <c r="S145" s="3"/>
      <c r="T145" s="3"/>
      <c r="U145" s="3"/>
      <c r="W145"/>
    </row>
    <row r="146" spans="1:27" ht="15" customHeight="1" x14ac:dyDescent="0.25">
      <c r="A146" s="498"/>
      <c r="B146" s="285" t="s">
        <v>139</v>
      </c>
      <c r="C146" s="28">
        <f>'Water and Burning'!C121</f>
        <v>3.9548000000000001</v>
      </c>
      <c r="D146" s="28">
        <f>'Water and Burning'!D121</f>
        <v>3.1301999999999999</v>
      </c>
      <c r="E146" s="28">
        <f>'Water and Burning'!E121</f>
        <v>20.850611914635383</v>
      </c>
      <c r="F146" s="28">
        <f>'Water and Burning'!F121</f>
        <v>3.0312000000000001</v>
      </c>
      <c r="G146" s="28">
        <f>'Water and Burning'!G121</f>
        <v>3.162737205290389</v>
      </c>
      <c r="H146" s="429">
        <f>'Water and Burning'!H121</f>
        <v>4.0788000000000002</v>
      </c>
      <c r="I146" s="28">
        <f>'Water and Burning'!I121</f>
        <v>3.2097000000000002</v>
      </c>
      <c r="J146" s="28">
        <f>'Water and Burning'!J121</f>
        <v>21.307737569873492</v>
      </c>
      <c r="K146" s="28">
        <f>'Water and Burning'!K121</f>
        <v>3.1042999999999998</v>
      </c>
      <c r="L146" s="430">
        <f>'Water and Burning'!L121</f>
        <v>3.2837959933950334</v>
      </c>
      <c r="M146" s="68"/>
      <c r="N146" s="69"/>
      <c r="O146" s="68"/>
      <c r="P146" s="69"/>
      <c r="Q146" s="3"/>
      <c r="R146" s="3"/>
      <c r="S146" s="3"/>
      <c r="T146" s="3"/>
      <c r="U146" s="3"/>
      <c r="W146"/>
    </row>
    <row r="147" spans="1:27" ht="15" customHeight="1" x14ac:dyDescent="0.25">
      <c r="A147" s="498"/>
      <c r="B147" s="285" t="s">
        <v>140</v>
      </c>
      <c r="C147" s="28">
        <f>'Water and Burning'!C122</f>
        <v>3.9702999999999999</v>
      </c>
      <c r="D147" s="28">
        <f>'Water and Burning'!D122</f>
        <v>3.1465000000000001</v>
      </c>
      <c r="E147" s="28">
        <f>'Water and Burning'!E122</f>
        <v>20.749061783744299</v>
      </c>
      <c r="F147" s="28">
        <f>'Water and Burning'!F122</f>
        <v>3.0459999999999998</v>
      </c>
      <c r="G147" s="28">
        <f>'Water and Burning'!G122</f>
        <v>3.1940251072620454</v>
      </c>
      <c r="H147" s="429">
        <f>'Water and Burning'!H122</f>
        <v>3.9916</v>
      </c>
      <c r="I147" s="28">
        <f>'Water and Burning'!I122</f>
        <v>3.1259999999999999</v>
      </c>
      <c r="J147" s="28">
        <f>'Water and Burning'!J122</f>
        <v>21.685539633229787</v>
      </c>
      <c r="K147" s="28">
        <f>'Water and Burning'!K122</f>
        <v>3.0230999999999999</v>
      </c>
      <c r="L147" s="430">
        <f>'Water and Burning'!L122</f>
        <v>3.2917466410748562</v>
      </c>
      <c r="M147" s="68"/>
      <c r="N147" s="69"/>
      <c r="O147" s="68"/>
      <c r="P147" s="69"/>
      <c r="Q147" s="3"/>
      <c r="R147" s="3"/>
      <c r="S147" s="3"/>
      <c r="T147" s="3"/>
      <c r="U147" s="3"/>
      <c r="W147"/>
    </row>
    <row r="148" spans="1:27" ht="15.95" customHeight="1" thickBot="1" x14ac:dyDescent="0.3">
      <c r="A148" s="499"/>
      <c r="B148" s="286" t="s">
        <v>141</v>
      </c>
      <c r="C148" s="28">
        <f>'Water and Burning'!C123</f>
        <v>3.9759000000000002</v>
      </c>
      <c r="D148" s="28">
        <f>'Water and Burning'!D123</f>
        <v>3.1560999999999999</v>
      </c>
      <c r="E148" s="28">
        <f>'Water and Burning'!E123</f>
        <v>20.619230865967459</v>
      </c>
      <c r="F148" s="28">
        <f>'Water and Burning'!F123</f>
        <v>3.0554999999999999</v>
      </c>
      <c r="G148" s="28">
        <f>'Water and Burning'!G123</f>
        <v>3.1874782167865412</v>
      </c>
      <c r="H148" s="431">
        <f>'Water and Burning'!H123</f>
        <v>3.9487999999999999</v>
      </c>
      <c r="I148" s="60">
        <f>'Water and Burning'!I123</f>
        <v>3.1173999999999999</v>
      </c>
      <c r="J148" s="60">
        <f>'Water and Burning'!J123</f>
        <v>21.054497568881683</v>
      </c>
      <c r="K148" s="60">
        <f>'Water and Burning'!K123</f>
        <v>3.0133000000000001</v>
      </c>
      <c r="L148" s="432">
        <f>'Water and Burning'!L123</f>
        <v>3.339321229229482</v>
      </c>
      <c r="M148" s="68"/>
      <c r="N148" s="69"/>
      <c r="O148" s="68"/>
      <c r="P148" s="69"/>
      <c r="Q148" s="3"/>
      <c r="R148" s="3"/>
      <c r="S148" s="3"/>
      <c r="T148" s="3"/>
      <c r="U148" s="3"/>
      <c r="W148"/>
    </row>
    <row r="149" spans="1:27" ht="15.75" customHeight="1" x14ac:dyDescent="0.25">
      <c r="A149" s="270" t="s">
        <v>161</v>
      </c>
      <c r="B149" s="415"/>
      <c r="C149" s="191">
        <f t="shared" ref="C149:L149" si="30">AVERAGE(C142:C148)</f>
        <v>3.9724714285714287</v>
      </c>
      <c r="D149" s="62">
        <f t="shared" si="30"/>
        <v>3.1466428571428571</v>
      </c>
      <c r="E149" s="62">
        <f t="shared" si="30"/>
        <v>20.789017008877078</v>
      </c>
      <c r="F149" s="62">
        <f t="shared" si="30"/>
        <v>3.0465428571428568</v>
      </c>
      <c r="G149" s="163">
        <f t="shared" si="30"/>
        <v>3.1811590727441699</v>
      </c>
      <c r="H149" s="191">
        <f t="shared" si="30"/>
        <v>3.9839714285714285</v>
      </c>
      <c r="I149" s="62">
        <f t="shared" si="30"/>
        <v>3.1406857142857141</v>
      </c>
      <c r="J149" s="62">
        <f t="shared" si="30"/>
        <v>21.165691795378404</v>
      </c>
      <c r="K149" s="62">
        <f t="shared" si="30"/>
        <v>3.0369428571428578</v>
      </c>
      <c r="L149" s="163">
        <f t="shared" si="30"/>
        <v>3.3032789810594592</v>
      </c>
      <c r="W149" s="3"/>
      <c r="X149" s="3"/>
      <c r="Y149" s="3"/>
      <c r="Z149" s="3"/>
      <c r="AA149" s="3"/>
    </row>
    <row r="150" spans="1:27" ht="15.75" customHeight="1" thickBot="1" x14ac:dyDescent="0.3">
      <c r="A150" s="273" t="s">
        <v>162</v>
      </c>
      <c r="B150" s="414"/>
      <c r="C150" s="193">
        <f t="shared" ref="C150:L150" si="31">STDEV(C142:C148)</f>
        <v>1.785858470369503E-2</v>
      </c>
      <c r="D150" s="59">
        <f t="shared" si="31"/>
        <v>1.7711188285267323E-2</v>
      </c>
      <c r="E150" s="59">
        <f t="shared" si="31"/>
        <v>0.16955189271211243</v>
      </c>
      <c r="F150" s="59">
        <f t="shared" si="31"/>
        <v>1.7095209576843188E-2</v>
      </c>
      <c r="G150" s="165">
        <f t="shared" si="31"/>
        <v>1.3283684215876562E-2</v>
      </c>
      <c r="H150" s="193">
        <f t="shared" si="31"/>
        <v>5.124795001707274E-2</v>
      </c>
      <c r="I150" s="59">
        <f t="shared" si="31"/>
        <v>3.7543416137028607E-2</v>
      </c>
      <c r="J150" s="59">
        <f t="shared" si="31"/>
        <v>0.30535237722411285</v>
      </c>
      <c r="K150" s="59">
        <f t="shared" si="31"/>
        <v>3.6581227295925847E-2</v>
      </c>
      <c r="L150" s="165">
        <f t="shared" si="31"/>
        <v>2.4748617075922141E-2</v>
      </c>
      <c r="W150" s="3"/>
      <c r="X150" s="3"/>
      <c r="Y150" s="3"/>
      <c r="Z150" s="3"/>
      <c r="AA150" s="3"/>
    </row>
    <row r="151" spans="1:27" ht="16.5" thickBot="1" x14ac:dyDescent="0.3">
      <c r="A151" s="15" t="s">
        <v>142</v>
      </c>
      <c r="B151" s="492" t="s">
        <v>157</v>
      </c>
      <c r="C151" s="493"/>
      <c r="D151" s="493"/>
      <c r="E151" s="493"/>
      <c r="F151" s="493"/>
      <c r="G151" s="494"/>
      <c r="H151" s="492" t="s">
        <v>158</v>
      </c>
      <c r="I151" s="493"/>
      <c r="J151" s="493"/>
      <c r="K151" s="493"/>
      <c r="L151" s="494"/>
      <c r="M151" s="3"/>
      <c r="N151" s="3"/>
      <c r="O151" s="3"/>
      <c r="P151" s="3"/>
      <c r="Q151" s="3"/>
      <c r="R151" s="3"/>
      <c r="S151" s="3"/>
      <c r="T151" s="3"/>
      <c r="U151" s="3"/>
      <c r="W151"/>
    </row>
    <row r="152" spans="1:27" ht="15.75" customHeight="1" thickBot="1" x14ac:dyDescent="0.3">
      <c r="A152" s="16"/>
      <c r="B152" s="18" t="s">
        <v>6</v>
      </c>
      <c r="C152" s="17" t="s">
        <v>7</v>
      </c>
      <c r="D152" s="17" t="s">
        <v>8</v>
      </c>
      <c r="E152" s="136" t="s">
        <v>9</v>
      </c>
      <c r="F152" s="20" t="s">
        <v>145</v>
      </c>
      <c r="G152" s="21" t="s">
        <v>146</v>
      </c>
      <c r="H152" s="17" t="s">
        <v>7</v>
      </c>
      <c r="I152" s="17" t="s">
        <v>8</v>
      </c>
      <c r="J152" s="19" t="s">
        <v>9</v>
      </c>
      <c r="K152" s="20" t="s">
        <v>145</v>
      </c>
      <c r="L152" s="21" t="s">
        <v>146</v>
      </c>
      <c r="M152" s="64"/>
      <c r="N152" s="65"/>
      <c r="O152" s="64"/>
      <c r="P152" s="65"/>
      <c r="Q152" s="3"/>
      <c r="R152" s="3"/>
      <c r="S152" s="3"/>
      <c r="T152" s="3"/>
      <c r="U152" s="3"/>
      <c r="W152"/>
    </row>
    <row r="153" spans="1:27" ht="15" customHeight="1" x14ac:dyDescent="0.25">
      <c r="A153" s="495" t="s">
        <v>134</v>
      </c>
      <c r="B153" s="281" t="s">
        <v>135</v>
      </c>
      <c r="C153" s="29">
        <f>'Water and Burning'!C126</f>
        <v>3.9607999999999999</v>
      </c>
      <c r="D153" s="29">
        <f>'Water and Burning'!D126</f>
        <v>3.1819000000000002</v>
      </c>
      <c r="E153" s="29">
        <f>'Water and Burning'!E126</f>
        <v>19.665219147646933</v>
      </c>
      <c r="F153" s="29">
        <f>'Water and Burning'!F126</f>
        <v>2.9723999999999999</v>
      </c>
      <c r="G153" s="29">
        <f>'Water and Burning'!G126</f>
        <v>6.5841164084352188</v>
      </c>
      <c r="H153" s="427">
        <f>'Water and Burning'!H126</f>
        <v>3.9011</v>
      </c>
      <c r="I153" s="24">
        <f>'Water and Burning'!I126</f>
        <v>3.0535999999999999</v>
      </c>
      <c r="J153" s="24">
        <f>'Water and Burning'!J126</f>
        <v>21.724641767706547</v>
      </c>
      <c r="K153" s="24">
        <f>'Water and Burning'!K126</f>
        <v>2.8437999999999999</v>
      </c>
      <c r="L153" s="428">
        <f>'Water and Burning'!L126</f>
        <v>6.8705789887346089</v>
      </c>
      <c r="M153" s="68"/>
      <c r="N153" s="69"/>
      <c r="O153" s="68"/>
      <c r="P153" s="69"/>
      <c r="Q153" s="3"/>
      <c r="R153" s="3"/>
      <c r="S153" s="3"/>
      <c r="T153" s="3"/>
      <c r="U153" s="3"/>
      <c r="W153"/>
    </row>
    <row r="154" spans="1:27" ht="15" customHeight="1" x14ac:dyDescent="0.25">
      <c r="A154" s="496"/>
      <c r="B154" s="282" t="s">
        <v>136</v>
      </c>
      <c r="C154" s="28">
        <f>'Water and Burning'!C127</f>
        <v>3.9998</v>
      </c>
      <c r="D154" s="28">
        <f>'Water and Burning'!D127</f>
        <v>3.1956000000000002</v>
      </c>
      <c r="E154" s="28">
        <f>'Water and Burning'!E127</f>
        <v>20.106005300265011</v>
      </c>
      <c r="F154" s="28">
        <f>'Water and Burning'!F127</f>
        <v>2.984</v>
      </c>
      <c r="G154" s="28">
        <f>'Water and Burning'!G127</f>
        <v>6.6216047064714054</v>
      </c>
      <c r="H154" s="429">
        <f>'Water and Burning'!H127</f>
        <v>4.1044999999999998</v>
      </c>
      <c r="I154" s="28">
        <f>'Water and Burning'!I127</f>
        <v>3.2132999999999998</v>
      </c>
      <c r="J154" s="28">
        <f>'Water and Burning'!J127</f>
        <v>21.712754294067487</v>
      </c>
      <c r="K154" s="28">
        <f>'Water and Burning'!K127</f>
        <v>2.9908999999999999</v>
      </c>
      <c r="L154" s="430">
        <f>'Water and Burning'!L127</f>
        <v>6.9212336227554214</v>
      </c>
      <c r="M154" s="68"/>
      <c r="N154" s="69"/>
      <c r="O154" s="68"/>
      <c r="P154" s="69"/>
      <c r="Q154" s="3"/>
      <c r="R154" s="3"/>
      <c r="S154" s="3"/>
      <c r="T154" s="3"/>
      <c r="U154" s="3"/>
      <c r="W154"/>
    </row>
    <row r="155" spans="1:27" ht="15" customHeight="1" x14ac:dyDescent="0.25">
      <c r="A155" s="496"/>
      <c r="B155" s="282" t="s">
        <v>137</v>
      </c>
      <c r="C155" s="28">
        <f>'Water and Burning'!C128</f>
        <v>4.0388000000000002</v>
      </c>
      <c r="D155" s="28">
        <f>'Water and Burning'!D128</f>
        <v>3.2275999999999998</v>
      </c>
      <c r="E155" s="28">
        <f>'Water and Burning'!E128</f>
        <v>20.085173814004168</v>
      </c>
      <c r="F155" s="28">
        <f>'Water and Burning'!F128</f>
        <v>3.0127999999999999</v>
      </c>
      <c r="G155" s="28">
        <f>'Water and Burning'!G128</f>
        <v>6.6550997645309184</v>
      </c>
      <c r="H155" s="429">
        <f>'Water and Burning'!H128</f>
        <v>4.0654000000000003</v>
      </c>
      <c r="I155" s="28">
        <f>'Water and Burning'!I128</f>
        <v>3.1635</v>
      </c>
      <c r="J155" s="28">
        <f>'Water and Burning'!J128</f>
        <v>22.184778865548292</v>
      </c>
      <c r="K155" s="28">
        <f>'Water and Burning'!K128</f>
        <v>2.9466999999999999</v>
      </c>
      <c r="L155" s="430">
        <f>'Water and Burning'!L128</f>
        <v>6.8531689584321196</v>
      </c>
      <c r="M155" s="68"/>
      <c r="N155" s="69"/>
      <c r="O155" s="68"/>
      <c r="P155" s="69"/>
      <c r="Q155" s="3"/>
      <c r="R155" s="3"/>
      <c r="S155" s="3"/>
      <c r="T155" s="3"/>
      <c r="U155" s="3"/>
      <c r="W155"/>
    </row>
    <row r="156" spans="1:27" ht="15" customHeight="1" x14ac:dyDescent="0.25">
      <c r="A156" s="496"/>
      <c r="B156" s="282" t="s">
        <v>138</v>
      </c>
      <c r="C156" s="28">
        <f>'Water and Burning'!C129</f>
        <v>3.9550999999999998</v>
      </c>
      <c r="D156" s="28">
        <f>'Water and Burning'!D129</f>
        <v>3.1573000000000002</v>
      </c>
      <c r="E156" s="28">
        <f>'Water and Burning'!E129</f>
        <v>20.171424237061</v>
      </c>
      <c r="F156" s="28">
        <f>'Water and Burning'!F129</f>
        <v>2.9493999999999998</v>
      </c>
      <c r="G156" s="28">
        <f>'Water and Burning'!G129</f>
        <v>6.5847401260570866</v>
      </c>
      <c r="H156" s="429">
        <f>'Water and Burning'!H129</f>
        <v>3.9668999999999999</v>
      </c>
      <c r="I156" s="28">
        <f>'Water and Burning'!I129</f>
        <v>3.0920999999999998</v>
      </c>
      <c r="J156" s="28">
        <f>'Water and Burning'!J129</f>
        <v>22.05248430764577</v>
      </c>
      <c r="K156" s="28">
        <f>'Water and Burning'!K129</f>
        <v>2.8801000000000001</v>
      </c>
      <c r="L156" s="430">
        <f>'Water and Burning'!L129</f>
        <v>6.8561818828627716</v>
      </c>
      <c r="M156" s="68"/>
      <c r="N156" s="69"/>
      <c r="O156" s="68"/>
      <c r="P156" s="69"/>
      <c r="Q156" s="3"/>
      <c r="R156" s="3"/>
      <c r="S156" s="3"/>
      <c r="T156" s="3"/>
      <c r="U156" s="3"/>
      <c r="W156"/>
    </row>
    <row r="157" spans="1:27" ht="15" customHeight="1" x14ac:dyDescent="0.25">
      <c r="A157" s="496"/>
      <c r="B157" s="282" t="s">
        <v>139</v>
      </c>
      <c r="C157" s="28">
        <f>'Water and Burning'!C130</f>
        <v>4.0781999999999998</v>
      </c>
      <c r="D157" s="28">
        <f>'Water and Burning'!D130</f>
        <v>3.2561</v>
      </c>
      <c r="E157" s="28">
        <f>'Water and Burning'!E130</f>
        <v>20.158403217105583</v>
      </c>
      <c r="F157" s="28">
        <f>'Water and Burning'!F130</f>
        <v>3.0411999999999999</v>
      </c>
      <c r="G157" s="28">
        <f>'Water and Burning'!G130</f>
        <v>6.5999201498725499</v>
      </c>
      <c r="H157" s="429">
        <f>'Water and Burning'!H130</f>
        <v>3.9733999999999998</v>
      </c>
      <c r="I157" s="28">
        <f>'Water and Burning'!I130</f>
        <v>3.1097999999999999</v>
      </c>
      <c r="J157" s="28">
        <f>'Water and Burning'!J130</f>
        <v>21.734534655458802</v>
      </c>
      <c r="K157" s="28">
        <f>'Water and Burning'!K130</f>
        <v>2.8938999999999999</v>
      </c>
      <c r="L157" s="430">
        <f>'Water and Burning'!L130</f>
        <v>6.942568653932728</v>
      </c>
      <c r="M157" s="68"/>
      <c r="N157" s="69"/>
      <c r="O157" s="68"/>
      <c r="P157" s="69"/>
      <c r="Q157" s="3"/>
      <c r="R157" s="3"/>
      <c r="S157" s="3"/>
      <c r="T157" s="3"/>
      <c r="U157" s="3"/>
      <c r="W157"/>
    </row>
    <row r="158" spans="1:27" ht="15" customHeight="1" x14ac:dyDescent="0.25">
      <c r="A158" s="496"/>
      <c r="B158" s="282" t="s">
        <v>140</v>
      </c>
      <c r="C158" s="28">
        <f>'Water and Burning'!C131</f>
        <v>3.9346000000000001</v>
      </c>
      <c r="D158" s="28">
        <f>'Water and Burning'!D131</f>
        <v>3.1446000000000001</v>
      </c>
      <c r="E158" s="28">
        <f>'Water and Burning'!E131</f>
        <v>20.078279875972143</v>
      </c>
      <c r="F158" s="28">
        <f>'Water and Burning'!F131</f>
        <v>2.9361999999999999</v>
      </c>
      <c r="G158" s="28">
        <f>'Water and Burning'!G131</f>
        <v>6.6272339884246048</v>
      </c>
      <c r="H158" s="429">
        <f>'Water and Burning'!H131</f>
        <v>4.0365000000000002</v>
      </c>
      <c r="I158" s="28">
        <f>'Water and Burning'!I131</f>
        <v>3.1476000000000002</v>
      </c>
      <c r="J158" s="28">
        <f>'Water and Burning'!J131</f>
        <v>22.021553325901152</v>
      </c>
      <c r="K158" s="28">
        <f>'Water and Burning'!K131</f>
        <v>2.9323000000000001</v>
      </c>
      <c r="L158" s="430">
        <f>'Water and Burning'!L131</f>
        <v>6.8401321641885895</v>
      </c>
      <c r="M158" s="68"/>
      <c r="N158" s="69"/>
      <c r="O158" s="68"/>
      <c r="P158" s="69"/>
      <c r="Q158" s="3"/>
      <c r="R158" s="3"/>
      <c r="S158" s="3"/>
      <c r="T158" s="3"/>
      <c r="U158" s="3"/>
      <c r="W158"/>
    </row>
    <row r="159" spans="1:27" ht="15.75" customHeight="1" thickBot="1" x14ac:dyDescent="0.3">
      <c r="A159" s="497"/>
      <c r="B159" s="283" t="s">
        <v>141</v>
      </c>
      <c r="C159" s="28">
        <f>'Water and Burning'!C132</f>
        <v>4.0136000000000003</v>
      </c>
      <c r="D159" s="28">
        <f>'Water and Burning'!D132</f>
        <v>3.2098</v>
      </c>
      <c r="E159" s="28">
        <f>'Water and Burning'!E132</f>
        <v>20.026908511062395</v>
      </c>
      <c r="F159" s="28">
        <f>'Water and Burning'!F132</f>
        <v>2.9956999999999998</v>
      </c>
      <c r="G159" s="28">
        <f>'Water and Burning'!G132</f>
        <v>6.6701975200947157</v>
      </c>
      <c r="H159" s="431">
        <f>'Water and Burning'!H132</f>
        <v>3.9348999999999998</v>
      </c>
      <c r="I159" s="60">
        <f>'Water and Burning'!I132</f>
        <v>3.0716999999999999</v>
      </c>
      <c r="J159" s="60">
        <f>'Water and Burning'!J132</f>
        <v>21.93702508322956</v>
      </c>
      <c r="K159" s="60">
        <f>'Water and Burning'!K132</f>
        <v>2.8611</v>
      </c>
      <c r="L159" s="432">
        <f>'Water and Burning'!L132</f>
        <v>6.8561382947553442</v>
      </c>
      <c r="M159" s="68"/>
      <c r="N159" s="69"/>
      <c r="O159" s="68"/>
      <c r="P159" s="69"/>
      <c r="Q159" s="3"/>
      <c r="R159" s="3"/>
      <c r="S159" s="3"/>
      <c r="T159" s="3"/>
      <c r="U159" s="3"/>
      <c r="W159"/>
    </row>
    <row r="160" spans="1:27" ht="15.75" customHeight="1" x14ac:dyDescent="0.25">
      <c r="A160" s="266" t="s">
        <v>161</v>
      </c>
      <c r="B160" s="415"/>
      <c r="C160" s="191">
        <f t="shared" ref="C160:L160" si="32">AVERAGE(C153:C159)</f>
        <v>3.9972714285714281</v>
      </c>
      <c r="D160" s="62">
        <f t="shared" si="32"/>
        <v>3.1961285714285714</v>
      </c>
      <c r="E160" s="62">
        <f t="shared" si="32"/>
        <v>20.041630586159606</v>
      </c>
      <c r="F160" s="62">
        <f t="shared" si="32"/>
        <v>2.9845285714285716</v>
      </c>
      <c r="G160" s="163">
        <f t="shared" si="32"/>
        <v>6.6204160948409285</v>
      </c>
      <c r="H160" s="191">
        <f t="shared" si="32"/>
        <v>3.9975285714285711</v>
      </c>
      <c r="I160" s="62">
        <f t="shared" si="32"/>
        <v>3.1216571428571425</v>
      </c>
      <c r="J160" s="62">
        <f t="shared" si="32"/>
        <v>21.90968175707966</v>
      </c>
      <c r="K160" s="62">
        <f t="shared" si="32"/>
        <v>2.9069714285714285</v>
      </c>
      <c r="L160" s="163">
        <f t="shared" si="32"/>
        <v>6.8771432236659402</v>
      </c>
      <c r="W160" s="3"/>
      <c r="X160" s="3"/>
      <c r="Y160" s="3"/>
      <c r="Z160" s="3"/>
      <c r="AA160" s="3"/>
    </row>
    <row r="161" spans="1:27" ht="15.75" customHeight="1" thickBot="1" x14ac:dyDescent="0.3">
      <c r="A161" s="268" t="s">
        <v>162</v>
      </c>
      <c r="B161" s="414"/>
      <c r="C161" s="193">
        <f t="shared" ref="C161:L161" si="33">STDEV(C153:C159)</f>
        <v>5.0963016468994926E-2</v>
      </c>
      <c r="D161" s="59">
        <f t="shared" si="33"/>
        <v>3.9028865996238914E-2</v>
      </c>
      <c r="E161" s="59">
        <f t="shared" si="33"/>
        <v>0.17309334506836921</v>
      </c>
      <c r="F161" s="59">
        <f t="shared" si="33"/>
        <v>3.617728174263117E-2</v>
      </c>
      <c r="G161" s="165">
        <f t="shared" si="33"/>
        <v>3.3515094748372942E-2</v>
      </c>
      <c r="H161" s="193">
        <f t="shared" si="33"/>
        <v>7.3381757821357696E-2</v>
      </c>
      <c r="I161" s="59">
        <f t="shared" si="33"/>
        <v>5.6219772830765333E-2</v>
      </c>
      <c r="J161" s="59">
        <f t="shared" si="33"/>
        <v>0.18842798071292829</v>
      </c>
      <c r="K161" s="59">
        <f t="shared" si="33"/>
        <v>5.204429889641176E-2</v>
      </c>
      <c r="L161" s="165">
        <f t="shared" si="33"/>
        <v>3.8928798597869886E-2</v>
      </c>
      <c r="W161" s="3"/>
      <c r="X161" s="3"/>
      <c r="Y161" s="3"/>
      <c r="Z161" s="3"/>
      <c r="AA161" s="3"/>
    </row>
    <row r="162" spans="1:27" ht="15" customHeight="1" x14ac:dyDescent="0.25">
      <c r="A162" s="498" t="s">
        <v>20</v>
      </c>
      <c r="B162" s="284" t="s">
        <v>135</v>
      </c>
      <c r="C162" s="29">
        <f>'Water and Burning'!C133</f>
        <v>3.8816000000000002</v>
      </c>
      <c r="D162" s="29">
        <f>'Water and Burning'!D133</f>
        <v>3.0891000000000002</v>
      </c>
      <c r="E162" s="29">
        <f>'Water and Burning'!E133</f>
        <v>20.416838417147567</v>
      </c>
      <c r="F162" s="29">
        <f>'Water and Burning'!F133</f>
        <v>2.9914000000000001</v>
      </c>
      <c r="G162" s="29">
        <f>'Water and Burning'!G133</f>
        <v>3.1627334822440227</v>
      </c>
      <c r="H162" s="427">
        <f>'Water and Burning'!H133</f>
        <v>4.1071999999999997</v>
      </c>
      <c r="I162" s="24">
        <f>'Water and Burning'!I133</f>
        <v>3.2370000000000001</v>
      </c>
      <c r="J162" s="24">
        <f>'Water and Burning'!J133</f>
        <v>21.187183482664583</v>
      </c>
      <c r="K162" s="24">
        <f>'Water and Burning'!K133</f>
        <v>3.1297000000000001</v>
      </c>
      <c r="L162" s="428">
        <f>'Water and Burning'!L133</f>
        <v>3.3147976521470479</v>
      </c>
      <c r="M162" s="68"/>
      <c r="N162" s="69"/>
      <c r="O162" s="68"/>
      <c r="P162" s="69"/>
      <c r="Q162" s="3"/>
      <c r="R162" s="3"/>
      <c r="S162" s="3"/>
      <c r="T162" s="3"/>
      <c r="U162" s="3"/>
      <c r="W162"/>
    </row>
    <row r="163" spans="1:27" ht="15" customHeight="1" x14ac:dyDescent="0.25">
      <c r="A163" s="498"/>
      <c r="B163" s="285" t="s">
        <v>136</v>
      </c>
      <c r="C163" s="28">
        <f>'Water and Burning'!C134</f>
        <v>4.0568999999999997</v>
      </c>
      <c r="D163" s="28">
        <f>'Water and Burning'!D134</f>
        <v>3.2126999999999999</v>
      </c>
      <c r="E163" s="28">
        <f>'Water and Burning'!E134</f>
        <v>20.808992087554536</v>
      </c>
      <c r="F163" s="28">
        <f>'Water and Burning'!F134</f>
        <v>3.1103000000000001</v>
      </c>
      <c r="G163" s="28">
        <f>'Water and Burning'!G134</f>
        <v>3.1873502038783523</v>
      </c>
      <c r="H163" s="429">
        <f>'Water and Burning'!H134</f>
        <v>4.1123000000000003</v>
      </c>
      <c r="I163" s="28">
        <f>'Water and Burning'!I134</f>
        <v>3.2322000000000002</v>
      </c>
      <c r="J163" s="28">
        <f>'Water and Burning'!J134</f>
        <v>21.401648712399389</v>
      </c>
      <c r="K163" s="28">
        <f>'Water and Burning'!K134</f>
        <v>3.1261999999999999</v>
      </c>
      <c r="L163" s="430">
        <f>'Water and Burning'!L134</f>
        <v>3.279500030938689</v>
      </c>
      <c r="M163" s="68"/>
      <c r="N163" s="69"/>
      <c r="O163" s="68"/>
      <c r="P163" s="69"/>
      <c r="Q163" s="3"/>
      <c r="R163" s="3"/>
      <c r="S163" s="3"/>
      <c r="T163" s="3"/>
      <c r="U163" s="3"/>
      <c r="W163"/>
    </row>
    <row r="164" spans="1:27" ht="15" customHeight="1" x14ac:dyDescent="0.25">
      <c r="A164" s="498"/>
      <c r="B164" s="285" t="s">
        <v>137</v>
      </c>
      <c r="C164" s="28">
        <f>'Water and Burning'!C135</f>
        <v>3.9150999999999998</v>
      </c>
      <c r="D164" s="28">
        <f>'Water and Burning'!D135</f>
        <v>3.1071</v>
      </c>
      <c r="E164" s="28">
        <f>'Water and Burning'!E135</f>
        <v>20.638042451022958</v>
      </c>
      <c r="F164" s="28">
        <f>'Water and Burning'!F135</f>
        <v>3.0082</v>
      </c>
      <c r="G164" s="28">
        <f>'Water and Burning'!G135</f>
        <v>3.1830324096424314</v>
      </c>
      <c r="H164" s="429">
        <f>'Water and Burning'!H135</f>
        <v>3.9297</v>
      </c>
      <c r="I164" s="28">
        <f>'Water and Burning'!I135</f>
        <v>3.0891000000000002</v>
      </c>
      <c r="J164" s="28">
        <f>'Water and Burning'!J135</f>
        <v>21.390945873730814</v>
      </c>
      <c r="K164" s="28">
        <f>'Water and Burning'!K135</f>
        <v>2.9861</v>
      </c>
      <c r="L164" s="430">
        <f>'Water and Burning'!L135</f>
        <v>3.3343044899809069</v>
      </c>
      <c r="M164" s="68"/>
      <c r="N164" s="69"/>
      <c r="O164" s="68"/>
      <c r="P164" s="69"/>
      <c r="Q164" s="3"/>
      <c r="R164" s="3"/>
      <c r="S164" s="3"/>
      <c r="T164" s="3"/>
      <c r="U164" s="3"/>
      <c r="W164"/>
    </row>
    <row r="165" spans="1:27" ht="15" customHeight="1" x14ac:dyDescent="0.25">
      <c r="A165" s="498"/>
      <c r="B165" s="285" t="s">
        <v>138</v>
      </c>
      <c r="C165" s="28">
        <f>'Water and Burning'!C136</f>
        <v>4.0749000000000004</v>
      </c>
      <c r="D165" s="28">
        <f>'Water and Burning'!D136</f>
        <v>3.2229999999999999</v>
      </c>
      <c r="E165" s="28">
        <f>'Water and Burning'!E136</f>
        <v>20.906034503914217</v>
      </c>
      <c r="F165" s="28">
        <f>'Water and Burning'!F136</f>
        <v>3.1202999999999999</v>
      </c>
      <c r="G165" s="28">
        <f>'Water and Burning'!G136</f>
        <v>3.186472230840832</v>
      </c>
      <c r="H165" s="429">
        <f>'Water and Burning'!H136</f>
        <v>3.9712000000000001</v>
      </c>
      <c r="I165" s="28">
        <f>'Water and Burning'!I136</f>
        <v>3.1259000000000001</v>
      </c>
      <c r="J165" s="28">
        <f>'Water and Burning'!J136</f>
        <v>21.285757453666395</v>
      </c>
      <c r="K165" s="28">
        <f>'Water and Burning'!K136</f>
        <v>3.0236000000000001</v>
      </c>
      <c r="L165" s="430">
        <f>'Water and Burning'!L136</f>
        <v>3.2726574746473029</v>
      </c>
      <c r="M165" s="68"/>
      <c r="N165" s="69"/>
      <c r="O165" s="68"/>
      <c r="P165" s="69"/>
      <c r="Q165" s="3"/>
      <c r="R165" s="3"/>
      <c r="S165" s="3"/>
      <c r="T165" s="3"/>
      <c r="U165" s="3"/>
      <c r="W165"/>
    </row>
    <row r="166" spans="1:27" ht="15" customHeight="1" x14ac:dyDescent="0.25">
      <c r="A166" s="498"/>
      <c r="B166" s="285" t="s">
        <v>139</v>
      </c>
      <c r="C166" s="28">
        <f>'Water and Burning'!C137</f>
        <v>4.0532000000000004</v>
      </c>
      <c r="D166" s="28">
        <f>'Water and Burning'!D137</f>
        <v>3.2178</v>
      </c>
      <c r="E166" s="28">
        <f>'Water and Burning'!E137</f>
        <v>20.610875357742039</v>
      </c>
      <c r="F166" s="28">
        <f>'Water and Burning'!F137</f>
        <v>3.1154999999999999</v>
      </c>
      <c r="G166" s="28">
        <f>'Water and Burning'!G137</f>
        <v>3.1791907514450886</v>
      </c>
      <c r="H166" s="429">
        <f>'Water and Burning'!H137</f>
        <v>4.0326000000000004</v>
      </c>
      <c r="I166" s="28">
        <f>'Water and Burning'!I137</f>
        <v>3.1734</v>
      </c>
      <c r="J166" s="28">
        <f>'Water and Burning'!J137</f>
        <v>21.306353221246844</v>
      </c>
      <c r="K166" s="28">
        <f>'Water and Burning'!K137</f>
        <v>3.0678999999999998</v>
      </c>
      <c r="L166" s="430">
        <f>'Water and Burning'!L137</f>
        <v>3.3245099892859438</v>
      </c>
      <c r="M166" s="68"/>
      <c r="N166" s="69"/>
      <c r="O166" s="68"/>
      <c r="P166" s="69"/>
      <c r="Q166" s="3"/>
      <c r="R166" s="3"/>
      <c r="S166" s="3"/>
      <c r="T166" s="3"/>
      <c r="U166" s="3"/>
      <c r="W166"/>
    </row>
    <row r="167" spans="1:27" ht="15" customHeight="1" x14ac:dyDescent="0.25">
      <c r="A167" s="498"/>
      <c r="B167" s="285" t="s">
        <v>140</v>
      </c>
      <c r="C167" s="28">
        <f>'Water and Burning'!C138</f>
        <v>4.0258000000000003</v>
      </c>
      <c r="D167" s="28">
        <f>'Water and Burning'!D138</f>
        <v>3.1951000000000001</v>
      </c>
      <c r="E167" s="28">
        <f>'Water and Burning'!E138</f>
        <v>20.634408067961651</v>
      </c>
      <c r="F167" s="28">
        <f>'Water and Burning'!F138</f>
        <v>3.0924999999999998</v>
      </c>
      <c r="G167" s="28">
        <f>'Water and Burning'!G138</f>
        <v>3.2111670996213029</v>
      </c>
      <c r="H167" s="429">
        <f>'Water and Burning'!H138</f>
        <v>3.9860000000000002</v>
      </c>
      <c r="I167" s="28">
        <f>'Water and Burning'!I138</f>
        <v>3.1358999999999999</v>
      </c>
      <c r="J167" s="28">
        <f>'Water and Burning'!J138</f>
        <v>21.327145007526347</v>
      </c>
      <c r="K167" s="28">
        <f>'Water and Burning'!K138</f>
        <v>3.0316000000000001</v>
      </c>
      <c r="L167" s="430">
        <f>'Water and Burning'!L138</f>
        <v>3.325998915781748</v>
      </c>
      <c r="M167" s="68"/>
      <c r="N167" s="69"/>
      <c r="O167" s="68"/>
      <c r="P167" s="69"/>
      <c r="Q167" s="3"/>
      <c r="R167" s="3"/>
      <c r="S167" s="3"/>
      <c r="T167" s="3"/>
      <c r="U167" s="3"/>
      <c r="W167"/>
    </row>
    <row r="168" spans="1:27" ht="15.75" customHeight="1" thickBot="1" x14ac:dyDescent="0.3">
      <c r="A168" s="499"/>
      <c r="B168" s="286" t="s">
        <v>141</v>
      </c>
      <c r="C168" s="28">
        <f>'Water and Burning'!C139</f>
        <v>4.0107999999999997</v>
      </c>
      <c r="D168" s="28">
        <f>'Water and Burning'!D139</f>
        <v>3.1945999999999999</v>
      </c>
      <c r="E168" s="28">
        <f>'Water and Burning'!E139</f>
        <v>20.35005485189987</v>
      </c>
      <c r="F168" s="28">
        <f>'Water and Burning'!F139</f>
        <v>3.0912999999999999</v>
      </c>
      <c r="G168" s="28">
        <f>'Water and Burning'!G139</f>
        <v>3.233581669066548</v>
      </c>
      <c r="H168" s="431">
        <f>'Water and Burning'!H139</f>
        <v>3.9901</v>
      </c>
      <c r="I168" s="60">
        <f>'Water and Burning'!I139</f>
        <v>3.1395</v>
      </c>
      <c r="J168" s="60">
        <f>'Water and Burning'!J139</f>
        <v>21.317761459612541</v>
      </c>
      <c r="K168" s="60">
        <f>'Water and Burning'!K139</f>
        <v>3.0354999999999999</v>
      </c>
      <c r="L168" s="432">
        <f>'Water and Burning'!L139</f>
        <v>3.3126293995859242</v>
      </c>
      <c r="M168" s="68"/>
      <c r="N168" s="69"/>
      <c r="O168" s="68"/>
      <c r="P168" s="69"/>
      <c r="Q168" s="3"/>
      <c r="R168" s="3"/>
      <c r="S168" s="3"/>
      <c r="T168" s="3"/>
      <c r="U168" s="3"/>
      <c r="W168"/>
    </row>
    <row r="169" spans="1:27" ht="15.75" customHeight="1" x14ac:dyDescent="0.25">
      <c r="A169" s="270" t="s">
        <v>161</v>
      </c>
      <c r="B169" s="415"/>
      <c r="C169" s="191">
        <f t="shared" ref="C169:L169" si="34">AVERAGE(C162:C168)</f>
        <v>4.0026142857142855</v>
      </c>
      <c r="D169" s="62">
        <f t="shared" si="34"/>
        <v>3.177057142857143</v>
      </c>
      <c r="E169" s="62">
        <f t="shared" si="34"/>
        <v>20.623606533891834</v>
      </c>
      <c r="F169" s="62">
        <f t="shared" si="34"/>
        <v>3.0756428571428573</v>
      </c>
      <c r="G169" s="163">
        <f t="shared" si="34"/>
        <v>3.1919325495340827</v>
      </c>
      <c r="H169" s="191">
        <f t="shared" si="34"/>
        <v>4.0184428571428574</v>
      </c>
      <c r="I169" s="62">
        <f t="shared" si="34"/>
        <v>3.1618571428571434</v>
      </c>
      <c r="J169" s="62">
        <f t="shared" si="34"/>
        <v>21.31668503012099</v>
      </c>
      <c r="K169" s="62">
        <f t="shared" si="34"/>
        <v>3.0572285714285714</v>
      </c>
      <c r="L169" s="163">
        <f t="shared" si="34"/>
        <v>3.3091997074810804</v>
      </c>
      <c r="W169" s="3"/>
      <c r="X169" s="3"/>
      <c r="Y169" s="3"/>
      <c r="Z169" s="3"/>
      <c r="AA169" s="3"/>
    </row>
    <row r="170" spans="1:27" ht="15.75" customHeight="1" thickBot="1" x14ac:dyDescent="0.3">
      <c r="A170" s="273" t="s">
        <v>162</v>
      </c>
      <c r="B170" s="414"/>
      <c r="C170" s="193">
        <f t="shared" ref="C170:L170" si="35">STDEV(C162:C168)</f>
        <v>7.4876418819532956E-2</v>
      </c>
      <c r="D170" s="59">
        <f t="shared" si="35"/>
        <v>5.5234194033009859E-2</v>
      </c>
      <c r="E170" s="59">
        <f t="shared" si="35"/>
        <v>0.19672488838825553</v>
      </c>
      <c r="F170" s="59">
        <f t="shared" si="35"/>
        <v>5.316433193858628E-2</v>
      </c>
      <c r="G170" s="165">
        <f t="shared" si="35"/>
        <v>2.3272234837780851E-2</v>
      </c>
      <c r="H170" s="193">
        <f t="shared" si="35"/>
        <v>6.9342696254252503E-2</v>
      </c>
      <c r="I170" s="59">
        <f t="shared" si="35"/>
        <v>5.5509664538194239E-2</v>
      </c>
      <c r="J170" s="59">
        <f t="shared" si="35"/>
        <v>7.1505223680149263E-2</v>
      </c>
      <c r="K170" s="59">
        <f t="shared" si="35"/>
        <v>5.3916840729828698E-2</v>
      </c>
      <c r="L170" s="165">
        <f t="shared" si="35"/>
        <v>2.3830560115305308E-2</v>
      </c>
      <c r="W170" s="3"/>
      <c r="X170" s="3"/>
      <c r="Y170" s="3"/>
      <c r="Z170" s="3"/>
      <c r="AA170" s="3"/>
    </row>
    <row r="171" spans="1:27" ht="16.5" thickBot="1" x14ac:dyDescent="0.3">
      <c r="A171" s="15" t="s">
        <v>2</v>
      </c>
      <c r="B171" s="492" t="s">
        <v>159</v>
      </c>
      <c r="C171" s="493"/>
      <c r="D171" s="493"/>
      <c r="E171" s="493"/>
      <c r="F171" s="493"/>
      <c r="G171" s="494"/>
      <c r="H171" s="492" t="s">
        <v>160</v>
      </c>
      <c r="I171" s="493"/>
      <c r="J171" s="493"/>
      <c r="K171" s="493"/>
      <c r="L171" s="494"/>
      <c r="M171" s="3"/>
      <c r="N171" s="3"/>
      <c r="O171" s="3"/>
      <c r="P171" s="3"/>
      <c r="Q171" s="3"/>
      <c r="R171" s="3"/>
      <c r="S171" s="3"/>
      <c r="T171" s="3"/>
      <c r="U171" s="3"/>
      <c r="W171"/>
    </row>
    <row r="172" spans="1:27" ht="15.75" customHeight="1" thickBot="1" x14ac:dyDescent="0.3">
      <c r="A172" s="16"/>
      <c r="B172" s="18" t="s">
        <v>6</v>
      </c>
      <c r="C172" s="17" t="s">
        <v>7</v>
      </c>
      <c r="D172" s="17" t="s">
        <v>8</v>
      </c>
      <c r="E172" s="136" t="s">
        <v>9</v>
      </c>
      <c r="F172" s="20" t="s">
        <v>10</v>
      </c>
      <c r="G172" s="21" t="s">
        <v>11</v>
      </c>
      <c r="H172" s="274" t="s">
        <v>7</v>
      </c>
      <c r="I172" s="17" t="s">
        <v>8</v>
      </c>
      <c r="J172" s="19" t="s">
        <v>9</v>
      </c>
      <c r="K172" s="20" t="s">
        <v>10</v>
      </c>
      <c r="L172" s="21" t="s">
        <v>11</v>
      </c>
      <c r="M172" s="64"/>
      <c r="N172" s="65"/>
      <c r="O172" s="64"/>
      <c r="P172" s="65"/>
      <c r="Q172" s="3"/>
      <c r="R172" s="3"/>
      <c r="S172" s="3"/>
      <c r="T172" s="3"/>
      <c r="U172" s="3"/>
      <c r="W172"/>
    </row>
    <row r="173" spans="1:27" ht="15" customHeight="1" x14ac:dyDescent="0.25">
      <c r="A173" s="495" t="s">
        <v>134</v>
      </c>
      <c r="B173" s="281" t="s">
        <v>135</v>
      </c>
      <c r="C173" s="29">
        <f>'Water and Burning'!C142</f>
        <v>3.9529999999999998</v>
      </c>
      <c r="D173" s="29">
        <f>'Water and Burning'!D142</f>
        <v>3.1770999999999998</v>
      </c>
      <c r="E173" s="29">
        <f>'Water and Burning'!E142</f>
        <v>19.62813053377182</v>
      </c>
      <c r="F173" s="29">
        <f>'Water and Burning'!F142</f>
        <v>2.9643000000000002</v>
      </c>
      <c r="G173" s="29">
        <f>'Water and Burning'!G142</f>
        <v>6.6979320764218837</v>
      </c>
      <c r="H173" s="427">
        <f>'Water and Burning'!H142</f>
        <v>4.0109000000000004</v>
      </c>
      <c r="I173" s="24">
        <f>'Water and Burning'!I142</f>
        <v>3.1629999999999998</v>
      </c>
      <c r="J173" s="24">
        <f>'Water and Burning'!J142</f>
        <v>21.139893789423834</v>
      </c>
      <c r="K173" s="24">
        <f>'Water and Burning'!K142</f>
        <v>2.9451000000000001</v>
      </c>
      <c r="L173" s="428">
        <f>'Water and Burning'!L142</f>
        <v>6.8890294024660053</v>
      </c>
      <c r="M173" s="68"/>
      <c r="N173" s="69"/>
      <c r="O173" s="68"/>
      <c r="P173" s="69"/>
      <c r="Q173" s="3"/>
      <c r="R173" s="3"/>
      <c r="S173" s="3"/>
      <c r="T173" s="3"/>
      <c r="U173" s="3"/>
      <c r="W173"/>
    </row>
    <row r="174" spans="1:27" ht="15" customHeight="1" x14ac:dyDescent="0.25">
      <c r="A174" s="496"/>
      <c r="B174" s="282" t="s">
        <v>136</v>
      </c>
      <c r="C174" s="28">
        <f>'Water and Burning'!C143</f>
        <v>3.9361999999999999</v>
      </c>
      <c r="D174" s="28">
        <f>'Water and Burning'!D143</f>
        <v>3.1526999999999998</v>
      </c>
      <c r="E174" s="28">
        <f>'Water and Burning'!E143</f>
        <v>19.904984502819982</v>
      </c>
      <c r="F174" s="28">
        <f>'Water and Burning'!F143</f>
        <v>2.9409000000000001</v>
      </c>
      <c r="G174" s="28">
        <f>'Water and Burning'!G143</f>
        <v>6.7180511942144765</v>
      </c>
      <c r="H174" s="429">
        <f>'Water and Burning'!H143</f>
        <v>4.0702999999999996</v>
      </c>
      <c r="I174" s="28">
        <f>'Water and Burning'!I143</f>
        <v>3.1955</v>
      </c>
      <c r="J174" s="28">
        <f>'Water and Burning'!J143</f>
        <v>21.49227329680858</v>
      </c>
      <c r="K174" s="28">
        <f>'Water and Burning'!K143</f>
        <v>2.9775999999999998</v>
      </c>
      <c r="L174" s="430">
        <f>'Water and Burning'!L143</f>
        <v>6.8189641683617657</v>
      </c>
      <c r="M174" s="68"/>
      <c r="N174" s="69"/>
      <c r="O174" s="68"/>
      <c r="P174" s="69"/>
      <c r="Q174" s="3"/>
      <c r="R174" s="3"/>
      <c r="S174" s="3"/>
      <c r="T174" s="3"/>
      <c r="U174" s="3"/>
      <c r="W174"/>
    </row>
    <row r="175" spans="1:27" ht="15" customHeight="1" x14ac:dyDescent="0.25">
      <c r="A175" s="496"/>
      <c r="B175" s="282" t="s">
        <v>137</v>
      </c>
      <c r="C175" s="28">
        <f>'Water and Burning'!C144</f>
        <v>3.9344000000000001</v>
      </c>
      <c r="D175" s="28">
        <f>'Water and Burning'!D144</f>
        <v>3.1549</v>
      </c>
      <c r="E175" s="28">
        <f>'Water and Burning'!E144</f>
        <v>19.812423749491664</v>
      </c>
      <c r="F175" s="28">
        <f>'Water and Burning'!F144</f>
        <v>2.9445000000000001</v>
      </c>
      <c r="G175" s="28">
        <f>'Water and Burning'!G144</f>
        <v>6.6689910932200682</v>
      </c>
      <c r="H175" s="429">
        <f>'Water and Burning'!H144</f>
        <v>3.9131</v>
      </c>
      <c r="I175" s="28">
        <f>'Water and Burning'!I144</f>
        <v>3.0689000000000002</v>
      </c>
      <c r="J175" s="28">
        <f>'Water and Burning'!J144</f>
        <v>21.573688380056726</v>
      </c>
      <c r="K175" s="28">
        <f>'Water and Burning'!K144</f>
        <v>2.8574999999999999</v>
      </c>
      <c r="L175" s="430">
        <f>'Water and Burning'!L144</f>
        <v>6.8884616637883349</v>
      </c>
      <c r="M175" s="68"/>
      <c r="N175" s="69"/>
      <c r="O175" s="68"/>
      <c r="P175" s="69"/>
      <c r="Q175" s="3"/>
      <c r="R175" s="3"/>
      <c r="S175" s="3"/>
      <c r="T175" s="3"/>
      <c r="U175" s="3"/>
      <c r="W175"/>
    </row>
    <row r="176" spans="1:27" ht="15" customHeight="1" x14ac:dyDescent="0.25">
      <c r="A176" s="496"/>
      <c r="B176" s="282" t="s">
        <v>138</v>
      </c>
      <c r="C176" s="28">
        <f>'Water and Burning'!C145</f>
        <v>3.9537</v>
      </c>
      <c r="D176" s="28">
        <f>'Water and Burning'!D145</f>
        <v>3.1627000000000001</v>
      </c>
      <c r="E176" s="28">
        <f>'Water and Burning'!E145</f>
        <v>20.006576118572475</v>
      </c>
      <c r="F176" s="28">
        <f>'Water and Burning'!F145</f>
        <v>2.9518</v>
      </c>
      <c r="G176" s="28">
        <f>'Water and Burning'!G145</f>
        <v>6.6683529895342613</v>
      </c>
      <c r="H176" s="429">
        <f>'Water and Burning'!H145</f>
        <v>3.9514999999999998</v>
      </c>
      <c r="I176" s="28">
        <f>'Water and Burning'!I145</f>
        <v>3.0971000000000002</v>
      </c>
      <c r="J176" s="28">
        <f>'Water and Burning'!J145</f>
        <v>21.622168796659487</v>
      </c>
      <c r="K176" s="28">
        <f>'Water and Burning'!K145</f>
        <v>2.8834</v>
      </c>
      <c r="L176" s="430">
        <f>'Water and Burning'!L145</f>
        <v>6.9000032288269741</v>
      </c>
      <c r="M176" s="68"/>
      <c r="N176" s="69"/>
      <c r="O176" s="68"/>
      <c r="P176" s="69"/>
      <c r="Q176" s="3"/>
      <c r="R176" s="3"/>
      <c r="S176" s="3"/>
      <c r="T176" s="3"/>
      <c r="U176" s="3"/>
      <c r="W176"/>
    </row>
    <row r="177" spans="1:27" ht="15" customHeight="1" x14ac:dyDescent="0.25">
      <c r="A177" s="496"/>
      <c r="B177" s="282" t="s">
        <v>139</v>
      </c>
      <c r="C177" s="28">
        <f>'Water and Burning'!C146</f>
        <v>3.9085999999999999</v>
      </c>
      <c r="D177" s="28">
        <f>'Water and Burning'!D146</f>
        <v>3.133</v>
      </c>
      <c r="E177" s="28">
        <f>'Water and Burning'!E146</f>
        <v>19.843422197206156</v>
      </c>
      <c r="F177" s="28">
        <f>'Water and Burning'!F146</f>
        <v>2.923</v>
      </c>
      <c r="G177" s="28">
        <f>'Water and Burning'!G146</f>
        <v>6.7028407277369917</v>
      </c>
      <c r="H177" s="429">
        <f>'Water and Burning'!H146</f>
        <v>3.9716</v>
      </c>
      <c r="I177" s="28">
        <f>'Water and Burning'!I146</f>
        <v>3.1191</v>
      </c>
      <c r="J177" s="28">
        <f>'Water and Burning'!J146</f>
        <v>21.464900795649108</v>
      </c>
      <c r="K177" s="28">
        <f>'Water and Burning'!K146</f>
        <v>2.9058999999999999</v>
      </c>
      <c r="L177" s="430">
        <f>'Water and Burning'!L146</f>
        <v>6.8353050559456268</v>
      </c>
      <c r="M177" s="68"/>
      <c r="N177" s="69"/>
      <c r="O177" s="68"/>
      <c r="P177" s="69"/>
      <c r="Q177" s="3"/>
      <c r="R177" s="3"/>
      <c r="S177" s="3"/>
      <c r="T177" s="3"/>
      <c r="U177" s="3"/>
      <c r="W177"/>
    </row>
    <row r="178" spans="1:27" ht="15" customHeight="1" x14ac:dyDescent="0.25">
      <c r="A178" s="496"/>
      <c r="B178" s="282" t="s">
        <v>140</v>
      </c>
      <c r="C178" s="28">
        <f>'Water and Burning'!C147</f>
        <v>4.0269000000000004</v>
      </c>
      <c r="D178" s="28">
        <f>'Water and Burning'!D147</f>
        <v>3.2238000000000002</v>
      </c>
      <c r="E178" s="28">
        <f>'Water and Burning'!E147</f>
        <v>19.943380764359684</v>
      </c>
      <c r="F178" s="28">
        <f>'Water and Burning'!F147</f>
        <v>3.0091000000000001</v>
      </c>
      <c r="G178" s="28">
        <f>'Water and Burning'!G147</f>
        <v>6.659842421986478</v>
      </c>
      <c r="H178" s="429">
        <f>'Water and Burning'!H147</f>
        <v>3.9746999999999999</v>
      </c>
      <c r="I178" s="28">
        <f>'Water and Burning'!I147</f>
        <v>3.1198999999999999</v>
      </c>
      <c r="J178" s="28">
        <f>'Water and Burning'!J147</f>
        <v>21.506025611995874</v>
      </c>
      <c r="K178" s="28">
        <f>'Water and Burning'!K147</f>
        <v>2.9028999999999998</v>
      </c>
      <c r="L178" s="430">
        <f>'Water and Burning'!L147</f>
        <v>6.95535113304914</v>
      </c>
      <c r="M178" s="68"/>
      <c r="N178" s="69"/>
      <c r="O178" s="68"/>
      <c r="P178" s="69"/>
      <c r="Q178" s="3"/>
      <c r="R178" s="3"/>
      <c r="S178" s="3"/>
      <c r="T178" s="3"/>
      <c r="U178" s="3"/>
      <c r="W178"/>
    </row>
    <row r="179" spans="1:27" ht="15.75" customHeight="1" thickBot="1" x14ac:dyDescent="0.3">
      <c r="A179" s="497"/>
      <c r="B179" s="283" t="s">
        <v>141</v>
      </c>
      <c r="C179" s="28">
        <f>'Water and Burning'!C148</f>
        <v>3.8944000000000001</v>
      </c>
      <c r="D179" s="28">
        <f>'Water and Burning'!D148</f>
        <v>3.1341999999999999</v>
      </c>
      <c r="E179" s="28">
        <f>'Water and Burning'!E148</f>
        <v>19.520336894001648</v>
      </c>
      <c r="F179" s="28">
        <f>'Water and Burning'!F148</f>
        <v>2.9236</v>
      </c>
      <c r="G179" s="28">
        <f>'Water and Burning'!G148</f>
        <v>6.7194180333099336</v>
      </c>
      <c r="H179" s="431">
        <f>'Water and Burning'!H148</f>
        <v>4.0087999999999999</v>
      </c>
      <c r="I179" s="60">
        <f>'Water and Burning'!I148</f>
        <v>3.1610999999999998</v>
      </c>
      <c r="J179" s="60">
        <f>'Water and Burning'!J148</f>
        <v>21.145978846537623</v>
      </c>
      <c r="K179" s="60">
        <f>'Water and Burning'!K148</f>
        <v>2.9436</v>
      </c>
      <c r="L179" s="432">
        <f>'Water and Burning'!L148</f>
        <v>6.8805162759798737</v>
      </c>
      <c r="M179" s="68"/>
      <c r="N179" s="69"/>
      <c r="O179" s="68"/>
      <c r="P179" s="69"/>
      <c r="Q179" s="3"/>
      <c r="R179" s="3"/>
      <c r="S179" s="3"/>
      <c r="T179" s="3"/>
      <c r="U179" s="3"/>
      <c r="W179"/>
    </row>
    <row r="180" spans="1:27" ht="15.75" customHeight="1" x14ac:dyDescent="0.25">
      <c r="A180" s="266" t="s">
        <v>161</v>
      </c>
      <c r="B180" s="415"/>
      <c r="C180" s="191">
        <f t="shared" ref="C180:L180" si="36">AVERAGE(C173:C179)</f>
        <v>3.943885714285714</v>
      </c>
      <c r="D180" s="62">
        <f t="shared" si="36"/>
        <v>3.1626285714285713</v>
      </c>
      <c r="E180" s="62">
        <f t="shared" si="36"/>
        <v>19.808464965746204</v>
      </c>
      <c r="F180" s="62">
        <f t="shared" si="36"/>
        <v>2.951028571428572</v>
      </c>
      <c r="G180" s="163">
        <f t="shared" si="36"/>
        <v>6.6907755052034412</v>
      </c>
      <c r="H180" s="191">
        <f t="shared" si="36"/>
        <v>3.9858428571428566</v>
      </c>
      <c r="I180" s="62">
        <f t="shared" si="36"/>
        <v>3.1320857142857146</v>
      </c>
      <c r="J180" s="62">
        <f t="shared" si="36"/>
        <v>21.420704216733032</v>
      </c>
      <c r="K180" s="62">
        <f t="shared" si="36"/>
        <v>2.9165714285714288</v>
      </c>
      <c r="L180" s="163">
        <f t="shared" si="36"/>
        <v>6.8810901326311029</v>
      </c>
      <c r="W180" s="3"/>
      <c r="X180" s="3"/>
      <c r="Y180" s="3"/>
      <c r="Z180" s="3"/>
      <c r="AA180" s="3"/>
    </row>
    <row r="181" spans="1:27" ht="15.75" customHeight="1" thickBot="1" x14ac:dyDescent="0.3">
      <c r="A181" s="268" t="s">
        <v>162</v>
      </c>
      <c r="B181" s="414"/>
      <c r="C181" s="193">
        <f t="shared" ref="C181:L181" si="37">STDEV(C173:C179)</f>
        <v>4.2649205876601877E-2</v>
      </c>
      <c r="D181" s="59">
        <f t="shared" si="37"/>
        <v>3.1079774467527691E-2</v>
      </c>
      <c r="E181" s="59">
        <f t="shared" si="37"/>
        <v>0.1749010652290085</v>
      </c>
      <c r="F181" s="59">
        <f t="shared" si="37"/>
        <v>2.9530081515053704E-2</v>
      </c>
      <c r="G181" s="165">
        <f t="shared" si="37"/>
        <v>2.4817094865737764E-2</v>
      </c>
      <c r="H181" s="193">
        <f t="shared" si="37"/>
        <v>5.0142924297879254E-2</v>
      </c>
      <c r="I181" s="59">
        <f t="shared" si="37"/>
        <v>4.349798572238435E-2</v>
      </c>
      <c r="J181" s="59">
        <f t="shared" si="37"/>
        <v>0.19692463347167269</v>
      </c>
      <c r="K181" s="59">
        <f t="shared" si="37"/>
        <v>4.1149066991679327E-2</v>
      </c>
      <c r="L181" s="165">
        <f t="shared" si="37"/>
        <v>4.4620643322087053E-2</v>
      </c>
      <c r="W181" s="3"/>
      <c r="X181" s="3"/>
      <c r="Y181" s="3"/>
      <c r="Z181" s="3"/>
      <c r="AA181" s="3"/>
    </row>
    <row r="182" spans="1:27" ht="15" customHeight="1" x14ac:dyDescent="0.25">
      <c r="A182" s="498" t="s">
        <v>20</v>
      </c>
      <c r="B182" s="284" t="s">
        <v>135</v>
      </c>
      <c r="C182" s="29">
        <f>'Water and Burning'!C149</f>
        <v>3.9403999999999999</v>
      </c>
      <c r="D182" s="29">
        <f>'Water and Burning'!D149</f>
        <v>3.1389</v>
      </c>
      <c r="E182" s="29">
        <f>'Water and Burning'!E149</f>
        <v>20.340574560958274</v>
      </c>
      <c r="F182" s="29">
        <f>'Water and Burning'!F149</f>
        <v>3.0381999999999998</v>
      </c>
      <c r="G182" s="29">
        <f>'Water and Burning'!G149</f>
        <v>3.2081302367071345</v>
      </c>
      <c r="H182" s="427">
        <f>'Water and Burning'!H149</f>
        <v>3.9487999999999999</v>
      </c>
      <c r="I182" s="24">
        <f>'Water and Burning'!I149</f>
        <v>3.1150000000000002</v>
      </c>
      <c r="J182" s="24">
        <f>'Water and Burning'!J149</f>
        <v>21.115275526742295</v>
      </c>
      <c r="K182" s="24">
        <f>'Water and Burning'!K149</f>
        <v>3.0122</v>
      </c>
      <c r="L182" s="428">
        <f>'Water and Burning'!L149</f>
        <v>3.3001605136436662</v>
      </c>
      <c r="M182" s="68"/>
      <c r="N182" s="69"/>
      <c r="O182" s="68"/>
      <c r="P182" s="69"/>
      <c r="Q182" s="3"/>
      <c r="R182" s="3"/>
      <c r="S182" s="3"/>
      <c r="T182" s="3"/>
      <c r="U182" s="3"/>
      <c r="W182"/>
    </row>
    <row r="183" spans="1:27" ht="15" customHeight="1" x14ac:dyDescent="0.25">
      <c r="A183" s="498"/>
      <c r="B183" s="285" t="s">
        <v>136</v>
      </c>
      <c r="C183" s="28">
        <f>'Water and Burning'!C150</f>
        <v>3.9512999999999998</v>
      </c>
      <c r="D183" s="28">
        <f>'Water and Burning'!D150</f>
        <v>3.1381999999999999</v>
      </c>
      <c r="E183" s="28">
        <f>'Water and Burning'!E150</f>
        <v>20.578037607875888</v>
      </c>
      <c r="F183" s="28">
        <f>'Water and Burning'!F150</f>
        <v>3.0383</v>
      </c>
      <c r="G183" s="28">
        <f>'Water and Burning'!G150</f>
        <v>3.1833535147536764</v>
      </c>
      <c r="H183" s="429">
        <f>'Water and Burning'!H150</f>
        <v>3.9843999999999999</v>
      </c>
      <c r="I183" s="28">
        <f>'Water and Burning'!I150</f>
        <v>3.1482999999999999</v>
      </c>
      <c r="J183" s="28">
        <f>'Water and Burning'!J150</f>
        <v>20.984338921795004</v>
      </c>
      <c r="K183" s="28">
        <f>'Water and Burning'!K150</f>
        <v>3.0451000000000001</v>
      </c>
      <c r="L183" s="430">
        <f>'Water and Burning'!L150</f>
        <v>3.2779595337166003</v>
      </c>
      <c r="M183" s="68"/>
      <c r="N183" s="69"/>
      <c r="O183" s="68"/>
      <c r="P183" s="69"/>
      <c r="Q183" s="3"/>
      <c r="R183" s="3"/>
      <c r="S183" s="3"/>
      <c r="T183" s="3"/>
      <c r="U183" s="3"/>
      <c r="W183"/>
    </row>
    <row r="184" spans="1:27" ht="15" customHeight="1" x14ac:dyDescent="0.25">
      <c r="A184" s="498"/>
      <c r="B184" s="285" t="s">
        <v>137</v>
      </c>
      <c r="C184" s="28">
        <f>'Water and Burning'!C151</f>
        <v>3.9672000000000001</v>
      </c>
      <c r="D184" s="28">
        <f>'Water and Burning'!D151</f>
        <v>3.1507000000000001</v>
      </c>
      <c r="E184" s="28">
        <f>'Water and Burning'!E151</f>
        <v>20.581266384351686</v>
      </c>
      <c r="F184" s="28">
        <f>'Water and Burning'!F151</f>
        <v>3.0489000000000002</v>
      </c>
      <c r="G184" s="28">
        <f>'Water and Burning'!G151</f>
        <v>3.2310280255181354</v>
      </c>
      <c r="H184" s="429">
        <f>'Water and Burning'!H151</f>
        <v>4.0387000000000004</v>
      </c>
      <c r="I184" s="28">
        <f>'Water and Burning'!I151</f>
        <v>3.1781999999999999</v>
      </c>
      <c r="J184" s="28">
        <f>'Water and Burning'!J151</f>
        <v>21.306360957733933</v>
      </c>
      <c r="K184" s="28">
        <f>'Water and Burning'!K151</f>
        <v>3.0739999999999998</v>
      </c>
      <c r="L184" s="430">
        <f>'Water and Burning'!L151</f>
        <v>3.2785853627839678</v>
      </c>
      <c r="M184" s="68"/>
      <c r="N184" s="69"/>
      <c r="O184" s="68"/>
      <c r="P184" s="69"/>
      <c r="Q184" s="3"/>
      <c r="R184" s="3"/>
      <c r="S184" s="3"/>
      <c r="T184" s="3"/>
      <c r="U184" s="3"/>
      <c r="W184"/>
    </row>
    <row r="185" spans="1:27" ht="15" customHeight="1" x14ac:dyDescent="0.25">
      <c r="A185" s="498"/>
      <c r="B185" s="285" t="s">
        <v>138</v>
      </c>
      <c r="C185" s="28">
        <f>'Water and Burning'!C152</f>
        <v>3.9348000000000001</v>
      </c>
      <c r="D185" s="28">
        <f>'Water and Burning'!D152</f>
        <v>3.1175999999999999</v>
      </c>
      <c r="E185" s="28">
        <f>'Water and Burning'!E152</f>
        <v>20.76852698993596</v>
      </c>
      <c r="F185" s="28">
        <f>'Water and Burning'!F152</f>
        <v>3.0167999999999999</v>
      </c>
      <c r="G185" s="28">
        <f>'Water and Burning'!G152</f>
        <v>3.2332563510392611</v>
      </c>
      <c r="H185" s="429">
        <f>'Water and Burning'!H152</f>
        <v>3.9521000000000002</v>
      </c>
      <c r="I185" s="28">
        <f>'Water and Burning'!I152</f>
        <v>3.1017000000000001</v>
      </c>
      <c r="J185" s="28">
        <f>'Water and Burning'!J152</f>
        <v>21.517674147921358</v>
      </c>
      <c r="K185" s="28">
        <f>'Water and Burning'!K152</f>
        <v>2.9977999999999998</v>
      </c>
      <c r="L185" s="430">
        <f>'Water and Burning'!L152</f>
        <v>3.3497759293290881</v>
      </c>
      <c r="M185" s="68"/>
      <c r="N185" s="69"/>
      <c r="O185" s="68"/>
      <c r="P185" s="69"/>
      <c r="Q185" s="3"/>
      <c r="R185" s="3"/>
      <c r="S185" s="3"/>
      <c r="T185" s="3"/>
      <c r="U185" s="3"/>
      <c r="W185"/>
    </row>
    <row r="186" spans="1:27" ht="15" customHeight="1" x14ac:dyDescent="0.25">
      <c r="A186" s="498"/>
      <c r="B186" s="285" t="s">
        <v>139</v>
      </c>
      <c r="C186" s="28">
        <f>'Water and Burning'!C153</f>
        <v>3.9207999999999998</v>
      </c>
      <c r="D186" s="28">
        <f>'Water and Burning'!D153</f>
        <v>3.1120000000000001</v>
      </c>
      <c r="E186" s="28">
        <f>'Water and Burning'!E153</f>
        <v>20.628443174862269</v>
      </c>
      <c r="F186" s="28">
        <f>'Water and Burning'!F153</f>
        <v>3.0118</v>
      </c>
      <c r="G186" s="28">
        <f>'Water and Burning'!G153</f>
        <v>3.2197943444730099</v>
      </c>
      <c r="H186" s="429">
        <f>'Water and Burning'!H153</f>
        <v>3.9302999999999999</v>
      </c>
      <c r="I186" s="28">
        <f>'Water and Burning'!I153</f>
        <v>3.0918000000000001</v>
      </c>
      <c r="J186" s="28">
        <f>'Water and Burning'!J153</f>
        <v>21.334249293947021</v>
      </c>
      <c r="K186" s="28">
        <f>'Water and Burning'!K153</f>
        <v>2.9878999999999998</v>
      </c>
      <c r="L186" s="430">
        <f>'Water and Burning'!L153</f>
        <v>3.360501972960745</v>
      </c>
      <c r="M186" s="68"/>
      <c r="N186" s="69"/>
      <c r="O186" s="68"/>
      <c r="P186" s="69"/>
      <c r="Q186" s="3"/>
      <c r="R186" s="3"/>
      <c r="S186" s="3"/>
      <c r="T186" s="3"/>
      <c r="U186" s="3"/>
      <c r="W186"/>
    </row>
    <row r="187" spans="1:27" ht="15" customHeight="1" x14ac:dyDescent="0.25">
      <c r="A187" s="498"/>
      <c r="B187" s="285" t="s">
        <v>140</v>
      </c>
      <c r="C187" s="28">
        <f>'Water and Burning'!C154</f>
        <v>3.9872000000000001</v>
      </c>
      <c r="D187" s="28">
        <f>'Water and Burning'!D154</f>
        <v>3.1705999999999999</v>
      </c>
      <c r="E187" s="28">
        <f>'Water and Burning'!E154</f>
        <v>20.480537720706266</v>
      </c>
      <c r="F187" s="28">
        <f>'Water and Burning'!F154</f>
        <v>3.0666000000000002</v>
      </c>
      <c r="G187" s="28">
        <f>'Water and Burning'!G154</f>
        <v>3.2801362518135257</v>
      </c>
      <c r="H187" s="429">
        <f>'Water and Burning'!H154</f>
        <v>3.9594999999999998</v>
      </c>
      <c r="I187" s="28">
        <f>'Water and Burning'!I154</f>
        <v>3.1143999999999998</v>
      </c>
      <c r="J187" s="28">
        <f>'Water and Burning'!J154</f>
        <v>21.34360399040283</v>
      </c>
      <c r="K187" s="28">
        <f>'Water and Burning'!K154</f>
        <v>3.0106999999999999</v>
      </c>
      <c r="L187" s="430">
        <f>'Water and Burning'!L154</f>
        <v>3.3296943231441021</v>
      </c>
      <c r="M187" s="68"/>
      <c r="N187" s="69"/>
      <c r="O187" s="68"/>
      <c r="P187" s="69"/>
      <c r="Q187" s="3"/>
      <c r="R187" s="3"/>
      <c r="S187" s="3"/>
      <c r="T187" s="3"/>
      <c r="U187" s="3"/>
      <c r="W187"/>
    </row>
    <row r="188" spans="1:27" ht="15.95" customHeight="1" thickBot="1" x14ac:dyDescent="0.3">
      <c r="A188" s="499"/>
      <c r="B188" s="286" t="s">
        <v>141</v>
      </c>
      <c r="C188" s="28">
        <f>'Water and Burning'!C155</f>
        <v>3.9859</v>
      </c>
      <c r="D188" s="28">
        <f>'Water and Burning'!D155</f>
        <v>3.1815000000000002</v>
      </c>
      <c r="E188" s="28">
        <f>'Water and Burning'!E155</f>
        <v>20.181138513259235</v>
      </c>
      <c r="F188" s="28">
        <f>'Water and Burning'!F155</f>
        <v>3.0788000000000002</v>
      </c>
      <c r="G188" s="28">
        <f>'Water and Burning'!G155</f>
        <v>3.228037089423228</v>
      </c>
      <c r="H188" s="431">
        <f>'Water and Burning'!H155</f>
        <v>4.0400999999999998</v>
      </c>
      <c r="I188" s="60">
        <f>'Water and Burning'!I155</f>
        <v>3.1879</v>
      </c>
      <c r="J188" s="60">
        <f>'Water and Burning'!J155</f>
        <v>21.09353728868097</v>
      </c>
      <c r="K188" s="60">
        <f>'Water and Burning'!K155</f>
        <v>3.0815000000000001</v>
      </c>
      <c r="L188" s="432">
        <f>'Water and Burning'!L155</f>
        <v>3.337620377050718</v>
      </c>
      <c r="M188" s="68"/>
      <c r="N188" s="69"/>
      <c r="O188" s="68"/>
      <c r="P188" s="69"/>
      <c r="Q188" s="3"/>
      <c r="R188" s="3"/>
      <c r="S188" s="3"/>
      <c r="T188" s="3"/>
      <c r="U188" s="3"/>
      <c r="W188"/>
    </row>
    <row r="189" spans="1:27" ht="15.75" customHeight="1" x14ac:dyDescent="0.25">
      <c r="A189" s="270" t="s">
        <v>161</v>
      </c>
      <c r="B189" s="415"/>
      <c r="C189" s="191">
        <f t="shared" ref="C189:L189" si="38">AVERAGE(C182:C188)</f>
        <v>3.955371428571429</v>
      </c>
      <c r="D189" s="62">
        <f t="shared" si="38"/>
        <v>3.1442142857142854</v>
      </c>
      <c r="E189" s="62">
        <f t="shared" si="38"/>
        <v>20.508360707421367</v>
      </c>
      <c r="F189" s="62">
        <f t="shared" si="38"/>
        <v>3.0427714285714287</v>
      </c>
      <c r="G189" s="163">
        <f t="shared" si="38"/>
        <v>3.2262479733897105</v>
      </c>
      <c r="H189" s="191">
        <f t="shared" si="38"/>
        <v>3.9791285714285709</v>
      </c>
      <c r="I189" s="62">
        <f t="shared" si="38"/>
        <v>3.1338999999999997</v>
      </c>
      <c r="J189" s="62">
        <f t="shared" si="38"/>
        <v>21.242148589603342</v>
      </c>
      <c r="K189" s="62">
        <f t="shared" si="38"/>
        <v>3.0298857142857138</v>
      </c>
      <c r="L189" s="163">
        <f t="shared" si="38"/>
        <v>3.3191854303755557</v>
      </c>
      <c r="W189" s="3"/>
      <c r="X189" s="3"/>
      <c r="Y189" s="3"/>
      <c r="Z189" s="3"/>
      <c r="AA189" s="3"/>
    </row>
    <row r="190" spans="1:27" ht="15.75" customHeight="1" thickBot="1" x14ac:dyDescent="0.3">
      <c r="A190" s="273" t="s">
        <v>162</v>
      </c>
      <c r="B190" s="414"/>
      <c r="C190" s="193">
        <f t="shared" ref="C190:L190" si="39">STDEV(C182:C188)</f>
        <v>2.5638689142629428E-2</v>
      </c>
      <c r="D190" s="59">
        <f t="shared" si="39"/>
        <v>2.5622218780544683E-2</v>
      </c>
      <c r="E190" s="59">
        <f t="shared" si="39"/>
        <v>0.19505429825937323</v>
      </c>
      <c r="F190" s="59">
        <f t="shared" si="39"/>
        <v>2.4420122459815514E-2</v>
      </c>
      <c r="G190" s="165">
        <f t="shared" si="39"/>
        <v>2.9407907195359524E-2</v>
      </c>
      <c r="H190" s="193">
        <f t="shared" si="39"/>
        <v>4.4185092293129676E-2</v>
      </c>
      <c r="I190" s="59">
        <f t="shared" si="39"/>
        <v>3.7930989968625844E-2</v>
      </c>
      <c r="J190" s="59">
        <f t="shared" si="39"/>
        <v>0.1841472315188801</v>
      </c>
      <c r="K190" s="59">
        <f t="shared" si="39"/>
        <v>3.7226219638467659E-2</v>
      </c>
      <c r="L190" s="165">
        <f t="shared" si="39"/>
        <v>3.3672458835048998E-2</v>
      </c>
      <c r="W190" s="3"/>
      <c r="X190" s="3"/>
      <c r="Y190" s="3"/>
      <c r="Z190" s="3"/>
      <c r="AA190" s="3"/>
    </row>
    <row r="191" spans="1:27" x14ac:dyDescent="0.25">
      <c r="A191" s="118"/>
      <c r="B191" s="64"/>
      <c r="C191" s="119"/>
      <c r="D191" s="64"/>
      <c r="E191" s="65"/>
      <c r="F191" s="64"/>
      <c r="G191" s="65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</row>
    <row r="192" spans="1:27" ht="15" customHeight="1" x14ac:dyDescent="0.25">
      <c r="A192" s="70"/>
      <c r="B192" s="64"/>
      <c r="C192" s="68"/>
      <c r="D192" s="68"/>
      <c r="E192" s="69"/>
      <c r="F192" s="68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3"/>
      <c r="Y192" s="3"/>
      <c r="Z192" s="3"/>
      <c r="AA192" s="3"/>
    </row>
    <row r="193" spans="1:27" ht="15" customHeight="1" x14ac:dyDescent="0.25">
      <c r="A193" s="70"/>
      <c r="B193" s="64"/>
      <c r="C193" s="68"/>
      <c r="D193" s="68"/>
      <c r="E193" s="69"/>
      <c r="F193" s="68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3"/>
      <c r="Y193" s="3"/>
      <c r="Z193" s="3"/>
      <c r="AA193" s="3"/>
    </row>
    <row r="194" spans="1:27" ht="15" customHeight="1" x14ac:dyDescent="0.25">
      <c r="A194" s="70"/>
      <c r="B194" s="64"/>
      <c r="C194" s="68"/>
      <c r="D194" s="68"/>
      <c r="E194" s="69"/>
      <c r="F194" s="68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3"/>
      <c r="Y194" s="3"/>
      <c r="Z194" s="3"/>
      <c r="AA194" s="3"/>
    </row>
    <row r="195" spans="1:27" ht="15" customHeight="1" x14ac:dyDescent="0.25">
      <c r="A195" s="70"/>
      <c r="B195" s="64"/>
      <c r="C195" s="68"/>
      <c r="D195" s="68"/>
      <c r="E195" s="69"/>
      <c r="F195" s="68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3"/>
      <c r="Y195" s="3"/>
      <c r="Z195" s="3"/>
      <c r="AA195" s="3"/>
    </row>
    <row r="196" spans="1:27" ht="15" customHeight="1" x14ac:dyDescent="0.25">
      <c r="A196" s="70"/>
      <c r="B196" s="64"/>
      <c r="C196" s="68"/>
      <c r="D196" s="68"/>
      <c r="E196" s="69"/>
      <c r="F196" s="68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3"/>
      <c r="Y196" s="3"/>
      <c r="Z196" s="3"/>
      <c r="AA196" s="3"/>
    </row>
    <row r="197" spans="1:27" ht="15" customHeight="1" x14ac:dyDescent="0.25">
      <c r="A197" s="70"/>
      <c r="B197" s="64"/>
      <c r="C197" s="68"/>
      <c r="D197" s="68"/>
      <c r="E197" s="69"/>
      <c r="F197" s="68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3"/>
      <c r="Y197" s="3"/>
      <c r="Z197" s="3"/>
      <c r="AA197" s="3"/>
    </row>
    <row r="198" spans="1:27" ht="15.95" customHeight="1" x14ac:dyDescent="0.25">
      <c r="A198" s="70"/>
      <c r="B198" s="64"/>
      <c r="C198" s="68"/>
      <c r="D198" s="68"/>
      <c r="E198" s="69"/>
      <c r="F198" s="68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3"/>
      <c r="Y198" s="3"/>
      <c r="Z198" s="3"/>
      <c r="AA198" s="3"/>
    </row>
    <row r="199" spans="1:27" x14ac:dyDescent="0.25">
      <c r="A199" s="66"/>
      <c r="B199" s="67"/>
      <c r="C199" s="120"/>
      <c r="D199" s="120"/>
      <c r="E199" s="69"/>
      <c r="F199" s="120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</row>
    <row r="200" spans="1:27" ht="15.75" x14ac:dyDescent="0.25">
      <c r="A200" s="118"/>
      <c r="B200" s="3"/>
      <c r="C200" s="3"/>
      <c r="D200" s="3"/>
      <c r="E200" s="3"/>
      <c r="F200" s="3"/>
      <c r="G200" s="3"/>
      <c r="H200" s="68"/>
      <c r="I200" s="68"/>
      <c r="J200" s="69"/>
      <c r="K200" s="68"/>
      <c r="L200" s="69"/>
      <c r="M200" s="68"/>
      <c r="N200" s="68"/>
      <c r="O200" s="69"/>
      <c r="P200" s="68"/>
      <c r="Q200" s="69"/>
    </row>
    <row r="201" spans="1:27" x14ac:dyDescent="0.25">
      <c r="A201" s="118"/>
      <c r="B201" s="64"/>
      <c r="C201" s="119"/>
      <c r="D201" s="64"/>
      <c r="E201" s="65"/>
      <c r="F201" s="64"/>
      <c r="G201" s="65"/>
      <c r="H201" s="68"/>
      <c r="I201" s="68"/>
      <c r="J201" s="69"/>
      <c r="K201" s="68"/>
      <c r="L201" s="69"/>
      <c r="M201" s="68"/>
      <c r="N201" s="68"/>
      <c r="O201" s="69"/>
      <c r="P201" s="68"/>
      <c r="Q201" s="69"/>
    </row>
    <row r="202" spans="1:27" ht="15" customHeight="1" x14ac:dyDescent="0.25">
      <c r="A202" s="70"/>
      <c r="B202" s="64"/>
      <c r="C202" s="68"/>
      <c r="D202" s="68"/>
      <c r="E202" s="69"/>
      <c r="F202" s="68"/>
      <c r="G202" s="69"/>
      <c r="H202" s="68"/>
      <c r="I202" s="68"/>
      <c r="J202" s="69"/>
      <c r="K202" s="68"/>
      <c r="L202" s="69"/>
      <c r="M202" s="68"/>
      <c r="N202" s="68"/>
      <c r="O202" s="69"/>
      <c r="P202" s="68"/>
      <c r="Q202" s="69"/>
    </row>
    <row r="203" spans="1:27" x14ac:dyDescent="0.25">
      <c r="A203" s="70"/>
      <c r="B203" s="64"/>
      <c r="C203" s="68"/>
      <c r="D203" s="68"/>
      <c r="E203" s="69"/>
      <c r="F203" s="68"/>
      <c r="G203" s="69"/>
      <c r="H203" s="68"/>
      <c r="I203" s="68"/>
      <c r="J203" s="69"/>
      <c r="K203" s="68"/>
      <c r="L203" s="69"/>
      <c r="M203" s="68"/>
      <c r="N203" s="68"/>
      <c r="O203" s="69"/>
      <c r="P203" s="68"/>
      <c r="Q203" s="69"/>
    </row>
    <row r="204" spans="1:27" x14ac:dyDescent="0.25">
      <c r="A204" s="70"/>
      <c r="B204" s="64"/>
      <c r="C204" s="68"/>
      <c r="D204" s="68"/>
      <c r="E204" s="69"/>
      <c r="F204" s="68"/>
      <c r="G204" s="69"/>
      <c r="H204" s="68"/>
      <c r="I204" s="68"/>
      <c r="J204" s="69"/>
      <c r="K204" s="68"/>
      <c r="L204" s="69"/>
      <c r="M204" s="68"/>
      <c r="N204" s="68"/>
      <c r="O204" s="69"/>
      <c r="P204" s="68"/>
      <c r="Q204" s="69"/>
    </row>
    <row r="205" spans="1:27" x14ac:dyDescent="0.25">
      <c r="A205" s="70"/>
      <c r="B205" s="202"/>
      <c r="C205" s="68"/>
      <c r="D205" s="68"/>
      <c r="E205" s="69"/>
      <c r="F205" s="68"/>
      <c r="G205" s="69"/>
      <c r="H205" s="68"/>
      <c r="I205" s="68"/>
      <c r="J205" s="69"/>
      <c r="K205" s="68"/>
      <c r="L205" s="69"/>
      <c r="M205" s="68"/>
      <c r="N205" s="68"/>
      <c r="O205" s="69"/>
      <c r="P205" s="68"/>
      <c r="Q205" s="69"/>
    </row>
    <row r="206" spans="1:27" x14ac:dyDescent="0.25">
      <c r="A206" s="70"/>
      <c r="B206" s="202"/>
      <c r="C206" s="68"/>
      <c r="D206" s="68"/>
      <c r="E206" s="69"/>
      <c r="F206" s="68"/>
      <c r="G206" s="69"/>
      <c r="H206" s="68"/>
      <c r="I206" s="68"/>
      <c r="J206" s="69"/>
      <c r="K206" s="68"/>
      <c r="L206" s="69"/>
      <c r="M206" s="68"/>
      <c r="N206" s="68"/>
      <c r="O206" s="69"/>
      <c r="P206" s="68"/>
      <c r="Q206" s="69"/>
    </row>
    <row r="207" spans="1:27" x14ac:dyDescent="0.25">
      <c r="A207" s="70"/>
      <c r="B207" s="202"/>
      <c r="C207" s="68"/>
      <c r="D207" s="68"/>
      <c r="E207" s="69"/>
      <c r="F207" s="68"/>
      <c r="G207" s="69"/>
      <c r="H207" s="68"/>
      <c r="I207" s="68"/>
      <c r="J207" s="69"/>
      <c r="K207" s="68"/>
      <c r="L207" s="69"/>
      <c r="M207" s="68"/>
      <c r="N207" s="68"/>
      <c r="O207" s="69"/>
      <c r="P207" s="68"/>
      <c r="Q207" s="69"/>
    </row>
    <row r="208" spans="1:27" x14ac:dyDescent="0.25">
      <c r="A208" s="70"/>
      <c r="B208" s="202"/>
      <c r="C208" s="68"/>
      <c r="D208" s="68"/>
      <c r="E208" s="69"/>
      <c r="F208" s="68"/>
      <c r="G208" s="69"/>
      <c r="H208" s="68"/>
      <c r="I208" s="68"/>
      <c r="J208" s="69"/>
      <c r="K208" s="68"/>
      <c r="L208" s="69"/>
      <c r="M208" s="68"/>
      <c r="N208" s="68"/>
      <c r="O208" s="69"/>
      <c r="P208" s="68"/>
      <c r="Q208" s="69"/>
    </row>
    <row r="209" spans="1:17" x14ac:dyDescent="0.25">
      <c r="A209" s="70"/>
      <c r="B209" s="202"/>
      <c r="C209" s="68"/>
      <c r="D209" s="68"/>
      <c r="E209" s="69"/>
      <c r="F209" s="68"/>
      <c r="G209" s="69"/>
    </row>
    <row r="210" spans="1:17" x14ac:dyDescent="0.25">
      <c r="A210" s="70"/>
      <c r="B210" s="202"/>
      <c r="C210" s="68"/>
      <c r="D210" s="68"/>
      <c r="E210" s="69"/>
      <c r="F210" s="68"/>
      <c r="G210" s="69"/>
    </row>
    <row r="211" spans="1:17" x14ac:dyDescent="0.25">
      <c r="A211" s="70"/>
      <c r="B211" s="202"/>
      <c r="C211" s="68"/>
      <c r="D211" s="68"/>
      <c r="E211" s="69"/>
      <c r="F211" s="68"/>
      <c r="G211" s="69"/>
    </row>
    <row r="212" spans="1:17" x14ac:dyDescent="0.25">
      <c r="A212" s="70"/>
      <c r="B212" s="202"/>
      <c r="C212" s="68"/>
      <c r="D212" s="68"/>
      <c r="E212" s="69"/>
      <c r="F212" s="68"/>
      <c r="G212" s="69"/>
    </row>
    <row r="213" spans="1:17" x14ac:dyDescent="0.25">
      <c r="A213" s="70"/>
      <c r="B213" s="202"/>
      <c r="C213" s="68"/>
      <c r="D213" s="68"/>
      <c r="E213" s="69"/>
      <c r="F213" s="68"/>
      <c r="G213" s="69"/>
    </row>
    <row r="214" spans="1:17" ht="15.75" x14ac:dyDescent="0.25">
      <c r="A214" s="11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x14ac:dyDescent="0.25">
      <c r="A215" s="64"/>
      <c r="B215" s="64"/>
      <c r="C215" s="119"/>
      <c r="D215" s="64"/>
      <c r="E215" s="65"/>
      <c r="F215" s="64"/>
      <c r="G215" s="65"/>
      <c r="H215" s="64"/>
      <c r="I215" s="64"/>
      <c r="J215" s="65"/>
      <c r="K215" s="64"/>
      <c r="L215" s="65"/>
      <c r="M215" s="64"/>
      <c r="N215" s="64"/>
      <c r="O215" s="65"/>
      <c r="P215" s="64"/>
      <c r="Q215" s="65"/>
    </row>
    <row r="216" spans="1:17" x14ac:dyDescent="0.25">
      <c r="A216" s="66"/>
      <c r="B216" s="67"/>
      <c r="C216" s="121"/>
      <c r="D216" s="121"/>
      <c r="E216" s="69"/>
      <c r="F216" s="121"/>
      <c r="G216" s="69"/>
      <c r="H216" s="68"/>
      <c r="I216" s="68"/>
      <c r="J216" s="69"/>
      <c r="K216" s="68"/>
      <c r="L216" s="69"/>
      <c r="M216" s="68"/>
      <c r="N216" s="68"/>
      <c r="O216" s="69"/>
      <c r="P216" s="68"/>
      <c r="Q216" s="69"/>
    </row>
    <row r="217" spans="1:17" x14ac:dyDescent="0.25">
      <c r="A217" s="66"/>
      <c r="B217" s="67"/>
      <c r="C217" s="121"/>
      <c r="D217" s="121"/>
      <c r="E217" s="69"/>
      <c r="F217" s="121"/>
      <c r="G217" s="69"/>
      <c r="H217" s="68"/>
      <c r="I217" s="68"/>
      <c r="J217" s="69"/>
      <c r="K217" s="68"/>
      <c r="L217" s="69"/>
      <c r="M217" s="68"/>
      <c r="N217" s="68"/>
      <c r="O217" s="69"/>
      <c r="P217" s="68"/>
      <c r="Q217" s="69"/>
    </row>
    <row r="218" spans="1:17" x14ac:dyDescent="0.25">
      <c r="A218" s="66"/>
      <c r="B218" s="67"/>
      <c r="C218" s="121"/>
      <c r="D218" s="121"/>
      <c r="E218" s="69"/>
      <c r="F218" s="121"/>
      <c r="G218" s="69"/>
      <c r="H218" s="68"/>
      <c r="I218" s="68"/>
      <c r="J218" s="69"/>
      <c r="K218" s="68"/>
      <c r="L218" s="69"/>
      <c r="M218" s="68"/>
      <c r="N218" s="68"/>
      <c r="O218" s="69"/>
      <c r="P218" s="68"/>
      <c r="Q218" s="69"/>
    </row>
    <row r="219" spans="1:17" x14ac:dyDescent="0.25">
      <c r="A219" s="66"/>
      <c r="B219" s="67"/>
      <c r="C219" s="121"/>
      <c r="D219" s="121"/>
      <c r="E219" s="69"/>
      <c r="F219" s="121"/>
      <c r="G219" s="69"/>
      <c r="H219" s="68"/>
      <c r="I219" s="68"/>
      <c r="J219" s="69"/>
      <c r="K219" s="68"/>
      <c r="L219" s="69"/>
      <c r="M219" s="68"/>
      <c r="N219" s="68"/>
      <c r="O219" s="69"/>
      <c r="P219" s="68"/>
      <c r="Q219" s="69"/>
    </row>
    <row r="220" spans="1:17" x14ac:dyDescent="0.25">
      <c r="A220" s="66"/>
      <c r="B220" s="67"/>
      <c r="C220" s="121"/>
      <c r="D220" s="121"/>
      <c r="E220" s="69"/>
      <c r="F220" s="121"/>
      <c r="G220" s="69"/>
      <c r="H220" s="68"/>
      <c r="I220" s="68"/>
      <c r="J220" s="69"/>
      <c r="K220" s="68"/>
      <c r="L220" s="69"/>
      <c r="M220" s="68"/>
      <c r="N220" s="68"/>
      <c r="O220" s="69"/>
      <c r="P220" s="68"/>
      <c r="Q220" s="69"/>
    </row>
    <row r="221" spans="1:17" x14ac:dyDescent="0.25">
      <c r="A221" s="66"/>
      <c r="B221" s="67"/>
      <c r="C221" s="121"/>
      <c r="D221" s="121"/>
      <c r="E221" s="69"/>
      <c r="F221" s="121"/>
      <c r="G221" s="69"/>
      <c r="H221" s="68"/>
      <c r="I221" s="68"/>
      <c r="J221" s="69"/>
      <c r="K221" s="68"/>
      <c r="L221" s="69"/>
      <c r="M221" s="68"/>
      <c r="N221" s="68"/>
      <c r="O221" s="69"/>
      <c r="P221" s="68"/>
      <c r="Q221" s="69"/>
    </row>
    <row r="222" spans="1:17" x14ac:dyDescent="0.25">
      <c r="A222" s="66"/>
      <c r="B222" s="67"/>
      <c r="C222" s="121"/>
      <c r="D222" s="121"/>
      <c r="E222" s="69"/>
      <c r="F222" s="121"/>
      <c r="G222" s="69"/>
      <c r="H222" s="68"/>
      <c r="I222" s="68"/>
      <c r="J222" s="69"/>
      <c r="K222" s="68"/>
      <c r="L222" s="69"/>
      <c r="M222" s="68"/>
      <c r="N222" s="68"/>
      <c r="O222" s="69"/>
      <c r="P222" s="68"/>
      <c r="Q222" s="69"/>
    </row>
    <row r="223" spans="1:17" x14ac:dyDescent="0.25">
      <c r="A223" s="70"/>
      <c r="B223" s="67"/>
      <c r="C223" s="121"/>
      <c r="D223" s="121"/>
      <c r="E223" s="69"/>
      <c r="F223" s="121"/>
      <c r="G223" s="69"/>
      <c r="H223" s="68"/>
      <c r="I223" s="68"/>
      <c r="J223" s="69"/>
      <c r="K223" s="68"/>
      <c r="L223" s="69"/>
      <c r="M223" s="68"/>
      <c r="N223" s="68"/>
      <c r="O223" s="69"/>
      <c r="P223" s="68"/>
      <c r="Q223" s="69"/>
    </row>
    <row r="224" spans="1:17" x14ac:dyDescent="0.25">
      <c r="A224" s="66"/>
      <c r="B224" s="67"/>
      <c r="C224" s="121"/>
      <c r="D224" s="121"/>
      <c r="E224" s="69"/>
      <c r="F224" s="121"/>
      <c r="G224" s="69"/>
      <c r="H224" s="68"/>
      <c r="I224" s="68"/>
      <c r="J224" s="69"/>
      <c r="K224" s="68"/>
      <c r="L224" s="69"/>
      <c r="M224" s="68"/>
      <c r="N224" s="68"/>
      <c r="O224" s="69"/>
      <c r="P224" s="68"/>
      <c r="Q224" s="69"/>
    </row>
    <row r="225" spans="1:17" x14ac:dyDescent="0.25">
      <c r="A225" s="66"/>
      <c r="B225" s="67"/>
      <c r="C225" s="121"/>
      <c r="D225" s="121"/>
      <c r="E225" s="69"/>
      <c r="F225" s="121"/>
      <c r="G225" s="69"/>
      <c r="H225" s="68"/>
      <c r="I225" s="68"/>
      <c r="J225" s="69"/>
      <c r="K225" s="68"/>
      <c r="L225" s="69"/>
      <c r="M225" s="68"/>
      <c r="N225" s="68"/>
      <c r="O225" s="69"/>
      <c r="P225" s="68"/>
      <c r="Q225" s="69"/>
    </row>
    <row r="226" spans="1:17" x14ac:dyDescent="0.25">
      <c r="A226" s="66"/>
      <c r="B226" s="67"/>
      <c r="C226" s="121"/>
      <c r="D226" s="121"/>
      <c r="E226" s="69"/>
      <c r="F226" s="121"/>
      <c r="G226" s="69"/>
      <c r="H226" s="68"/>
      <c r="I226" s="68"/>
      <c r="J226" s="69"/>
      <c r="K226" s="68"/>
      <c r="L226" s="69"/>
      <c r="M226" s="68"/>
      <c r="N226" s="68"/>
      <c r="O226" s="69"/>
      <c r="P226" s="68"/>
      <c r="Q226" s="69"/>
    </row>
    <row r="227" spans="1:17" x14ac:dyDescent="0.25">
      <c r="A227" s="66"/>
      <c r="B227" s="67"/>
      <c r="C227" s="121"/>
      <c r="D227" s="121"/>
      <c r="E227" s="69"/>
      <c r="F227" s="121"/>
      <c r="G227" s="69"/>
      <c r="H227" s="68"/>
      <c r="I227" s="68"/>
      <c r="J227" s="69"/>
      <c r="K227" s="68"/>
      <c r="L227" s="69"/>
      <c r="M227" s="68"/>
      <c r="N227" s="68"/>
      <c r="O227" s="69"/>
      <c r="P227" s="68"/>
      <c r="Q227" s="69"/>
    </row>
    <row r="228" spans="1:17" x14ac:dyDescent="0.25">
      <c r="A228" s="66"/>
      <c r="B228" s="67"/>
      <c r="C228" s="121"/>
      <c r="D228" s="121"/>
      <c r="E228" s="69"/>
      <c r="F228" s="121"/>
      <c r="G228" s="69"/>
      <c r="H228" s="68"/>
      <c r="I228" s="68"/>
      <c r="J228" s="69"/>
      <c r="K228" s="68"/>
      <c r="L228" s="69"/>
      <c r="M228" s="68"/>
      <c r="N228" s="68"/>
      <c r="O228" s="69"/>
      <c r="P228" s="68"/>
      <c r="Q228" s="69"/>
    </row>
    <row r="229" spans="1:17" x14ac:dyDescent="0.25">
      <c r="A229" s="66"/>
      <c r="B229" s="67"/>
      <c r="C229" s="121"/>
      <c r="D229" s="121"/>
      <c r="E229" s="69"/>
      <c r="F229" s="121"/>
      <c r="G229" s="69"/>
      <c r="H229" s="68"/>
      <c r="I229" s="68"/>
      <c r="J229" s="69"/>
      <c r="K229" s="68"/>
      <c r="L229" s="69"/>
      <c r="M229" s="68"/>
      <c r="N229" s="68"/>
      <c r="O229" s="69"/>
      <c r="P229" s="68"/>
      <c r="Q229" s="69"/>
    </row>
    <row r="230" spans="1:17" x14ac:dyDescent="0.25">
      <c r="A230" s="70"/>
      <c r="B230" s="67"/>
      <c r="C230" s="121"/>
      <c r="D230" s="121"/>
      <c r="E230" s="69"/>
      <c r="F230" s="121"/>
      <c r="G230" s="69"/>
      <c r="H230" s="68"/>
      <c r="I230" s="68"/>
      <c r="J230" s="69"/>
      <c r="K230" s="68"/>
      <c r="L230" s="69"/>
      <c r="M230" s="68"/>
      <c r="N230" s="68"/>
      <c r="O230" s="69"/>
      <c r="P230" s="68"/>
      <c r="Q230" s="69"/>
    </row>
    <row r="231" spans="1:17" x14ac:dyDescent="0.25">
      <c r="A231" s="66"/>
      <c r="B231" s="67"/>
      <c r="C231" s="121"/>
      <c r="D231" s="121"/>
      <c r="E231" s="69"/>
      <c r="F231" s="121"/>
      <c r="G231" s="69"/>
      <c r="H231" s="68"/>
      <c r="I231" s="68"/>
      <c r="J231" s="69"/>
      <c r="K231" s="68"/>
      <c r="L231" s="69"/>
      <c r="M231" s="68"/>
      <c r="N231" s="68"/>
      <c r="O231" s="69"/>
      <c r="P231" s="68"/>
      <c r="Q231" s="69"/>
    </row>
    <row r="232" spans="1:17" x14ac:dyDescent="0.25">
      <c r="A232" s="66"/>
      <c r="B232" s="67"/>
      <c r="C232" s="121"/>
      <c r="D232" s="121"/>
      <c r="E232" s="69"/>
      <c r="F232" s="121"/>
      <c r="G232" s="69"/>
      <c r="H232" s="68"/>
      <c r="I232" s="68"/>
      <c r="J232" s="69"/>
      <c r="K232" s="68"/>
      <c r="L232" s="69"/>
      <c r="M232" s="68"/>
      <c r="N232" s="68"/>
      <c r="O232" s="69"/>
      <c r="P232" s="68"/>
      <c r="Q232" s="69"/>
    </row>
    <row r="233" spans="1:17" x14ac:dyDescent="0.25">
      <c r="A233" s="66"/>
      <c r="B233" s="67"/>
      <c r="C233" s="121"/>
      <c r="D233" s="121"/>
      <c r="E233" s="69"/>
      <c r="F233" s="121"/>
      <c r="G233" s="69"/>
      <c r="H233" s="68"/>
      <c r="I233" s="68"/>
      <c r="J233" s="69"/>
      <c r="K233" s="68"/>
      <c r="L233" s="69"/>
      <c r="M233" s="68"/>
      <c r="N233" s="68"/>
      <c r="O233" s="69"/>
      <c r="P233" s="68"/>
      <c r="Q233" s="69"/>
    </row>
    <row r="234" spans="1:17" x14ac:dyDescent="0.25">
      <c r="A234" s="66"/>
      <c r="B234" s="67"/>
      <c r="C234" s="121"/>
      <c r="D234" s="121"/>
      <c r="E234" s="69"/>
      <c r="F234" s="121"/>
      <c r="G234" s="69"/>
      <c r="H234" s="68"/>
      <c r="I234" s="68"/>
      <c r="J234" s="69"/>
      <c r="K234" s="68"/>
      <c r="L234" s="69"/>
      <c r="M234" s="68"/>
      <c r="N234" s="68"/>
      <c r="O234" s="69"/>
      <c r="P234" s="68"/>
      <c r="Q234" s="69"/>
    </row>
    <row r="235" spans="1:17" x14ac:dyDescent="0.25">
      <c r="A235" s="66"/>
      <c r="B235" s="67"/>
      <c r="C235" s="121"/>
      <c r="D235" s="121"/>
      <c r="E235" s="69"/>
      <c r="F235" s="121"/>
      <c r="G235" s="69"/>
      <c r="H235" s="68"/>
      <c r="I235" s="68"/>
      <c r="J235" s="69"/>
      <c r="K235" s="68"/>
      <c r="L235" s="69"/>
      <c r="M235" s="68"/>
      <c r="N235" s="68"/>
      <c r="O235" s="69"/>
      <c r="P235" s="68"/>
      <c r="Q235" s="69"/>
    </row>
    <row r="236" spans="1:17" x14ac:dyDescent="0.25">
      <c r="A236" s="66"/>
      <c r="B236" s="67"/>
      <c r="C236" s="121"/>
      <c r="D236" s="121"/>
      <c r="E236" s="69"/>
      <c r="F236" s="121"/>
      <c r="G236" s="69"/>
      <c r="H236" s="68"/>
      <c r="I236" s="68"/>
      <c r="J236" s="69"/>
      <c r="K236" s="68"/>
      <c r="L236" s="69"/>
      <c r="M236" s="68"/>
      <c r="N236" s="68"/>
      <c r="O236" s="69"/>
      <c r="P236" s="68"/>
      <c r="Q236" s="69"/>
    </row>
    <row r="237" spans="1:17" x14ac:dyDescent="0.25">
      <c r="A237" s="70"/>
      <c r="B237" s="67"/>
      <c r="C237" s="121"/>
      <c r="D237" s="121"/>
      <c r="E237" s="69"/>
      <c r="F237" s="121"/>
      <c r="G237" s="69"/>
      <c r="H237" s="68"/>
      <c r="I237" s="68"/>
      <c r="J237" s="69"/>
      <c r="K237" s="68"/>
      <c r="L237" s="69"/>
      <c r="M237" s="68"/>
      <c r="N237" s="68"/>
      <c r="O237" s="69"/>
      <c r="P237" s="68"/>
      <c r="Q237" s="69"/>
    </row>
    <row r="238" spans="1:17" x14ac:dyDescent="0.25">
      <c r="A238" s="66"/>
      <c r="B238" s="67"/>
      <c r="C238" s="121"/>
      <c r="D238" s="121"/>
      <c r="E238" s="69"/>
      <c r="F238" s="121"/>
      <c r="G238" s="69"/>
      <c r="H238" s="68"/>
      <c r="I238" s="68"/>
      <c r="J238" s="69"/>
      <c r="K238" s="68"/>
      <c r="L238" s="69"/>
      <c r="M238" s="68"/>
      <c r="N238" s="68"/>
      <c r="O238" s="69"/>
      <c r="P238" s="68"/>
      <c r="Q238" s="69"/>
    </row>
    <row r="239" spans="1:17" x14ac:dyDescent="0.25">
      <c r="A239" s="66"/>
      <c r="B239" s="67"/>
      <c r="C239" s="121"/>
      <c r="D239" s="121"/>
      <c r="E239" s="69"/>
      <c r="F239" s="121"/>
      <c r="G239" s="69"/>
      <c r="H239" s="68"/>
      <c r="I239" s="68"/>
      <c r="J239" s="69"/>
      <c r="K239" s="68"/>
      <c r="L239" s="69"/>
      <c r="M239" s="68"/>
      <c r="N239" s="68"/>
      <c r="O239" s="69"/>
      <c r="P239" s="68"/>
      <c r="Q239" s="69"/>
    </row>
    <row r="240" spans="1:17" x14ac:dyDescent="0.25">
      <c r="A240" s="66"/>
      <c r="B240" s="67"/>
      <c r="C240" s="121"/>
      <c r="D240" s="121"/>
      <c r="E240" s="69"/>
      <c r="F240" s="121"/>
      <c r="G240" s="69"/>
      <c r="H240" s="68"/>
      <c r="I240" s="68"/>
      <c r="J240" s="69"/>
      <c r="K240" s="68"/>
      <c r="L240" s="69"/>
      <c r="M240" s="68"/>
      <c r="N240" s="68"/>
      <c r="O240" s="69"/>
      <c r="P240" s="68"/>
      <c r="Q240" s="69"/>
    </row>
    <row r="241" spans="1:17" x14ac:dyDescent="0.25">
      <c r="A241" s="66"/>
      <c r="B241" s="67"/>
      <c r="C241" s="121"/>
      <c r="D241" s="121"/>
      <c r="E241" s="69"/>
      <c r="F241" s="121"/>
      <c r="G241" s="69"/>
      <c r="H241" s="68"/>
      <c r="I241" s="68"/>
      <c r="J241" s="69"/>
      <c r="K241" s="68"/>
      <c r="L241" s="69"/>
      <c r="M241" s="68"/>
      <c r="N241" s="68"/>
      <c r="O241" s="69"/>
      <c r="P241" s="68"/>
      <c r="Q241" s="69"/>
    </row>
    <row r="242" spans="1:17" x14ac:dyDescent="0.25">
      <c r="A242" s="66"/>
      <c r="B242" s="67"/>
      <c r="C242" s="121"/>
      <c r="D242" s="121"/>
      <c r="E242" s="69"/>
      <c r="F242" s="121"/>
      <c r="G242" s="69"/>
      <c r="H242" s="68"/>
      <c r="I242" s="68"/>
      <c r="J242" s="69"/>
      <c r="K242" s="68"/>
      <c r="L242" s="69"/>
      <c r="M242" s="68"/>
      <c r="N242" s="68"/>
      <c r="O242" s="69"/>
      <c r="P242" s="68"/>
      <c r="Q242" s="69"/>
    </row>
    <row r="243" spans="1:17" x14ac:dyDescent="0.25">
      <c r="A243" s="66"/>
      <c r="B243" s="67"/>
      <c r="C243" s="121"/>
      <c r="D243" s="121"/>
      <c r="E243" s="69"/>
      <c r="F243" s="121"/>
      <c r="G243" s="69"/>
      <c r="H243" s="68"/>
      <c r="I243" s="68"/>
      <c r="J243" s="69"/>
      <c r="K243" s="68"/>
      <c r="L243" s="69"/>
      <c r="M243" s="68"/>
      <c r="N243" s="68"/>
      <c r="O243" s="69"/>
      <c r="P243" s="68"/>
      <c r="Q243" s="69"/>
    </row>
  </sheetData>
  <mergeCells count="37">
    <mergeCell ref="A182:A188"/>
    <mergeCell ref="B131:G131"/>
    <mergeCell ref="H131:L131"/>
    <mergeCell ref="A133:A139"/>
    <mergeCell ref="A142:A148"/>
    <mergeCell ref="B151:G151"/>
    <mergeCell ref="H151:L151"/>
    <mergeCell ref="A153:A159"/>
    <mergeCell ref="A162:A168"/>
    <mergeCell ref="B171:G171"/>
    <mergeCell ref="H171:L171"/>
    <mergeCell ref="A173:A179"/>
    <mergeCell ref="A120:A126"/>
    <mergeCell ref="B69:G69"/>
    <mergeCell ref="H69:L69"/>
    <mergeCell ref="A71:A77"/>
    <mergeCell ref="A80:A86"/>
    <mergeCell ref="B89:G89"/>
    <mergeCell ref="H89:L89"/>
    <mergeCell ref="A91:A97"/>
    <mergeCell ref="A100:A106"/>
    <mergeCell ref="B109:G109"/>
    <mergeCell ref="H109:L109"/>
    <mergeCell ref="A111:A117"/>
    <mergeCell ref="A58:A64"/>
    <mergeCell ref="A1:W1"/>
    <mergeCell ref="B7:G7"/>
    <mergeCell ref="H7:L7"/>
    <mergeCell ref="A9:A15"/>
    <mergeCell ref="A18:A24"/>
    <mergeCell ref="B27:G27"/>
    <mergeCell ref="H27:L27"/>
    <mergeCell ref="A29:A35"/>
    <mergeCell ref="A38:A44"/>
    <mergeCell ref="B47:G47"/>
    <mergeCell ref="H47:L47"/>
    <mergeCell ref="A49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5622-8A81-4118-B114-52B4A8FC1FF9}">
  <dimension ref="A1:V87"/>
  <sheetViews>
    <sheetView zoomScale="85" zoomScaleNormal="85" workbookViewId="0">
      <selection activeCell="N33" sqref="N33"/>
    </sheetView>
  </sheetViews>
  <sheetFormatPr defaultColWidth="8.85546875" defaultRowHeight="15" x14ac:dyDescent="0.25"/>
  <cols>
    <col min="1" max="1" width="14" customWidth="1"/>
    <col min="2" max="3" width="14.28515625" customWidth="1"/>
    <col min="4" max="4" width="14.28515625" style="13" customWidth="1"/>
    <col min="5" max="13" width="14.28515625" customWidth="1"/>
    <col min="14" max="14" width="16" customWidth="1"/>
    <col min="15" max="15" width="13.85546875" customWidth="1"/>
    <col min="16" max="16" width="15.140625" customWidth="1"/>
    <col min="17" max="17" width="15.7109375" customWidth="1"/>
    <col min="18" max="18" width="17.42578125" style="13" bestFit="1" customWidth="1"/>
    <col min="21" max="21" width="11.140625" bestFit="1" customWidth="1"/>
    <col min="23" max="23" width="11.140625" bestFit="1" customWidth="1"/>
    <col min="29" max="29" width="11.140625" bestFit="1" customWidth="1"/>
    <col min="31" max="31" width="11.140625" bestFit="1" customWidth="1"/>
  </cols>
  <sheetData>
    <row r="1" spans="1:22" ht="18.75" x14ac:dyDescent="0.3">
      <c r="B1" s="207"/>
      <c r="D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</row>
    <row r="3" spans="1:22" x14ac:dyDescent="0.25">
      <c r="B3" s="1">
        <f>[1]Mixing!B3</f>
        <v>0</v>
      </c>
    </row>
    <row r="4" spans="1:22" ht="15.75" thickBot="1" x14ac:dyDescent="0.3">
      <c r="B4" s="433"/>
    </row>
    <row r="5" spans="1:22" x14ac:dyDescent="0.25">
      <c r="A5" s="100"/>
      <c r="B5" s="436" t="s">
        <v>163</v>
      </c>
      <c r="C5" s="157"/>
      <c r="D5" s="437"/>
      <c r="E5" s="100" t="s">
        <v>162</v>
      </c>
      <c r="F5" s="157"/>
      <c r="G5" s="104"/>
      <c r="H5" s="100" t="s">
        <v>164</v>
      </c>
      <c r="I5" s="157"/>
      <c r="J5" s="104"/>
      <c r="K5" s="100" t="s">
        <v>162</v>
      </c>
      <c r="L5" s="157"/>
      <c r="M5" s="104"/>
    </row>
    <row r="6" spans="1:22" ht="15.75" thickBot="1" x14ac:dyDescent="0.3">
      <c r="A6" s="106"/>
      <c r="B6" s="438">
        <v>1020</v>
      </c>
      <c r="C6" s="434">
        <v>1030</v>
      </c>
      <c r="D6" s="435">
        <v>1050</v>
      </c>
      <c r="E6" s="438">
        <v>1020</v>
      </c>
      <c r="F6" s="434">
        <v>1030</v>
      </c>
      <c r="G6" s="435">
        <v>1050</v>
      </c>
      <c r="H6" s="438">
        <v>1020</v>
      </c>
      <c r="I6" s="434">
        <v>1030</v>
      </c>
      <c r="J6" s="435">
        <v>1050</v>
      </c>
      <c r="K6" s="438">
        <v>1020</v>
      </c>
      <c r="L6" s="434">
        <v>1030</v>
      </c>
      <c r="M6" s="435">
        <v>1050</v>
      </c>
      <c r="N6" t="s">
        <v>165</v>
      </c>
      <c r="Q6" t="s">
        <v>166</v>
      </c>
      <c r="R6" t="s">
        <v>167</v>
      </c>
    </row>
    <row r="7" spans="1:22" ht="15" customHeight="1" x14ac:dyDescent="0.25">
      <c r="A7" s="420" t="s">
        <v>168</v>
      </c>
      <c r="B7" s="191">
        <f>'W&amp;B Figures'!E16</f>
        <v>18.446593494966066</v>
      </c>
      <c r="C7" s="62">
        <f>'W&amp;B Figures'!E36</f>
        <v>18.108131246613265</v>
      </c>
      <c r="D7" s="163">
        <f>'W&amp;B Figures'!E56</f>
        <v>19.701241842515934</v>
      </c>
      <c r="E7" s="191">
        <f>'W&amp;B Figures'!E17</f>
        <v>0.19137200567174587</v>
      </c>
      <c r="F7" s="62">
        <f>'W&amp;B Figures'!E37</f>
        <v>0.41715112200115301</v>
      </c>
      <c r="G7" s="163">
        <f>'W&amp;B Figures'!E57</f>
        <v>0.1584140885294501</v>
      </c>
      <c r="H7" s="458">
        <f>'W&amp;B Figures'!G16</f>
        <v>9.1231895346555678</v>
      </c>
      <c r="I7" s="459">
        <f>'W&amp;B Figures'!G36</f>
        <v>8.9212185603026359</v>
      </c>
      <c r="J7" s="460">
        <f>'W&amp;B Figures'!G56</f>
        <v>9.2894608392091715</v>
      </c>
      <c r="K7" s="191">
        <f>'W&amp;B Figures'!G17</f>
        <v>6.2078803228551083E-2</v>
      </c>
      <c r="L7" s="62">
        <f>'W&amp;B Figures'!G37</f>
        <v>6.0899028721244086E-2</v>
      </c>
      <c r="M7" s="163">
        <f>'W&amp;B Figures'!G57</f>
        <v>4.0432999456462698E-2</v>
      </c>
      <c r="N7" s="92">
        <f t="shared" ref="N7:N18" si="0">AVERAGE(H7:J7)</f>
        <v>9.1112896447224596</v>
      </c>
      <c r="Q7" s="92">
        <f>MAX(H7:J7)</f>
        <v>9.2894608392091715</v>
      </c>
      <c r="R7" s="92">
        <f>MIN(H7:J7)</f>
        <v>8.9212185603026359</v>
      </c>
    </row>
    <row r="8" spans="1:22" ht="15.75" customHeight="1" x14ac:dyDescent="0.25">
      <c r="A8" s="421" t="s">
        <v>302</v>
      </c>
      <c r="B8" s="443">
        <f>'W&amp;B Figures'!E78</f>
        <v>19.402665631260327</v>
      </c>
      <c r="C8" s="444">
        <f>'W&amp;B Figures'!E98</f>
        <v>21.027464391271099</v>
      </c>
      <c r="D8" s="445">
        <f>'W&amp;B Figures'!E118</f>
        <v>19.611600691119115</v>
      </c>
      <c r="E8" s="443">
        <f>'W&amp;B Figures'!E79</f>
        <v>0.24698669477588256</v>
      </c>
      <c r="F8" s="444">
        <f>'W&amp;B Figures'!E99</f>
        <v>0.28030377259392664</v>
      </c>
      <c r="G8" s="445">
        <f>'W&amp;B Figures'!E119</f>
        <v>0.35247709835551155</v>
      </c>
      <c r="H8" s="461">
        <f>'W&amp;B Figures'!G78</f>
        <v>6.5542371737706349</v>
      </c>
      <c r="I8" s="462">
        <f>'W&amp;B Figures'!G98</f>
        <v>6.5502140783526679</v>
      </c>
      <c r="J8" s="463">
        <f>'W&amp;B Figures'!G118</f>
        <v>6.8347128850387699</v>
      </c>
      <c r="K8" s="443">
        <f>'W&amp;B Figures'!G79</f>
        <v>1.2315588134647554E-2</v>
      </c>
      <c r="L8" s="444">
        <f>'W&amp;B Figures'!G99</f>
        <v>2.5729478696698463E-2</v>
      </c>
      <c r="M8" s="445">
        <f>'W&amp;B Figures'!G119</f>
        <v>0.1227353599461634</v>
      </c>
      <c r="N8" s="92">
        <f t="shared" si="0"/>
        <v>6.6463880457206912</v>
      </c>
      <c r="Q8" s="92">
        <f>MAX(H8:J12)</f>
        <v>7.2791689766193661</v>
      </c>
      <c r="R8" s="92">
        <f>MIN(H8:J12)</f>
        <v>6.5502140783526679</v>
      </c>
    </row>
    <row r="9" spans="1:22" x14ac:dyDescent="0.25">
      <c r="A9" s="421" t="s">
        <v>303</v>
      </c>
      <c r="B9" s="192">
        <f>'W&amp;B Figures'!J78</f>
        <v>21.072367223560882</v>
      </c>
      <c r="C9" s="26">
        <f>'W&amp;B Figures'!J98</f>
        <v>21.650559432764204</v>
      </c>
      <c r="D9" s="164">
        <f>'W&amp;B Figures'!J118</f>
        <v>20.37912076446127</v>
      </c>
      <c r="E9" s="192">
        <f>'W&amp;B Figures'!J79</f>
        <v>0.30535565936549991</v>
      </c>
      <c r="F9" s="26">
        <f>'W&amp;B Figures'!J99</f>
        <v>0.18025876961848269</v>
      </c>
      <c r="G9" s="164">
        <f>'W&amp;B Figures'!J119</f>
        <v>0.24241123717192678</v>
      </c>
      <c r="H9" s="464">
        <f>'W&amp;B Figures'!L78</f>
        <v>6.9373839341444556</v>
      </c>
      <c r="I9" s="465">
        <f>'W&amp;B Figures'!L98</f>
        <v>7.0467488263667502</v>
      </c>
      <c r="J9" s="466">
        <f>'W&amp;B Figures'!L118</f>
        <v>7.2791689766193661</v>
      </c>
      <c r="K9" s="192">
        <f>'W&amp;B Figures'!L79</f>
        <v>2.6267862001846998E-2</v>
      </c>
      <c r="L9" s="26">
        <f>'W&amp;B Figures'!L99</f>
        <v>0.23195397327611855</v>
      </c>
      <c r="M9" s="164">
        <f>'W&amp;B Figures'!L119</f>
        <v>4.4791689726643213E-2</v>
      </c>
      <c r="N9" s="92">
        <f t="shared" si="0"/>
        <v>7.0877672457101903</v>
      </c>
      <c r="Q9" s="92"/>
      <c r="R9" s="92"/>
    </row>
    <row r="10" spans="1:22" ht="15.75" customHeight="1" x14ac:dyDescent="0.25">
      <c r="A10" s="421" t="s">
        <v>304</v>
      </c>
      <c r="B10" s="192">
        <f>'W&amp;B Figures'!E140</f>
        <v>19.804260616562924</v>
      </c>
      <c r="C10" s="26">
        <f>'W&amp;B Figures'!E160</f>
        <v>20.041630586159606</v>
      </c>
      <c r="D10" s="164">
        <f>'W&amp;B Figures'!E180</f>
        <v>19.808464965746204</v>
      </c>
      <c r="E10" s="192">
        <f>'W&amp;B Figures'!E141</f>
        <v>0.36183622504369356</v>
      </c>
      <c r="F10" s="26">
        <f>'W&amp;B Figures'!E161</f>
        <v>0.17309334506836921</v>
      </c>
      <c r="G10" s="164">
        <f>'W&amp;B Figures'!E181</f>
        <v>0.1749010652290085</v>
      </c>
      <c r="H10" s="464">
        <f>'W&amp;B Figures'!G140</f>
        <v>6.6909288003491341</v>
      </c>
      <c r="I10" s="465">
        <f>'W&amp;B Figures'!G160</f>
        <v>6.6204160948409285</v>
      </c>
      <c r="J10" s="466">
        <f>'W&amp;B Figures'!G180</f>
        <v>6.6907755052034412</v>
      </c>
      <c r="K10" s="192">
        <f>'W&amp;B Figures'!G141</f>
        <v>9.0551407169901683E-3</v>
      </c>
      <c r="L10" s="26">
        <f>'W&amp;B Figures'!G161</f>
        <v>3.3515094748372942E-2</v>
      </c>
      <c r="M10" s="164">
        <f>'W&amp;B Figures'!G181</f>
        <v>2.4817094865737764E-2</v>
      </c>
      <c r="N10" s="92">
        <f t="shared" si="0"/>
        <v>6.6673734667978346</v>
      </c>
      <c r="Q10" s="92">
        <f>Q7-Q8</f>
        <v>2.0102918625898054</v>
      </c>
      <c r="R10" s="92">
        <f>Q7-R8</f>
        <v>2.7392467608565036</v>
      </c>
    </row>
    <row r="11" spans="1:22" ht="15" customHeight="1" x14ac:dyDescent="0.25">
      <c r="A11" s="426" t="s">
        <v>305</v>
      </c>
      <c r="B11" s="192">
        <f>'W&amp;B Figures'!J140</f>
        <v>21.394822669493919</v>
      </c>
      <c r="C11" s="26">
        <f>'W&amp;B Figures'!J160</f>
        <v>21.90968175707966</v>
      </c>
      <c r="D11" s="164">
        <f>'W&amp;B Figures'!J180</f>
        <v>21.420704216733032</v>
      </c>
      <c r="E11" s="192">
        <f>'W&amp;B Figures'!J141</f>
        <v>0.12058987593971099</v>
      </c>
      <c r="F11" s="26">
        <f>'W&amp;B Figures'!J161</f>
        <v>0.18842798071292829</v>
      </c>
      <c r="G11" s="164">
        <f>'W&amp;B Figures'!J181</f>
        <v>0.19692463347167269</v>
      </c>
      <c r="H11" s="464">
        <f>'W&amp;B Figures'!L140</f>
        <v>6.9732605992381878</v>
      </c>
      <c r="I11" s="465">
        <f>'W&amp;B Figures'!L160</f>
        <v>6.8771432236659402</v>
      </c>
      <c r="J11" s="466">
        <f>'W&amp;B Figures'!L180</f>
        <v>6.8810901326311029</v>
      </c>
      <c r="K11" s="192">
        <f>'W&amp;B Figures'!L141</f>
        <v>2.9071745415316212E-2</v>
      </c>
      <c r="L11" s="26">
        <f>'W&amp;B Figures'!L161</f>
        <v>3.8928798597869886E-2</v>
      </c>
      <c r="M11" s="164">
        <f>'W&amp;B Figures'!L181</f>
        <v>4.4620643322087053E-2</v>
      </c>
      <c r="N11" s="92">
        <f t="shared" si="0"/>
        <v>6.9104979851784094</v>
      </c>
      <c r="Q11" s="92"/>
      <c r="R11" s="92"/>
    </row>
    <row r="12" spans="1:22" ht="15.75" thickBot="1" x14ac:dyDescent="0.3">
      <c r="A12" s="421" t="s">
        <v>306</v>
      </c>
      <c r="B12" s="193">
        <f>'W&amp;B Figures'!J16</f>
        <v>22.477587966063414</v>
      </c>
      <c r="C12" s="59">
        <f>'W&amp;B Figures'!J36</f>
        <v>21.814393091823074</v>
      </c>
      <c r="D12" s="165">
        <f>'W&amp;B Figures'!J56</f>
        <v>21.626469363153184</v>
      </c>
      <c r="E12" s="193">
        <f>'W&amp;B Figures'!J17</f>
        <v>0.19608282830949372</v>
      </c>
      <c r="F12" s="59">
        <f>'W&amp;B Figures'!J37</f>
        <v>0.16552554525728005</v>
      </c>
      <c r="G12" s="165">
        <f>'W&amp;B Figures'!J57</f>
        <v>0.22350799520644102</v>
      </c>
      <c r="H12" s="467">
        <f>'W&amp;B Figures'!L16</f>
        <v>6.9438271311727329</v>
      </c>
      <c r="I12" s="468">
        <f>'W&amp;B Figures'!L36</f>
        <v>6.9440566625746216</v>
      </c>
      <c r="J12" s="469">
        <f>'W&amp;B Figures'!L56</f>
        <v>7.1721412898545447</v>
      </c>
      <c r="K12" s="193">
        <f>'W&amp;B Figures'!L17</f>
        <v>3.2139975691442724E-2</v>
      </c>
      <c r="L12" s="59">
        <f>'W&amp;B Figures'!L37</f>
        <v>4.5336526323692422E-2</v>
      </c>
      <c r="M12" s="165">
        <f>'W&amp;B Figures'!L57</f>
        <v>1.9746366850208773E-2</v>
      </c>
      <c r="N12" s="92">
        <f t="shared" si="0"/>
        <v>7.0200083612006337</v>
      </c>
      <c r="Q12" s="92"/>
      <c r="R12" s="92"/>
      <c r="S12" s="68"/>
      <c r="T12" s="69"/>
      <c r="U12" s="68"/>
      <c r="V12" s="69"/>
    </row>
    <row r="13" spans="1:22" x14ac:dyDescent="0.25">
      <c r="A13" s="422" t="s">
        <v>174</v>
      </c>
      <c r="B13" s="367">
        <f>'W&amp;B Figures'!E25</f>
        <v>19.139765688162417</v>
      </c>
      <c r="C13" s="46">
        <f>'W&amp;B Figures'!E45</f>
        <v>18.866465533093351</v>
      </c>
      <c r="D13" s="351">
        <f>'W&amp;B Figures'!E65</f>
        <v>19.925669205638933</v>
      </c>
      <c r="E13" s="367">
        <f>'W&amp;B Figures'!E26</f>
        <v>0.13666314868223009</v>
      </c>
      <c r="F13" s="46">
        <f>'W&amp;B Figures'!E46</f>
        <v>0.16284379006740868</v>
      </c>
      <c r="G13" s="351">
        <f>'W&amp;B Figures'!E66</f>
        <v>0.23524599002057231</v>
      </c>
      <c r="H13" s="470">
        <f>'W&amp;B Figures'!G25</f>
        <v>3.8601735614895829</v>
      </c>
      <c r="I13" s="471">
        <f>'W&amp;B Figures'!G45</f>
        <v>3.812377715395797</v>
      </c>
      <c r="J13" s="472">
        <f>'W&amp;B Figures'!G65</f>
        <v>3.7759502569882879</v>
      </c>
      <c r="K13" s="367">
        <f>'W&amp;B Figures'!G26</f>
        <v>2.3676895281596343E-2</v>
      </c>
      <c r="L13" s="46">
        <f>'W&amp;B Figures'!G46</f>
        <v>2.3326106089982548E-2</v>
      </c>
      <c r="M13" s="351">
        <f>'W&amp;B Figures'!G66</f>
        <v>8.7451196763253317E-3</v>
      </c>
      <c r="N13" s="92">
        <f t="shared" si="0"/>
        <v>3.816167177957889</v>
      </c>
      <c r="Q13" s="92">
        <f>MAX(H13:J13)</f>
        <v>3.8601735614895829</v>
      </c>
      <c r="R13" s="92">
        <f>MIN(H13:J13)</f>
        <v>3.7759502569882879</v>
      </c>
    </row>
    <row r="14" spans="1:22" ht="15" customHeight="1" x14ac:dyDescent="0.25">
      <c r="A14" s="423" t="s">
        <v>307</v>
      </c>
      <c r="B14" s="443">
        <f>'W&amp;B Figures'!E87</f>
        <v>20.001524244456846</v>
      </c>
      <c r="C14" s="444">
        <f>'W&amp;B Figures'!E107</f>
        <v>20.917969581816426</v>
      </c>
      <c r="D14" s="445">
        <f>'W&amp;B Figures'!E127</f>
        <v>20.453478389925976</v>
      </c>
      <c r="E14" s="443">
        <f>'W&amp;B Figures'!E88</f>
        <v>0.18069449977365604</v>
      </c>
      <c r="F14" s="444">
        <f>'W&amp;B Figures'!E108</f>
        <v>0.24623101212156495</v>
      </c>
      <c r="G14" s="445">
        <f>'W&amp;B Figures'!E128</f>
        <v>0.12103316940491439</v>
      </c>
      <c r="H14" s="461">
        <f>'W&amp;B Figures'!G87</f>
        <v>3.1010471600655065</v>
      </c>
      <c r="I14" s="462">
        <f>'W&amp;B Figures'!G107</f>
        <v>3.0937416285020083</v>
      </c>
      <c r="J14" s="463">
        <f>'W&amp;B Figures'!G127</f>
        <v>3.251131695375947</v>
      </c>
      <c r="K14" s="443">
        <f>'W&amp;B Figures'!G88</f>
        <v>2.2301262025119676E-2</v>
      </c>
      <c r="L14" s="444">
        <f>'W&amp;B Figures'!G108</f>
        <v>1.3721387917954846E-2</v>
      </c>
      <c r="M14" s="445">
        <f>'W&amp;B Figures'!G128</f>
        <v>1.5607548863274784E-2</v>
      </c>
      <c r="N14" s="92">
        <f t="shared" si="0"/>
        <v>3.148640161314487</v>
      </c>
      <c r="Q14" s="92">
        <f>MAX(H14:J18)</f>
        <v>3.6731045109975544</v>
      </c>
      <c r="R14" s="92">
        <f>MIN(H14:J18)</f>
        <v>3.0937416285020083</v>
      </c>
    </row>
    <row r="15" spans="1:22" ht="15" customHeight="1" x14ac:dyDescent="0.25">
      <c r="A15" s="424" t="s">
        <v>308</v>
      </c>
      <c r="B15" s="192">
        <f>'W&amp;B Figures'!J87</f>
        <v>21.852841807112867</v>
      </c>
      <c r="C15" s="26">
        <f>'W&amp;B Figures'!J107</f>
        <v>21.748573227417022</v>
      </c>
      <c r="D15" s="164">
        <f>'W&amp;B Figures'!J127</f>
        <v>20.954891526957557</v>
      </c>
      <c r="E15" s="192">
        <f>'W&amp;B Figures'!J88</f>
        <v>0.20758062186549869</v>
      </c>
      <c r="F15" s="26">
        <f>'W&amp;B Figures'!J108</f>
        <v>9.1419691042331219E-2</v>
      </c>
      <c r="G15" s="164">
        <f>'W&amp;B Figures'!J128</f>
        <v>0.1460945219004281</v>
      </c>
      <c r="H15" s="464">
        <f>'W&amp;B Figures'!L87</f>
        <v>3.5028860573219212</v>
      </c>
      <c r="I15" s="465">
        <f>'W&amp;B Figures'!L107</f>
        <v>3.439638593514124</v>
      </c>
      <c r="J15" s="466">
        <f>'W&amp;B Figures'!L127</f>
        <v>3.6731045109975544</v>
      </c>
      <c r="K15" s="192">
        <f>'W&amp;B Figures'!L88</f>
        <v>2.3508013945029316E-2</v>
      </c>
      <c r="L15" s="26">
        <f>'W&amp;B Figures'!L108</f>
        <v>2.0090044430702326E-2</v>
      </c>
      <c r="M15" s="164">
        <f>'W&amp;B Figures'!L128</f>
        <v>2.012409554496063E-2</v>
      </c>
      <c r="N15" s="92">
        <f t="shared" si="0"/>
        <v>3.5385430539445331</v>
      </c>
      <c r="Q15" s="92"/>
      <c r="R15" s="92"/>
    </row>
    <row r="16" spans="1:22" ht="15" customHeight="1" x14ac:dyDescent="0.25">
      <c r="A16" s="423" t="s">
        <v>309</v>
      </c>
      <c r="B16" s="192">
        <f>'W&amp;B Figures'!E149</f>
        <v>20.789017008877078</v>
      </c>
      <c r="C16" s="26">
        <f>'W&amp;B Figures'!E169</f>
        <v>20.623606533891834</v>
      </c>
      <c r="D16" s="164">
        <f>'W&amp;B Figures'!E189</f>
        <v>20.508360707421367</v>
      </c>
      <c r="E16" s="192">
        <f>'W&amp;B Figures'!E150</f>
        <v>0.16955189271211243</v>
      </c>
      <c r="F16" s="26">
        <f>'W&amp;B Figures'!E170</f>
        <v>0.19672488838825553</v>
      </c>
      <c r="G16" s="164">
        <f>'W&amp;B Figures'!E190</f>
        <v>0.19505429825937323</v>
      </c>
      <c r="H16" s="464">
        <f>'W&amp;B Figures'!G149</f>
        <v>3.1811590727441699</v>
      </c>
      <c r="I16" s="465">
        <f>'W&amp;B Figures'!G169</f>
        <v>3.1919325495340827</v>
      </c>
      <c r="J16" s="466">
        <f>'W&amp;B Figures'!G189</f>
        <v>3.2262479733897105</v>
      </c>
      <c r="K16" s="192">
        <f>'W&amp;B Figures'!G150</f>
        <v>1.3283684215876562E-2</v>
      </c>
      <c r="L16" s="26">
        <f>'W&amp;B Figures'!G170</f>
        <v>2.3272234837780851E-2</v>
      </c>
      <c r="M16" s="164">
        <f>'W&amp;B Figures'!G190</f>
        <v>2.9407907195359524E-2</v>
      </c>
      <c r="N16" s="92">
        <f t="shared" si="0"/>
        <v>3.1997798652226543</v>
      </c>
      <c r="Q16" s="92">
        <f>Q13-Q14</f>
        <v>0.18706905049202849</v>
      </c>
      <c r="R16" s="92">
        <f>Q13-R14</f>
        <v>0.76643193298757462</v>
      </c>
    </row>
    <row r="17" spans="1:21" ht="15.75" customHeight="1" thickBot="1" x14ac:dyDescent="0.3">
      <c r="A17" s="425" t="s">
        <v>310</v>
      </c>
      <c r="B17" s="192">
        <f>'W&amp;B Figures'!J149</f>
        <v>21.165691795378404</v>
      </c>
      <c r="C17" s="26">
        <f>'W&amp;B Figures'!J169</f>
        <v>21.31668503012099</v>
      </c>
      <c r="D17" s="164">
        <f>'W&amp;B Figures'!J189</f>
        <v>21.242148589603342</v>
      </c>
      <c r="E17" s="192">
        <f>'W&amp;B Figures'!J150</f>
        <v>0.30535237722411285</v>
      </c>
      <c r="F17" s="26">
        <f>'W&amp;B Figures'!J170</f>
        <v>7.1505223680149263E-2</v>
      </c>
      <c r="G17" s="164">
        <f>'W&amp;B Figures'!J190</f>
        <v>0.1841472315188801</v>
      </c>
      <c r="H17" s="464">
        <f>'W&amp;B Figures'!L149</f>
        <v>3.3032789810594592</v>
      </c>
      <c r="I17" s="465">
        <f>'W&amp;B Figures'!L169</f>
        <v>3.3091997074810804</v>
      </c>
      <c r="J17" s="466">
        <f>'W&amp;B Figures'!L189</f>
        <v>3.3191854303755557</v>
      </c>
      <c r="K17" s="192">
        <f>'W&amp;B Figures'!L150</f>
        <v>2.4748617075922141E-2</v>
      </c>
      <c r="L17" s="26">
        <f>'W&amp;B Figures'!L170</f>
        <v>2.3830560115305308E-2</v>
      </c>
      <c r="M17" s="164">
        <f>'W&amp;B Figures'!L190</f>
        <v>3.3672458835048998E-2</v>
      </c>
      <c r="N17" s="92">
        <f t="shared" si="0"/>
        <v>3.3105547063053655</v>
      </c>
      <c r="Q17" s="92"/>
      <c r="R17" s="92"/>
      <c r="S17" s="3"/>
    </row>
    <row r="18" spans="1:21" ht="15.75" customHeight="1" thickBot="1" x14ac:dyDescent="0.3">
      <c r="A18" s="423" t="s">
        <v>311</v>
      </c>
      <c r="B18" s="193">
        <f>'W&amp;B Figures'!J25</f>
        <v>22.558824098143955</v>
      </c>
      <c r="C18" s="59">
        <f>'W&amp;B Figures'!J45</f>
        <v>22.151142113288508</v>
      </c>
      <c r="D18" s="165">
        <f>'W&amp;B Figures'!J65</f>
        <v>22.764289069657732</v>
      </c>
      <c r="E18" s="193">
        <f>'W&amp;B Figures'!J26</f>
        <v>0.14145916882548087</v>
      </c>
      <c r="F18" s="59">
        <f>'W&amp;B Figures'!J46</f>
        <v>0.18005963680380596</v>
      </c>
      <c r="G18" s="165">
        <f>'W&amp;B Figures'!J66</f>
        <v>0.30107125898357057</v>
      </c>
      <c r="H18" s="467">
        <f>'W&amp;B Figures'!L25</f>
        <v>3.3329064278690126</v>
      </c>
      <c r="I18" s="468">
        <f>'W&amp;B Figures'!L45</f>
        <v>3.2559846549222096</v>
      </c>
      <c r="J18" s="469">
        <f>'W&amp;B Figures'!L65</f>
        <v>3.2721680210046729</v>
      </c>
      <c r="K18" s="193">
        <f>'W&amp;B Figures'!L26</f>
        <v>2.0012080337102587E-2</v>
      </c>
      <c r="L18" s="59">
        <f>'W&amp;B Figures'!L46</f>
        <v>2.1743057539692658E-2</v>
      </c>
      <c r="M18" s="165">
        <f>'W&amp;B Figures'!L66</f>
        <v>2.0193584092556473E-2</v>
      </c>
      <c r="N18" s="92">
        <f t="shared" si="0"/>
        <v>3.2870197012652986</v>
      </c>
      <c r="O18" s="92"/>
      <c r="R18"/>
    </row>
    <row r="19" spans="1:21" ht="15" customHeight="1" x14ac:dyDescent="0.25">
      <c r="F19" s="121"/>
      <c r="G19" s="69"/>
      <c r="H19" s="66"/>
      <c r="I19" s="68"/>
      <c r="J19" s="69"/>
      <c r="K19" s="3"/>
      <c r="L19" s="3"/>
      <c r="M19" s="3"/>
      <c r="N19" s="3"/>
      <c r="O19" s="3"/>
      <c r="R19"/>
    </row>
    <row r="20" spans="1:21" ht="15" customHeight="1" x14ac:dyDescent="0.25">
      <c r="F20" s="121"/>
      <c r="G20" s="69"/>
      <c r="H20" s="66"/>
      <c r="I20" s="68"/>
      <c r="J20" s="69"/>
      <c r="K20" s="3"/>
      <c r="L20" s="3"/>
      <c r="M20" s="3"/>
      <c r="N20" s="3"/>
      <c r="O20" s="3"/>
      <c r="R20"/>
    </row>
    <row r="21" spans="1:21" ht="15" customHeight="1" x14ac:dyDescent="0.25">
      <c r="F21" s="121"/>
      <c r="G21" s="69"/>
      <c r="H21" s="66"/>
      <c r="I21" s="68"/>
      <c r="J21" s="69"/>
      <c r="K21" s="3"/>
      <c r="L21" s="3"/>
      <c r="M21" s="3"/>
      <c r="N21" s="3"/>
      <c r="O21" s="3"/>
      <c r="R21"/>
    </row>
    <row r="22" spans="1:21" ht="15" customHeight="1" x14ac:dyDescent="0.25">
      <c r="F22" s="121"/>
      <c r="G22" s="69"/>
      <c r="H22" s="66"/>
      <c r="I22" s="68"/>
      <c r="K22" s="3"/>
      <c r="L22" s="3"/>
      <c r="N22" s="3"/>
      <c r="O22" s="3"/>
      <c r="R22"/>
    </row>
    <row r="23" spans="1:21" ht="15.75" customHeight="1" x14ac:dyDescent="0.25">
      <c r="F23" s="121"/>
      <c r="G23" s="69"/>
      <c r="H23" s="66"/>
      <c r="K23" s="3"/>
      <c r="N23" s="3"/>
      <c r="O23" s="3"/>
      <c r="R23"/>
    </row>
    <row r="24" spans="1:21" ht="15.75" customHeight="1" x14ac:dyDescent="0.25">
      <c r="F24" s="121"/>
      <c r="G24" s="69"/>
      <c r="H24" s="70"/>
      <c r="J24" s="69"/>
      <c r="M24" s="3"/>
      <c r="Q24" s="3"/>
      <c r="R24" s="3"/>
      <c r="S24" s="3"/>
      <c r="T24" s="3"/>
      <c r="U24" s="3"/>
    </row>
    <row r="25" spans="1:21" ht="15.75" customHeight="1" x14ac:dyDescent="0.25">
      <c r="F25" s="121"/>
      <c r="G25" s="69"/>
      <c r="H25" s="66"/>
      <c r="I25" s="68"/>
      <c r="J25" s="69"/>
      <c r="L25" s="3"/>
      <c r="M25" s="3"/>
      <c r="Q25" s="3"/>
      <c r="R25" s="3"/>
      <c r="S25" s="3"/>
      <c r="T25" s="3"/>
      <c r="U25" s="3"/>
    </row>
    <row r="26" spans="1:21" ht="15" customHeight="1" x14ac:dyDescent="0.25">
      <c r="D26" s="121"/>
      <c r="F26" s="121"/>
      <c r="G26" s="69"/>
      <c r="H26" s="66"/>
      <c r="I26" s="68"/>
      <c r="J26" s="69"/>
      <c r="K26" s="3"/>
      <c r="L26" s="3"/>
      <c r="M26" s="3"/>
      <c r="N26" s="3"/>
      <c r="O26" s="3"/>
      <c r="R26"/>
    </row>
    <row r="27" spans="1:21" ht="15" customHeight="1" x14ac:dyDescent="0.25">
      <c r="D27" s="121"/>
      <c r="F27" s="121"/>
      <c r="G27" s="69"/>
      <c r="H27" s="66"/>
      <c r="I27" s="68"/>
      <c r="J27" s="69"/>
      <c r="K27" s="3"/>
      <c r="L27" s="3"/>
      <c r="M27" s="3"/>
      <c r="N27" s="3"/>
      <c r="O27" s="3"/>
      <c r="R27"/>
    </row>
    <row r="28" spans="1:21" ht="15" customHeight="1" x14ac:dyDescent="0.25">
      <c r="B28" s="67"/>
      <c r="D28" s="121"/>
      <c r="F28" s="121"/>
      <c r="G28" s="69"/>
      <c r="H28" s="66"/>
      <c r="I28" s="68"/>
      <c r="J28" s="69"/>
      <c r="K28" s="3"/>
      <c r="L28" s="3"/>
      <c r="M28" s="3"/>
      <c r="N28" s="3"/>
      <c r="O28" s="3"/>
      <c r="R28"/>
    </row>
    <row r="29" spans="1:21" ht="15" customHeight="1" x14ac:dyDescent="0.25">
      <c r="B29" s="67"/>
      <c r="D29" s="121"/>
      <c r="F29" s="121"/>
      <c r="G29" s="69"/>
      <c r="H29" s="66"/>
      <c r="I29" s="68"/>
      <c r="J29" s="69"/>
      <c r="K29" s="3"/>
      <c r="L29" s="3"/>
      <c r="M29" s="3"/>
      <c r="N29" s="3"/>
      <c r="O29" s="3"/>
      <c r="R29"/>
    </row>
    <row r="30" spans="1:21" ht="15" customHeight="1" x14ac:dyDescent="0.25">
      <c r="B30" s="67"/>
      <c r="D30" s="121"/>
      <c r="F30" s="121"/>
      <c r="G30" s="69"/>
      <c r="H30" s="66"/>
      <c r="I30" s="68"/>
      <c r="J30" s="69"/>
      <c r="K30" s="3"/>
      <c r="L30" s="3"/>
      <c r="M30" s="3"/>
      <c r="N30" s="3"/>
      <c r="O30" s="3"/>
      <c r="R30"/>
    </row>
    <row r="31" spans="1:21" ht="15" customHeight="1" x14ac:dyDescent="0.25">
      <c r="B31" s="67"/>
      <c r="D31" s="121"/>
      <c r="F31" s="121"/>
      <c r="G31" s="69"/>
      <c r="H31" s="70"/>
      <c r="I31" s="68"/>
      <c r="K31" s="3"/>
      <c r="L31" s="3"/>
      <c r="N31" s="3"/>
      <c r="O31" s="3"/>
      <c r="R31"/>
    </row>
    <row r="32" spans="1:21" ht="15.95" customHeight="1" x14ac:dyDescent="0.25">
      <c r="B32" s="67"/>
      <c r="D32" s="121"/>
      <c r="F32" s="121"/>
      <c r="G32" s="69"/>
      <c r="H32" s="66"/>
      <c r="K32" s="3"/>
      <c r="N32" s="3"/>
      <c r="O32" s="3"/>
      <c r="R32"/>
    </row>
    <row r="33" spans="2:22" ht="15.75" customHeight="1" x14ac:dyDescent="0.25">
      <c r="B33" s="67"/>
      <c r="D33" s="121"/>
      <c r="F33" s="121"/>
      <c r="G33" s="69"/>
      <c r="H33" s="66"/>
      <c r="J33" s="69"/>
      <c r="M33" s="69"/>
      <c r="Q33" s="3"/>
      <c r="R33" s="3"/>
      <c r="S33" s="3"/>
      <c r="T33" s="3"/>
      <c r="U33" s="3"/>
    </row>
    <row r="34" spans="2:22" ht="15.75" customHeight="1" x14ac:dyDescent="0.25">
      <c r="B34" s="67"/>
      <c r="D34" s="121"/>
      <c r="F34" s="121"/>
      <c r="G34" s="69"/>
      <c r="H34" s="66"/>
      <c r="I34" s="69"/>
      <c r="J34" s="69"/>
      <c r="L34" s="69"/>
      <c r="M34" s="69"/>
      <c r="Q34" s="3"/>
      <c r="R34" s="3"/>
      <c r="S34" s="3"/>
      <c r="T34" s="3"/>
      <c r="U34" s="3"/>
    </row>
    <row r="35" spans="2:22" x14ac:dyDescent="0.25">
      <c r="B35" s="67"/>
      <c r="D35" s="121"/>
      <c r="F35" s="121"/>
      <c r="G35" s="69"/>
      <c r="H35" s="66"/>
      <c r="I35" s="69"/>
      <c r="J35" s="69"/>
      <c r="K35" s="69"/>
      <c r="L35" s="69"/>
      <c r="M35" s="69"/>
      <c r="N35" s="69"/>
      <c r="O35" s="69"/>
      <c r="P35" s="69"/>
      <c r="Q35" s="69"/>
      <c r="R35"/>
    </row>
    <row r="36" spans="2:22" ht="15" customHeight="1" x14ac:dyDescent="0.25">
      <c r="B36" s="67"/>
      <c r="D36" s="121"/>
      <c r="F36" s="121"/>
      <c r="G36" s="121"/>
      <c r="H36" s="66"/>
      <c r="I36" s="69"/>
      <c r="J36" s="69"/>
      <c r="K36" s="69"/>
      <c r="L36" s="69"/>
      <c r="M36" s="69"/>
      <c r="N36" s="69"/>
      <c r="O36" s="69"/>
      <c r="P36" s="69"/>
      <c r="Q36" s="69"/>
      <c r="R36" s="3"/>
      <c r="S36" s="3"/>
      <c r="T36" s="3"/>
      <c r="U36" s="3"/>
    </row>
    <row r="37" spans="2:22" ht="15" customHeight="1" x14ac:dyDescent="0.25">
      <c r="B37" s="67"/>
      <c r="D37" s="121"/>
      <c r="F37" s="121"/>
      <c r="G37" s="121"/>
      <c r="H37" s="66"/>
      <c r="I37" s="69"/>
      <c r="J37" s="69"/>
      <c r="K37" s="69"/>
      <c r="L37" s="69"/>
      <c r="M37" s="69"/>
      <c r="N37" s="69"/>
      <c r="O37" s="69"/>
      <c r="P37" s="69"/>
      <c r="Q37" s="69"/>
      <c r="R37" s="3"/>
      <c r="S37" s="3"/>
      <c r="T37" s="3"/>
      <c r="U37" s="3"/>
    </row>
    <row r="38" spans="2:22" ht="15" customHeight="1" x14ac:dyDescent="0.25">
      <c r="B38" s="67"/>
      <c r="D38" s="121"/>
      <c r="F38" s="69"/>
      <c r="G38" s="121"/>
      <c r="H38" s="69"/>
      <c r="I38" s="68"/>
      <c r="J38" s="69"/>
      <c r="K38" s="69"/>
      <c r="L38" s="69"/>
      <c r="M38" s="69"/>
      <c r="N38" s="69"/>
      <c r="O38" s="69"/>
      <c r="P38" s="69"/>
      <c r="Q38" s="69"/>
      <c r="R38" s="3"/>
      <c r="S38" s="3"/>
      <c r="T38" s="3"/>
      <c r="U38" s="3"/>
    </row>
    <row r="39" spans="2:22" ht="15" customHeight="1" x14ac:dyDescent="0.25">
      <c r="B39" s="67"/>
      <c r="D39" s="121"/>
      <c r="F39" s="69"/>
      <c r="G39" s="121"/>
      <c r="H39" s="69"/>
      <c r="I39" s="68"/>
      <c r="J39" s="69"/>
      <c r="K39" s="69"/>
      <c r="L39" s="69"/>
      <c r="M39" s="69"/>
      <c r="N39" s="69"/>
      <c r="O39" s="69"/>
      <c r="P39" s="69"/>
      <c r="Q39" s="69"/>
      <c r="R39" s="69"/>
      <c r="S39" s="3"/>
      <c r="T39" s="3"/>
      <c r="U39" s="3"/>
      <c r="V39" s="3"/>
    </row>
    <row r="40" spans="2:22" ht="15" customHeight="1" x14ac:dyDescent="0.25">
      <c r="B40" s="67"/>
      <c r="D40" s="121"/>
      <c r="F40" s="69"/>
      <c r="G40" s="121"/>
      <c r="H40" s="69"/>
      <c r="I40" s="68"/>
      <c r="J40" s="69"/>
      <c r="K40" s="69"/>
      <c r="L40" s="69"/>
      <c r="M40" s="69"/>
      <c r="N40" s="69"/>
      <c r="O40" s="69"/>
      <c r="P40" s="69"/>
      <c r="Q40" s="69"/>
      <c r="R40" s="69"/>
      <c r="S40" s="3"/>
      <c r="T40" s="3"/>
      <c r="U40" s="3"/>
      <c r="V40" s="3"/>
    </row>
    <row r="41" spans="2:22" ht="15" customHeight="1" x14ac:dyDescent="0.25">
      <c r="B41" s="67"/>
      <c r="D41" s="121"/>
      <c r="F41" s="69"/>
      <c r="G41" s="121"/>
      <c r="H41" s="69"/>
      <c r="I41" s="68"/>
      <c r="J41" s="69"/>
      <c r="K41" s="69"/>
      <c r="L41" s="69"/>
      <c r="M41" s="69"/>
      <c r="N41" s="69"/>
      <c r="O41" s="69"/>
      <c r="P41" s="69"/>
      <c r="Q41" s="69"/>
      <c r="R41" s="69"/>
      <c r="S41" s="3"/>
      <c r="T41" s="3"/>
      <c r="U41" s="3"/>
      <c r="V41" s="3"/>
    </row>
    <row r="42" spans="2:22" ht="15.95" customHeight="1" x14ac:dyDescent="0.25">
      <c r="B42" s="67"/>
      <c r="D42" s="121"/>
      <c r="F42" s="69"/>
      <c r="G42" s="121"/>
      <c r="H42" s="69"/>
      <c r="I42" s="68"/>
      <c r="J42" s="68"/>
      <c r="K42" s="69"/>
      <c r="L42" s="69"/>
      <c r="N42" s="69"/>
      <c r="O42" s="69"/>
      <c r="P42" s="69"/>
      <c r="Q42" s="69"/>
      <c r="R42" s="69"/>
      <c r="S42" s="3"/>
      <c r="T42" s="3"/>
      <c r="U42" s="3"/>
      <c r="V42" s="3"/>
    </row>
    <row r="43" spans="2:22" x14ac:dyDescent="0.25">
      <c r="B43" s="67"/>
      <c r="F43" s="69"/>
      <c r="H43" s="69"/>
      <c r="I43" s="68"/>
      <c r="J43" s="68"/>
      <c r="K43" s="69"/>
      <c r="L43" s="69"/>
      <c r="N43" s="69"/>
      <c r="O43" s="69"/>
      <c r="P43" s="69"/>
      <c r="Q43" s="69"/>
      <c r="R43" s="69"/>
    </row>
    <row r="44" spans="2:22" x14ac:dyDescent="0.25">
      <c r="B44" s="67"/>
      <c r="F44" s="69"/>
      <c r="H44" s="69"/>
      <c r="I44" s="68"/>
      <c r="J44" s="68"/>
      <c r="K44" s="68"/>
      <c r="L44" s="69"/>
    </row>
    <row r="45" spans="2:22" x14ac:dyDescent="0.25">
      <c r="J45" s="68"/>
      <c r="K45" s="68"/>
      <c r="L45" s="69"/>
    </row>
    <row r="46" spans="2:22" ht="15" customHeight="1" x14ac:dyDescent="0.25">
      <c r="J46" s="68"/>
      <c r="K46" s="68"/>
      <c r="L46" s="69"/>
    </row>
    <row r="47" spans="2:22" x14ac:dyDescent="0.25">
      <c r="J47" s="68"/>
      <c r="K47" s="68"/>
      <c r="L47" s="69"/>
    </row>
    <row r="48" spans="2:22" x14ac:dyDescent="0.25">
      <c r="J48" s="68"/>
      <c r="K48" s="68"/>
      <c r="L48" s="69"/>
    </row>
    <row r="49" spans="10:12" x14ac:dyDescent="0.25">
      <c r="J49" s="68"/>
      <c r="K49" s="68"/>
      <c r="L49" s="69"/>
    </row>
    <row r="50" spans="10:12" x14ac:dyDescent="0.25">
      <c r="J50" s="68"/>
      <c r="K50" s="68"/>
      <c r="L50" s="69"/>
    </row>
    <row r="51" spans="10:12" x14ac:dyDescent="0.25">
      <c r="K51" s="68"/>
      <c r="L51" s="69"/>
    </row>
    <row r="52" spans="10:12" x14ac:dyDescent="0.25">
      <c r="K52" s="68"/>
    </row>
    <row r="56" spans="10:12" ht="15.75" x14ac:dyDescent="0.25">
      <c r="J56" s="3"/>
    </row>
    <row r="57" spans="10:12" ht="15.75" x14ac:dyDescent="0.25">
      <c r="J57" s="64"/>
      <c r="L57" s="3"/>
    </row>
    <row r="58" spans="10:12" ht="15.75" x14ac:dyDescent="0.25">
      <c r="J58" s="68"/>
      <c r="K58" s="3"/>
      <c r="L58" s="65"/>
    </row>
    <row r="59" spans="10:12" x14ac:dyDescent="0.25">
      <c r="J59" s="68"/>
      <c r="K59" s="64"/>
      <c r="L59" s="69"/>
    </row>
    <row r="60" spans="10:12" x14ac:dyDescent="0.25">
      <c r="J60" s="68"/>
      <c r="K60" s="68"/>
      <c r="L60" s="69"/>
    </row>
    <row r="61" spans="10:12" x14ac:dyDescent="0.25">
      <c r="J61" s="68"/>
      <c r="K61" s="68"/>
      <c r="L61" s="69"/>
    </row>
    <row r="62" spans="10:12" x14ac:dyDescent="0.25">
      <c r="J62" s="68"/>
      <c r="K62" s="68"/>
      <c r="L62" s="69"/>
    </row>
    <row r="63" spans="10:12" x14ac:dyDescent="0.25">
      <c r="J63" s="68"/>
      <c r="K63" s="68"/>
      <c r="L63" s="69"/>
    </row>
    <row r="64" spans="10:12" x14ac:dyDescent="0.25">
      <c r="J64" s="68"/>
      <c r="K64" s="68"/>
      <c r="L64" s="69"/>
    </row>
    <row r="65" spans="10:12" x14ac:dyDescent="0.25">
      <c r="J65" s="68"/>
      <c r="K65" s="68"/>
      <c r="L65" s="69"/>
    </row>
    <row r="66" spans="10:12" x14ac:dyDescent="0.25">
      <c r="J66" s="68"/>
      <c r="K66" s="68"/>
      <c r="L66" s="69"/>
    </row>
    <row r="67" spans="10:12" x14ac:dyDescent="0.25">
      <c r="J67" s="68"/>
      <c r="K67" s="68"/>
      <c r="L67" s="69"/>
    </row>
    <row r="68" spans="10:12" x14ac:dyDescent="0.25">
      <c r="J68" s="68"/>
      <c r="K68" s="68"/>
      <c r="L68" s="69"/>
    </row>
    <row r="69" spans="10:12" x14ac:dyDescent="0.25">
      <c r="J69" s="68"/>
      <c r="K69" s="68"/>
      <c r="L69" s="69"/>
    </row>
    <row r="70" spans="10:12" x14ac:dyDescent="0.25">
      <c r="J70" s="68"/>
      <c r="K70" s="68"/>
      <c r="L70" s="69"/>
    </row>
    <row r="71" spans="10:12" x14ac:dyDescent="0.25">
      <c r="J71" s="68"/>
      <c r="K71" s="68"/>
      <c r="L71" s="69"/>
    </row>
    <row r="72" spans="10:12" x14ac:dyDescent="0.25">
      <c r="J72" s="68"/>
      <c r="K72" s="68"/>
      <c r="L72" s="69"/>
    </row>
    <row r="73" spans="10:12" x14ac:dyDescent="0.25">
      <c r="J73" s="68"/>
      <c r="K73" s="68"/>
      <c r="L73" s="69"/>
    </row>
    <row r="74" spans="10:12" x14ac:dyDescent="0.25">
      <c r="J74" s="68"/>
      <c r="K74" s="68"/>
      <c r="L74" s="69"/>
    </row>
    <row r="75" spans="10:12" x14ac:dyDescent="0.25">
      <c r="J75" s="68"/>
      <c r="K75" s="68"/>
      <c r="L75" s="69"/>
    </row>
    <row r="76" spans="10:12" x14ac:dyDescent="0.25">
      <c r="J76" s="68"/>
      <c r="K76" s="68"/>
      <c r="L76" s="69"/>
    </row>
    <row r="77" spans="10:12" x14ac:dyDescent="0.25">
      <c r="J77" s="68"/>
      <c r="K77" s="68"/>
      <c r="L77" s="69"/>
    </row>
    <row r="78" spans="10:12" x14ac:dyDescent="0.25">
      <c r="J78" s="68"/>
      <c r="K78" s="68"/>
      <c r="L78" s="69"/>
    </row>
    <row r="79" spans="10:12" x14ac:dyDescent="0.25">
      <c r="J79" s="68"/>
      <c r="K79" s="68"/>
      <c r="L79" s="69"/>
    </row>
    <row r="80" spans="10:12" x14ac:dyDescent="0.25">
      <c r="J80" s="68"/>
      <c r="K80" s="68"/>
      <c r="L80" s="69"/>
    </row>
    <row r="81" spans="10:12" x14ac:dyDescent="0.25">
      <c r="J81" s="68"/>
      <c r="K81" s="68"/>
      <c r="L81" s="69"/>
    </row>
    <row r="82" spans="10:12" x14ac:dyDescent="0.25">
      <c r="J82" s="68"/>
      <c r="K82" s="68"/>
      <c r="L82" s="69"/>
    </row>
    <row r="83" spans="10:12" x14ac:dyDescent="0.25">
      <c r="J83" s="68"/>
      <c r="K83" s="68"/>
      <c r="L83" s="69"/>
    </row>
    <row r="84" spans="10:12" x14ac:dyDescent="0.25">
      <c r="J84" s="68"/>
      <c r="K84" s="68"/>
      <c r="L84" s="69"/>
    </row>
    <row r="85" spans="10:12" x14ac:dyDescent="0.25">
      <c r="J85" s="68"/>
      <c r="K85" s="68"/>
      <c r="L85" s="69"/>
    </row>
    <row r="86" spans="10:12" x14ac:dyDescent="0.25">
      <c r="K86" s="68"/>
      <c r="L86" s="69"/>
    </row>
    <row r="87" spans="10:12" x14ac:dyDescent="0.25">
      <c r="K87" s="6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9686-18EE-4B2C-8412-CE755B1A56C2}">
  <sheetPr>
    <pageSetUpPr fitToPage="1"/>
  </sheetPr>
  <dimension ref="A1:BS395"/>
  <sheetViews>
    <sheetView topLeftCell="A42" zoomScale="70" zoomScaleNormal="70" workbookViewId="0">
      <selection activeCell="F66" sqref="F66"/>
    </sheetView>
  </sheetViews>
  <sheetFormatPr defaultColWidth="8.85546875" defaultRowHeight="15" x14ac:dyDescent="0.25"/>
  <cols>
    <col min="1" max="1" width="16.85546875" customWidth="1"/>
    <col min="2" max="2" width="19" customWidth="1"/>
    <col min="3" max="11" width="12.7109375" customWidth="1"/>
    <col min="12" max="12" width="16.85546875" customWidth="1"/>
    <col min="13" max="13" width="17" customWidth="1"/>
    <col min="14" max="22" width="12.7109375" customWidth="1"/>
    <col min="23" max="23" width="15.28515625" customWidth="1"/>
    <col min="24" max="24" width="15.42578125" customWidth="1"/>
    <col min="25" max="26" width="12.7109375" customWidth="1"/>
    <col min="27" max="27" width="16" customWidth="1"/>
    <col min="28" max="28" width="13.7109375" customWidth="1"/>
    <col min="29" max="29" width="15.42578125" customWidth="1"/>
    <col min="30" max="37" width="12.7109375" customWidth="1"/>
    <col min="38" max="38" width="16" customWidth="1"/>
    <col min="39" max="39" width="15" customWidth="1"/>
    <col min="40" max="40" width="15.42578125" customWidth="1"/>
    <col min="41" max="41" width="16.7109375" customWidth="1"/>
    <col min="42" max="48" width="12.7109375" customWidth="1"/>
    <col min="49" max="49" width="15.85546875" customWidth="1"/>
    <col min="50" max="50" width="15.28515625" customWidth="1"/>
    <col min="51" max="51" width="16.5703125" customWidth="1"/>
    <col min="52" max="52" width="13.5703125" customWidth="1"/>
    <col min="53" max="53" width="16.28515625" customWidth="1"/>
    <col min="54" max="54" width="14.42578125" customWidth="1"/>
    <col min="55" max="55" width="7.7109375" customWidth="1"/>
    <col min="56" max="56" width="15" customWidth="1"/>
    <col min="57" max="57" width="13.7109375" customWidth="1"/>
    <col min="58" max="58" width="12.7109375" customWidth="1"/>
    <col min="59" max="59" width="12.5703125" customWidth="1"/>
    <col min="60" max="60" width="11.42578125" customWidth="1"/>
    <col min="61" max="61" width="13" customWidth="1"/>
    <col min="62" max="62" width="12.28515625" customWidth="1"/>
    <col min="63" max="63" width="12.5703125" customWidth="1"/>
    <col min="64" max="64" width="7.7109375" customWidth="1"/>
    <col min="65" max="65" width="12.140625" customWidth="1"/>
    <col min="66" max="67" width="12.5703125" customWidth="1"/>
    <col min="68" max="68" width="10.5703125" customWidth="1"/>
    <col min="69" max="69" width="12.28515625" customWidth="1"/>
    <col min="70" max="70" width="13" customWidth="1"/>
    <col min="71" max="71" width="13.140625" customWidth="1"/>
    <col min="72" max="72" width="11" customWidth="1"/>
    <col min="73" max="73" width="11.140625" customWidth="1"/>
    <col min="74" max="74" width="14.42578125" customWidth="1"/>
  </cols>
  <sheetData>
    <row r="1" spans="1:71" ht="18.75" x14ac:dyDescent="0.3">
      <c r="A1" s="483" t="s">
        <v>180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</row>
    <row r="3" spans="1:71" x14ac:dyDescent="0.25">
      <c r="A3" s="1" t="s">
        <v>56</v>
      </c>
      <c r="B3" s="1">
        <f>[1]Mixing!B3</f>
        <v>0</v>
      </c>
    </row>
    <row r="4" spans="1:71" x14ac:dyDescent="0.25">
      <c r="A4" s="1" t="s">
        <v>57</v>
      </c>
      <c r="B4" s="2"/>
    </row>
    <row r="5" spans="1:71" x14ac:dyDescent="0.25">
      <c r="A5" s="1" t="s">
        <v>58</v>
      </c>
      <c r="B5" s="1"/>
    </row>
    <row r="6" spans="1:71" ht="15.75" thickBot="1" x14ac:dyDescent="0.3">
      <c r="B6" s="1"/>
    </row>
    <row r="7" spans="1:71" ht="16.5" thickBot="1" x14ac:dyDescent="0.3">
      <c r="A7" s="72" t="s">
        <v>181</v>
      </c>
      <c r="B7" s="512" t="s">
        <v>4</v>
      </c>
      <c r="C7" s="513"/>
      <c r="D7" s="513"/>
      <c r="E7" s="513"/>
      <c r="F7" s="513"/>
      <c r="G7" s="513"/>
      <c r="H7" s="513"/>
      <c r="I7" s="513"/>
      <c r="J7" s="514"/>
      <c r="K7" s="245"/>
      <c r="L7" s="72" t="s">
        <v>181</v>
      </c>
      <c r="M7" s="512" t="s">
        <v>182</v>
      </c>
      <c r="N7" s="513"/>
      <c r="O7" s="513"/>
      <c r="P7" s="513"/>
      <c r="Q7" s="513"/>
      <c r="R7" s="513"/>
      <c r="S7" s="513"/>
      <c r="T7" s="513"/>
      <c r="U7" s="514"/>
      <c r="V7" s="204"/>
      <c r="W7" s="204"/>
      <c r="X7" s="204"/>
      <c r="Y7" s="243"/>
      <c r="AC7" s="3"/>
      <c r="AD7" s="3"/>
      <c r="AE7" s="3"/>
      <c r="AF7" s="3"/>
      <c r="AG7" s="3"/>
      <c r="AH7" s="3"/>
      <c r="AI7" s="3"/>
      <c r="AJ7" s="3"/>
      <c r="AK7" s="3"/>
      <c r="AL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86"/>
    </row>
    <row r="8" spans="1:71" ht="16.5" thickBot="1" x14ac:dyDescent="0.3">
      <c r="A8" s="77" t="s">
        <v>12</v>
      </c>
      <c r="B8" s="78" t="s">
        <v>6</v>
      </c>
      <c r="C8" s="79" t="s">
        <v>13</v>
      </c>
      <c r="D8" s="79" t="s">
        <v>14</v>
      </c>
      <c r="E8" s="79" t="s">
        <v>15</v>
      </c>
      <c r="F8" s="80" t="s">
        <v>16</v>
      </c>
      <c r="G8" s="81" t="s">
        <v>17</v>
      </c>
      <c r="H8" s="82" t="s">
        <v>18</v>
      </c>
      <c r="I8" s="82" t="s">
        <v>19</v>
      </c>
      <c r="J8" s="83" t="s">
        <v>16</v>
      </c>
      <c r="K8" s="201" t="s">
        <v>183</v>
      </c>
      <c r="L8" s="84" t="s">
        <v>12</v>
      </c>
      <c r="M8" s="78" t="s">
        <v>6</v>
      </c>
      <c r="N8" s="79" t="s">
        <v>13</v>
      </c>
      <c r="O8" s="79" t="s">
        <v>14</v>
      </c>
      <c r="P8" s="79" t="s">
        <v>15</v>
      </c>
      <c r="Q8" s="80" t="s">
        <v>16</v>
      </c>
      <c r="R8" s="81" t="s">
        <v>17</v>
      </c>
      <c r="S8" s="82" t="s">
        <v>18</v>
      </c>
      <c r="T8" s="82" t="s">
        <v>19</v>
      </c>
      <c r="U8" s="83" t="s">
        <v>16</v>
      </c>
      <c r="V8" s="84" t="s">
        <v>183</v>
      </c>
      <c r="W8" s="201" t="s">
        <v>184</v>
      </c>
      <c r="X8" s="201" t="s">
        <v>185</v>
      </c>
      <c r="Y8" s="194" t="s">
        <v>186</v>
      </c>
      <c r="AB8" s="85"/>
      <c r="AC8" s="85"/>
      <c r="AD8" s="86"/>
      <c r="AE8" s="86"/>
      <c r="AF8" s="86"/>
      <c r="AG8" s="86"/>
      <c r="AH8" s="86"/>
      <c r="AI8" s="86"/>
      <c r="AJ8" s="86"/>
      <c r="AK8" s="86"/>
      <c r="AL8" s="86"/>
      <c r="AN8" s="85"/>
      <c r="AO8" s="85"/>
      <c r="AP8" s="86"/>
      <c r="AQ8" s="86"/>
      <c r="AR8" s="86"/>
      <c r="AS8" s="86"/>
      <c r="AT8" s="86"/>
      <c r="AU8" s="86"/>
      <c r="AV8" s="86"/>
      <c r="AW8" s="86"/>
      <c r="AX8" s="86"/>
      <c r="AY8" s="92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</row>
    <row r="9" spans="1:71" ht="15" customHeight="1" x14ac:dyDescent="0.25">
      <c r="A9" s="515" t="s">
        <v>134</v>
      </c>
      <c r="B9" s="174" t="s">
        <v>21</v>
      </c>
      <c r="C9" s="87">
        <v>18.66</v>
      </c>
      <c r="D9" s="88">
        <v>18.55</v>
      </c>
      <c r="E9" s="88">
        <v>18.61</v>
      </c>
      <c r="F9" s="175">
        <f>AVERAGE(C9:E9)</f>
        <v>18.606666666666666</v>
      </c>
      <c r="G9" s="90">
        <v>5.98</v>
      </c>
      <c r="H9" s="90">
        <v>5.99</v>
      </c>
      <c r="I9" s="90">
        <v>6.17</v>
      </c>
      <c r="J9" s="175">
        <f>AVERAGE(G9:I9)</f>
        <v>6.0466666666666669</v>
      </c>
      <c r="K9" s="236">
        <f>PI()*((F9/2)^2)*J9</f>
        <v>1644.1561611326701</v>
      </c>
      <c r="L9" s="506" t="s">
        <v>134</v>
      </c>
      <c r="M9" s="141" t="s">
        <v>21</v>
      </c>
      <c r="N9" s="90">
        <v>18.61</v>
      </c>
      <c r="O9" s="90">
        <v>18.63</v>
      </c>
      <c r="P9" s="90">
        <v>18.690000000000001</v>
      </c>
      <c r="Q9" s="175">
        <f>AVERAGE(N9:P9)</f>
        <v>18.643333333333331</v>
      </c>
      <c r="R9" s="89">
        <v>6.13</v>
      </c>
      <c r="S9" s="90">
        <v>6.02</v>
      </c>
      <c r="T9" s="90">
        <v>6</v>
      </c>
      <c r="U9" s="175">
        <f>AVERAGE(R9:T9)</f>
        <v>6.05</v>
      </c>
      <c r="V9" s="239">
        <f>PI()*((Q9/2)^2)*U9</f>
        <v>1651.5525057721545</v>
      </c>
      <c r="W9" s="23">
        <f>((F9-Q9)/F9)*100</f>
        <v>-0.19706198495162286</v>
      </c>
      <c r="X9" s="23">
        <f>((J9-U9)/J9)*100</f>
        <v>-5.51267916207216E-2</v>
      </c>
      <c r="Y9" s="23">
        <f>((K9-V9)/K9)*100</f>
        <v>-0.44985657775895072</v>
      </c>
      <c r="AB9" s="66"/>
      <c r="AC9" s="91"/>
      <c r="AD9" s="92"/>
      <c r="AE9" s="92"/>
      <c r="AF9" s="92"/>
      <c r="AG9" s="92"/>
      <c r="AH9" s="92"/>
      <c r="AI9" s="92"/>
      <c r="AJ9" s="92"/>
      <c r="AK9" s="92"/>
      <c r="AL9" s="92"/>
      <c r="AN9" s="66"/>
      <c r="AO9" s="91"/>
      <c r="AP9" s="92"/>
      <c r="AQ9" s="92"/>
      <c r="AR9" s="92"/>
      <c r="AS9" s="92"/>
      <c r="AT9" s="92"/>
      <c r="AU9" s="92"/>
      <c r="AV9" s="92"/>
      <c r="AW9" s="92"/>
      <c r="AX9" s="92"/>
      <c r="AY9" s="92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</row>
    <row r="10" spans="1:71" x14ac:dyDescent="0.25">
      <c r="A10" s="516"/>
      <c r="B10" s="176" t="s">
        <v>22</v>
      </c>
      <c r="C10" s="93">
        <v>18.649999999999999</v>
      </c>
      <c r="D10" s="94">
        <v>18.55</v>
      </c>
      <c r="E10" s="94">
        <v>18.54</v>
      </c>
      <c r="F10" s="168">
        <f t="shared" ref="F10:F22" si="0">AVERAGE(C10:E10)</f>
        <v>18.580000000000002</v>
      </c>
      <c r="G10" s="94">
        <v>6.11</v>
      </c>
      <c r="H10" s="94">
        <v>6.09</v>
      </c>
      <c r="I10" s="94">
        <v>6.06</v>
      </c>
      <c r="J10" s="168">
        <f t="shared" ref="J10:J22" si="1">AVERAGE(G10:I10)</f>
        <v>6.086666666666666</v>
      </c>
      <c r="K10" s="237">
        <f t="shared" ref="K10:K22" si="2">PI()*((F10/2)^2)*J10</f>
        <v>1650.2920941744123</v>
      </c>
      <c r="L10" s="507"/>
      <c r="M10" s="139" t="s">
        <v>22</v>
      </c>
      <c r="N10" s="94">
        <v>18.559999999999999</v>
      </c>
      <c r="O10" s="94">
        <v>18.72</v>
      </c>
      <c r="P10" s="94">
        <v>18.62</v>
      </c>
      <c r="Q10" s="168">
        <f t="shared" ref="Q10:Q22" si="3">AVERAGE(N10:P10)</f>
        <v>18.633333333333336</v>
      </c>
      <c r="R10" s="95">
        <v>6.1</v>
      </c>
      <c r="S10" s="94">
        <v>6.14</v>
      </c>
      <c r="T10" s="94">
        <v>6.16</v>
      </c>
      <c r="U10" s="168">
        <f t="shared" ref="U10:U22" si="4">AVERAGE(R10:T10)</f>
        <v>6.1333333333333329</v>
      </c>
      <c r="V10" s="240">
        <f t="shared" ref="V10:V15" si="5">PI()*((Q10/2)^2)*U10</f>
        <v>1672.5055053101498</v>
      </c>
      <c r="W10" s="27">
        <f>((F10-Q10)/F10)*100</f>
        <v>-0.28704700394690291</v>
      </c>
      <c r="X10" s="27">
        <f>((J10-U10)/J10)*100</f>
        <v>-0.76670317634173379</v>
      </c>
      <c r="Y10" s="27">
        <f>((K10-V10)/K10)*100</f>
        <v>-1.3460290583801251</v>
      </c>
      <c r="AB10" s="66"/>
      <c r="AC10" s="91"/>
      <c r="AD10" s="92"/>
      <c r="AE10" s="92"/>
      <c r="AF10" s="92"/>
      <c r="AG10" s="92"/>
      <c r="AH10" s="92"/>
      <c r="AI10" s="92"/>
      <c r="AJ10" s="92"/>
      <c r="AK10" s="92"/>
      <c r="AL10" s="92"/>
      <c r="AN10" s="66"/>
      <c r="AO10" s="91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BC10" s="279"/>
      <c r="BD10" s="279"/>
      <c r="BE10" s="75"/>
      <c r="BF10" s="75"/>
      <c r="BG10" s="75"/>
      <c r="BH10" s="75"/>
      <c r="BI10" s="75"/>
      <c r="BJ10" s="75"/>
      <c r="BK10" s="75"/>
      <c r="BL10" s="279"/>
      <c r="BM10" s="75"/>
      <c r="BN10" s="75"/>
      <c r="BO10" s="75"/>
      <c r="BP10" s="75"/>
      <c r="BQ10" s="75"/>
      <c r="BR10" s="75"/>
      <c r="BS10" s="75"/>
    </row>
    <row r="11" spans="1:71" x14ac:dyDescent="0.25">
      <c r="A11" s="516"/>
      <c r="B11" s="176" t="s">
        <v>23</v>
      </c>
      <c r="C11" s="93">
        <v>18.62</v>
      </c>
      <c r="D11" s="94">
        <v>18.55</v>
      </c>
      <c r="E11" s="94">
        <v>18.64</v>
      </c>
      <c r="F11" s="168">
        <f t="shared" si="0"/>
        <v>18.603333333333335</v>
      </c>
      <c r="G11" s="94">
        <v>5.97</v>
      </c>
      <c r="H11" s="94">
        <v>6.14</v>
      </c>
      <c r="I11" s="94">
        <v>6.02</v>
      </c>
      <c r="J11" s="168">
        <f t="shared" si="1"/>
        <v>6.043333333333333</v>
      </c>
      <c r="K11" s="237">
        <f t="shared" si="2"/>
        <v>1642.661075938008</v>
      </c>
      <c r="L11" s="507"/>
      <c r="M11" s="139" t="s">
        <v>23</v>
      </c>
      <c r="N11" s="94">
        <v>18.600000000000001</v>
      </c>
      <c r="O11" s="94">
        <v>18.55</v>
      </c>
      <c r="P11" s="94">
        <v>18.55</v>
      </c>
      <c r="Q11" s="168">
        <f t="shared" si="3"/>
        <v>18.566666666666666</v>
      </c>
      <c r="R11" s="95">
        <v>6.05</v>
      </c>
      <c r="S11" s="94">
        <v>6.01</v>
      </c>
      <c r="T11" s="94">
        <v>6.04</v>
      </c>
      <c r="U11" s="168">
        <f t="shared" si="4"/>
        <v>6.0333333333333323</v>
      </c>
      <c r="V11" s="240">
        <f t="shared" si="5"/>
        <v>1633.4847428909991</v>
      </c>
      <c r="W11" s="27">
        <f t="shared" ref="W11:W15" si="6">((F11-Q11)/F11)*100</f>
        <v>0.19709729439169776</v>
      </c>
      <c r="X11" s="27">
        <f t="shared" ref="X11:X15" si="7">((J11-U11)/J11)*100</f>
        <v>0.1654715940430338</v>
      </c>
      <c r="Y11" s="27">
        <f t="shared" ref="Y11:Y13" si="8">((K11-V11)/K11)*100</f>
        <v>0.55862607213536009</v>
      </c>
      <c r="AB11" s="66"/>
      <c r="AC11" s="91"/>
      <c r="AD11" s="92"/>
      <c r="AE11" s="92"/>
      <c r="AF11" s="92"/>
      <c r="AG11" s="92"/>
      <c r="AH11" s="92"/>
      <c r="AI11" s="92"/>
      <c r="AJ11" s="92"/>
      <c r="AK11" s="92"/>
      <c r="AL11" s="92"/>
      <c r="AN11" s="66"/>
      <c r="AO11" s="91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BC11" s="279"/>
      <c r="BD11" s="279"/>
      <c r="BE11" s="75"/>
      <c r="BF11" s="75"/>
      <c r="BG11" s="75"/>
      <c r="BH11" s="75"/>
      <c r="BI11" s="75"/>
      <c r="BJ11" s="75"/>
      <c r="BK11" s="75"/>
      <c r="BL11" s="279"/>
      <c r="BM11" s="75"/>
      <c r="BN11" s="75"/>
      <c r="BO11" s="75"/>
      <c r="BP11" s="75"/>
      <c r="BQ11" s="75"/>
      <c r="BR11" s="75"/>
      <c r="BS11" s="75"/>
    </row>
    <row r="12" spans="1:71" x14ac:dyDescent="0.25">
      <c r="A12" s="516"/>
      <c r="B12" s="176" t="s">
        <v>24</v>
      </c>
      <c r="C12" s="93">
        <v>18.79</v>
      </c>
      <c r="D12" s="94">
        <v>18.440000000000001</v>
      </c>
      <c r="E12" s="94">
        <v>18.79</v>
      </c>
      <c r="F12" s="168">
        <f t="shared" si="0"/>
        <v>18.673333333333336</v>
      </c>
      <c r="G12" s="94">
        <v>6.12</v>
      </c>
      <c r="H12" s="94">
        <v>6.06</v>
      </c>
      <c r="I12" s="94">
        <v>6.16</v>
      </c>
      <c r="J12" s="168">
        <f t="shared" si="1"/>
        <v>6.1133333333333333</v>
      </c>
      <c r="K12" s="237">
        <f t="shared" si="2"/>
        <v>1674.2166533359416</v>
      </c>
      <c r="L12" s="507"/>
      <c r="M12" s="139" t="s">
        <v>24</v>
      </c>
      <c r="N12" s="94">
        <v>18.760000000000002</v>
      </c>
      <c r="O12" s="94">
        <v>18.7</v>
      </c>
      <c r="P12" s="94">
        <v>18.440000000000001</v>
      </c>
      <c r="Q12" s="168">
        <f t="shared" si="3"/>
        <v>18.633333333333336</v>
      </c>
      <c r="R12" s="95">
        <v>6.13</v>
      </c>
      <c r="S12" s="94">
        <v>6.16</v>
      </c>
      <c r="T12" s="94">
        <v>6.13</v>
      </c>
      <c r="U12" s="168">
        <f t="shared" si="4"/>
        <v>6.14</v>
      </c>
      <c r="V12" s="240">
        <f t="shared" si="5"/>
        <v>1674.3234460767915</v>
      </c>
      <c r="W12" s="27">
        <f t="shared" si="6"/>
        <v>0.21420921099606824</v>
      </c>
      <c r="X12" s="27">
        <f t="shared" si="7"/>
        <v>-0.43620501635768361</v>
      </c>
      <c r="Y12" s="27">
        <f>((K12-V12)/K12)*100</f>
        <v>-6.3786691308487659E-3</v>
      </c>
      <c r="AB12" s="66"/>
      <c r="AC12" s="91"/>
      <c r="AD12" s="92"/>
      <c r="AE12" s="92"/>
      <c r="AF12" s="92"/>
      <c r="AG12" s="92"/>
      <c r="AH12" s="92"/>
      <c r="AI12" s="92"/>
      <c r="AJ12" s="92"/>
      <c r="AK12" s="92"/>
      <c r="AL12" s="92"/>
      <c r="AN12" s="66"/>
      <c r="AO12" s="91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BC12" s="279"/>
      <c r="BD12" s="279"/>
      <c r="BE12" s="75"/>
      <c r="BF12" s="75"/>
      <c r="BG12" s="75"/>
      <c r="BH12" s="75"/>
      <c r="BI12" s="75"/>
      <c r="BJ12" s="75"/>
      <c r="BK12" s="75"/>
      <c r="BL12" s="279"/>
      <c r="BM12" s="75"/>
      <c r="BN12" s="75"/>
      <c r="BO12" s="75"/>
      <c r="BP12" s="75"/>
      <c r="BQ12" s="75"/>
      <c r="BR12" s="75"/>
      <c r="BS12" s="75"/>
    </row>
    <row r="13" spans="1:71" x14ac:dyDescent="0.25">
      <c r="A13" s="516"/>
      <c r="B13" s="176" t="s">
        <v>25</v>
      </c>
      <c r="C13" s="93">
        <v>18.440000000000001</v>
      </c>
      <c r="D13" s="94">
        <v>18.7</v>
      </c>
      <c r="E13" s="94">
        <v>18.420000000000002</v>
      </c>
      <c r="F13" s="168">
        <f t="shared" si="0"/>
        <v>18.52</v>
      </c>
      <c r="G13" s="94">
        <v>6.39</v>
      </c>
      <c r="H13" s="94">
        <v>6.19</v>
      </c>
      <c r="I13" s="94">
        <v>6.08</v>
      </c>
      <c r="J13" s="168">
        <f t="shared" si="1"/>
        <v>6.22</v>
      </c>
      <c r="K13" s="237">
        <f t="shared" si="2"/>
        <v>1675.5686679867872</v>
      </c>
      <c r="L13" s="507"/>
      <c r="M13" s="139" t="s">
        <v>25</v>
      </c>
      <c r="N13" s="94">
        <v>18.77</v>
      </c>
      <c r="O13" s="94">
        <v>18.62</v>
      </c>
      <c r="P13" s="94">
        <v>18.79</v>
      </c>
      <c r="Q13" s="168">
        <f t="shared" si="3"/>
        <v>18.726666666666667</v>
      </c>
      <c r="R13" s="95">
        <v>6.15</v>
      </c>
      <c r="S13" s="94">
        <v>6.16</v>
      </c>
      <c r="T13" s="94">
        <v>6.22</v>
      </c>
      <c r="U13" s="168">
        <f t="shared" si="4"/>
        <v>6.1766666666666667</v>
      </c>
      <c r="V13" s="240">
        <f t="shared" si="5"/>
        <v>1701.2377313249954</v>
      </c>
      <c r="W13" s="27">
        <f t="shared" si="6"/>
        <v>-1.1159107271418305</v>
      </c>
      <c r="X13" s="27">
        <f t="shared" si="7"/>
        <v>0.6966773847802733</v>
      </c>
      <c r="Y13" s="27">
        <f t="shared" si="8"/>
        <v>-1.5319612874505348</v>
      </c>
      <c r="AB13" s="66"/>
      <c r="AC13" s="91"/>
      <c r="AD13" s="92"/>
      <c r="AE13" s="92"/>
      <c r="AF13" s="92"/>
      <c r="AG13" s="92"/>
      <c r="AH13" s="92"/>
      <c r="AI13" s="92"/>
      <c r="AJ13" s="92"/>
      <c r="AK13" s="92"/>
      <c r="AL13" s="92"/>
      <c r="AN13" s="66"/>
      <c r="AO13" s="91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BC13" s="279"/>
      <c r="BD13" s="279"/>
      <c r="BE13" s="75"/>
      <c r="BF13" s="75"/>
      <c r="BG13" s="75"/>
      <c r="BH13" s="75"/>
      <c r="BI13" s="75"/>
      <c r="BJ13" s="75"/>
      <c r="BK13" s="75"/>
      <c r="BL13" s="279"/>
      <c r="BM13" s="75"/>
      <c r="BN13" s="75"/>
      <c r="BO13" s="75"/>
      <c r="BP13" s="75"/>
      <c r="BQ13" s="75"/>
      <c r="BR13" s="75"/>
      <c r="BS13" s="75"/>
    </row>
    <row r="14" spans="1:71" x14ac:dyDescent="0.25">
      <c r="A14" s="516"/>
      <c r="B14" s="176" t="s">
        <v>26</v>
      </c>
      <c r="C14" s="93">
        <v>18.57</v>
      </c>
      <c r="D14" s="94">
        <v>18.61</v>
      </c>
      <c r="E14" s="94">
        <v>18.559999999999999</v>
      </c>
      <c r="F14" s="168">
        <f t="shared" si="0"/>
        <v>18.579999999999998</v>
      </c>
      <c r="G14" s="94">
        <v>6.13</v>
      </c>
      <c r="H14" s="94">
        <v>6.08</v>
      </c>
      <c r="I14" s="94">
        <v>6.21</v>
      </c>
      <c r="J14" s="168">
        <f t="shared" si="1"/>
        <v>6.1400000000000006</v>
      </c>
      <c r="K14" s="237">
        <f t="shared" si="2"/>
        <v>1664.7524849229283</v>
      </c>
      <c r="L14" s="507"/>
      <c r="M14" s="139" t="s">
        <v>26</v>
      </c>
      <c r="N14" s="94">
        <v>18.52</v>
      </c>
      <c r="O14" s="94">
        <v>18.63</v>
      </c>
      <c r="P14" s="94">
        <v>18.71</v>
      </c>
      <c r="Q14" s="168">
        <f t="shared" si="3"/>
        <v>18.62</v>
      </c>
      <c r="R14" s="95">
        <v>6.12</v>
      </c>
      <c r="S14" s="94">
        <v>6.19</v>
      </c>
      <c r="T14" s="94">
        <v>6.22</v>
      </c>
      <c r="U14" s="168">
        <f t="shared" si="4"/>
        <v>6.1766666666666667</v>
      </c>
      <c r="V14" s="240">
        <f t="shared" si="5"/>
        <v>1681.9125038345394</v>
      </c>
      <c r="W14" s="27">
        <f t="shared" si="6"/>
        <v>-0.21528525296018677</v>
      </c>
      <c r="X14" s="27">
        <f t="shared" si="7"/>
        <v>-0.59717698154179444</v>
      </c>
      <c r="Y14" s="27">
        <f>((K14-V14)/K14)*100</f>
        <v>-1.0307850005945824</v>
      </c>
      <c r="AB14" s="66"/>
      <c r="AC14" s="91"/>
      <c r="AD14" s="92"/>
      <c r="AE14" s="92"/>
      <c r="AF14" s="92"/>
      <c r="AG14" s="92"/>
      <c r="AH14" s="92"/>
      <c r="AI14" s="92"/>
      <c r="AJ14" s="92"/>
      <c r="AK14" s="92"/>
      <c r="AL14" s="92"/>
      <c r="AN14" s="66"/>
      <c r="AO14" s="91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BC14" s="279"/>
      <c r="BD14" s="279"/>
      <c r="BE14" s="75"/>
      <c r="BF14" s="75"/>
      <c r="BG14" s="75"/>
      <c r="BH14" s="75"/>
      <c r="BI14" s="75"/>
      <c r="BJ14" s="75"/>
      <c r="BK14" s="75"/>
      <c r="BL14" s="279"/>
      <c r="BM14" s="75"/>
      <c r="BN14" s="75"/>
      <c r="BO14" s="75"/>
      <c r="BP14" s="75"/>
      <c r="BQ14" s="75"/>
      <c r="BR14" s="75"/>
      <c r="BS14" s="75"/>
    </row>
    <row r="15" spans="1:71" ht="15.75" thickBot="1" x14ac:dyDescent="0.3">
      <c r="A15" s="517"/>
      <c r="B15" s="177" t="s">
        <v>27</v>
      </c>
      <c r="C15" s="96">
        <v>18.71</v>
      </c>
      <c r="D15" s="97">
        <v>18.64</v>
      </c>
      <c r="E15" s="97">
        <v>18.760000000000002</v>
      </c>
      <c r="F15" s="180">
        <f t="shared" si="0"/>
        <v>18.703333333333333</v>
      </c>
      <c r="G15" s="97">
        <v>6.08</v>
      </c>
      <c r="H15" s="97">
        <v>6.12</v>
      </c>
      <c r="I15" s="97">
        <v>6.17</v>
      </c>
      <c r="J15" s="180">
        <f t="shared" si="1"/>
        <v>6.1233333333333322</v>
      </c>
      <c r="K15" s="238">
        <f t="shared" si="2"/>
        <v>1682.3479020764109</v>
      </c>
      <c r="L15" s="508"/>
      <c r="M15" s="140" t="s">
        <v>27</v>
      </c>
      <c r="N15" s="97">
        <v>18.63</v>
      </c>
      <c r="O15" s="97">
        <v>18.8</v>
      </c>
      <c r="P15" s="97">
        <v>18.53</v>
      </c>
      <c r="Q15" s="180">
        <f t="shared" si="3"/>
        <v>18.653333333333332</v>
      </c>
      <c r="R15" s="98">
        <v>6.17</v>
      </c>
      <c r="S15" s="97">
        <v>6.1</v>
      </c>
      <c r="T15" s="97">
        <v>6.1</v>
      </c>
      <c r="U15" s="180">
        <f t="shared" si="4"/>
        <v>6.1233333333333322</v>
      </c>
      <c r="V15" s="241">
        <f t="shared" si="5"/>
        <v>1673.3650157386401</v>
      </c>
      <c r="W15" s="27">
        <f t="shared" si="6"/>
        <v>0.26733202637676373</v>
      </c>
      <c r="X15" s="27">
        <f t="shared" si="7"/>
        <v>0</v>
      </c>
      <c r="Y15" s="61">
        <f>((K15-V15)/K15)*100</f>
        <v>0.53394938863025265</v>
      </c>
      <c r="AB15" s="66"/>
      <c r="AC15" s="91"/>
      <c r="AD15" s="92"/>
      <c r="AE15" s="92"/>
      <c r="AF15" s="92"/>
      <c r="AG15" s="92"/>
      <c r="AH15" s="92"/>
      <c r="AI15" s="92"/>
      <c r="AJ15" s="92"/>
      <c r="AK15" s="92"/>
      <c r="AL15" s="92"/>
      <c r="AN15" s="66"/>
      <c r="AO15" s="91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BC15" s="279"/>
      <c r="BD15" s="279"/>
      <c r="BE15" s="75"/>
      <c r="BF15" s="75"/>
      <c r="BG15" s="75"/>
      <c r="BH15" s="75"/>
      <c r="BI15" s="75"/>
      <c r="BJ15" s="75"/>
      <c r="BK15" s="75"/>
      <c r="BL15" s="279"/>
      <c r="BM15" s="75"/>
      <c r="BN15" s="75"/>
      <c r="BO15" s="75"/>
      <c r="BP15" s="75"/>
      <c r="BQ15" s="75"/>
      <c r="BR15" s="75"/>
      <c r="BS15" s="75"/>
    </row>
    <row r="16" spans="1:71" ht="15" customHeight="1" x14ac:dyDescent="0.25">
      <c r="A16" s="509" t="s">
        <v>20</v>
      </c>
      <c r="B16" s="144" t="s">
        <v>21</v>
      </c>
      <c r="C16" s="87">
        <v>18.5</v>
      </c>
      <c r="D16" s="88">
        <v>18.54</v>
      </c>
      <c r="E16" s="88">
        <v>18.5</v>
      </c>
      <c r="F16" s="175">
        <f t="shared" si="0"/>
        <v>18.513333333333332</v>
      </c>
      <c r="G16" s="94">
        <v>6.4</v>
      </c>
      <c r="H16" s="94">
        <v>6.29</v>
      </c>
      <c r="I16" s="94">
        <v>6.25</v>
      </c>
      <c r="J16" s="175">
        <f t="shared" si="1"/>
        <v>6.3133333333333335</v>
      </c>
      <c r="K16" s="236">
        <f>PI()*((F16/2)^2)*J16</f>
        <v>1699.4869837565157</v>
      </c>
      <c r="L16" s="509" t="s">
        <v>20</v>
      </c>
      <c r="M16" s="137" t="s">
        <v>21</v>
      </c>
      <c r="N16" s="94">
        <v>18.53</v>
      </c>
      <c r="O16" s="94">
        <v>18.62</v>
      </c>
      <c r="P16" s="94">
        <v>18.5</v>
      </c>
      <c r="Q16" s="175">
        <f t="shared" si="3"/>
        <v>18.55</v>
      </c>
      <c r="R16" s="95">
        <v>6.33</v>
      </c>
      <c r="S16" s="94">
        <v>6.38</v>
      </c>
      <c r="T16" s="94">
        <v>6.43</v>
      </c>
      <c r="U16" s="175">
        <f t="shared" si="4"/>
        <v>6.38</v>
      </c>
      <c r="V16" s="239">
        <f>PI()*((Q16/2)^2)*U16</f>
        <v>1724.2426683006015</v>
      </c>
      <c r="W16" s="23">
        <f>((F16-Q16)/F16)*100</f>
        <v>-0.19805545552755949</v>
      </c>
      <c r="X16" s="23">
        <f>((J16-U16)/J16)*100</f>
        <v>-1.0559662090813056</v>
      </c>
      <c r="Y16" s="23">
        <f>((K16-V16)/K16)*100</f>
        <v>-1.4566563192714974</v>
      </c>
      <c r="AB16" s="70"/>
      <c r="AC16" s="99"/>
      <c r="AD16" s="92"/>
      <c r="AE16" s="92"/>
      <c r="AF16" s="92"/>
      <c r="AG16" s="92"/>
      <c r="AH16" s="92"/>
      <c r="AI16" s="92"/>
      <c r="AJ16" s="92"/>
      <c r="AK16" s="92"/>
      <c r="AL16" s="92"/>
      <c r="AN16" s="70"/>
      <c r="AO16" s="99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BC16" s="279"/>
      <c r="BD16" s="279"/>
      <c r="BE16" s="75"/>
      <c r="BF16" s="75"/>
      <c r="BG16" s="75"/>
      <c r="BH16" s="75"/>
      <c r="BI16" s="75"/>
      <c r="BJ16" s="75"/>
      <c r="BK16" s="75"/>
      <c r="BL16" s="279"/>
      <c r="BM16" s="75"/>
      <c r="BN16" s="75"/>
      <c r="BO16" s="75"/>
      <c r="BP16" s="75"/>
      <c r="BQ16" s="75"/>
      <c r="BR16" s="75"/>
      <c r="BS16" s="75"/>
    </row>
    <row r="17" spans="1:71" x14ac:dyDescent="0.25">
      <c r="A17" s="510"/>
      <c r="B17" s="137" t="s">
        <v>22</v>
      </c>
      <c r="C17" s="93">
        <v>18.54</v>
      </c>
      <c r="D17" s="94">
        <v>18.559999999999999</v>
      </c>
      <c r="E17" s="94">
        <v>18.559999999999999</v>
      </c>
      <c r="F17" s="168">
        <f t="shared" si="0"/>
        <v>18.553333333333331</v>
      </c>
      <c r="G17" s="94">
        <v>6.29</v>
      </c>
      <c r="H17" s="94">
        <v>6.25</v>
      </c>
      <c r="I17" s="94">
        <v>6.2</v>
      </c>
      <c r="J17" s="168">
        <f t="shared" si="1"/>
        <v>6.2466666666666661</v>
      </c>
      <c r="K17" s="237">
        <f t="shared" si="2"/>
        <v>1688.8151168488714</v>
      </c>
      <c r="L17" s="510"/>
      <c r="M17" s="137" t="s">
        <v>22</v>
      </c>
      <c r="N17" s="94">
        <v>18.55</v>
      </c>
      <c r="O17" s="94">
        <v>18.38</v>
      </c>
      <c r="P17" s="94">
        <v>18.510000000000002</v>
      </c>
      <c r="Q17" s="168">
        <f t="shared" si="3"/>
        <v>18.48</v>
      </c>
      <c r="R17" s="95">
        <v>6.37</v>
      </c>
      <c r="S17" s="94">
        <v>6.38</v>
      </c>
      <c r="T17" s="94">
        <v>6.32</v>
      </c>
      <c r="U17" s="168">
        <f t="shared" si="4"/>
        <v>6.3566666666666665</v>
      </c>
      <c r="V17" s="240">
        <f t="shared" ref="V17:V22" si="9">PI()*((Q17/2)^2)*U17</f>
        <v>1704.9955642491032</v>
      </c>
      <c r="W17" s="27">
        <f>((F17-Q17)/F17)*100</f>
        <v>0.39525691699603266</v>
      </c>
      <c r="X17" s="27">
        <f>((J17-U17)/J17)*100</f>
        <v>-1.7609391675560353</v>
      </c>
      <c r="Y17" s="27">
        <f>((K17-V17)/K17)*100</f>
        <v>-0.95809465694637641</v>
      </c>
      <c r="AB17" s="66"/>
      <c r="AC17" s="99"/>
      <c r="AD17" s="92"/>
      <c r="AE17" s="92"/>
      <c r="AF17" s="92"/>
      <c r="AG17" s="92"/>
      <c r="AH17" s="92"/>
      <c r="AI17" s="92"/>
      <c r="AJ17" s="92"/>
      <c r="AK17" s="92"/>
      <c r="AL17" s="92"/>
      <c r="AN17" s="66"/>
      <c r="AO17" s="99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BC17" s="280"/>
      <c r="BD17" s="280"/>
      <c r="BE17" s="75"/>
      <c r="BF17" s="75"/>
      <c r="BG17" s="75"/>
      <c r="BH17" s="75"/>
      <c r="BI17" s="75"/>
      <c r="BJ17" s="75"/>
      <c r="BK17" s="75"/>
      <c r="BL17" s="280"/>
      <c r="BM17" s="75"/>
      <c r="BN17" s="75"/>
      <c r="BO17" s="75"/>
      <c r="BP17" s="75"/>
      <c r="BQ17" s="75"/>
      <c r="BR17" s="75"/>
      <c r="BS17" s="75"/>
    </row>
    <row r="18" spans="1:71" x14ac:dyDescent="0.25">
      <c r="A18" s="510"/>
      <c r="B18" s="137" t="s">
        <v>23</v>
      </c>
      <c r="C18" s="93">
        <v>18.47</v>
      </c>
      <c r="D18" s="94">
        <v>18.52</v>
      </c>
      <c r="E18" s="94">
        <v>18.48</v>
      </c>
      <c r="F18" s="168">
        <f t="shared" si="0"/>
        <v>18.489999999999998</v>
      </c>
      <c r="G18" s="94">
        <v>6.36</v>
      </c>
      <c r="H18" s="94">
        <v>6.66</v>
      </c>
      <c r="I18" s="94">
        <v>6.5</v>
      </c>
      <c r="J18" s="168">
        <f t="shared" si="1"/>
        <v>6.5066666666666668</v>
      </c>
      <c r="K18" s="237">
        <f t="shared" si="2"/>
        <v>1747.1180971914978</v>
      </c>
      <c r="L18" s="510"/>
      <c r="M18" s="137" t="s">
        <v>23</v>
      </c>
      <c r="N18" s="94">
        <v>18.55</v>
      </c>
      <c r="O18" s="94">
        <v>18.52</v>
      </c>
      <c r="P18" s="94">
        <v>18.47</v>
      </c>
      <c r="Q18" s="168">
        <f t="shared" si="3"/>
        <v>18.513333333333332</v>
      </c>
      <c r="R18" s="95">
        <v>6.61</v>
      </c>
      <c r="S18" s="94">
        <v>6.62</v>
      </c>
      <c r="T18" s="94">
        <v>6.52</v>
      </c>
      <c r="U18" s="168">
        <f t="shared" si="4"/>
        <v>6.583333333333333</v>
      </c>
      <c r="V18" s="240">
        <f t="shared" si="9"/>
        <v>1772.1683172751416</v>
      </c>
      <c r="W18" s="27">
        <f t="shared" ref="W18:W22" si="10">((F18-Q18)/F18)*100</f>
        <v>-0.12619433928249557</v>
      </c>
      <c r="X18" s="27">
        <f t="shared" ref="X18:X22" si="11">((J18-U18)/J18)*100</f>
        <v>-1.1782786885245831</v>
      </c>
      <c r="Y18" s="27">
        <f t="shared" ref="Y18:Y21" si="12">((K18-V18)/K18)*100</f>
        <v>-1.4338023356241447</v>
      </c>
      <c r="AB18" s="66"/>
      <c r="AC18" s="99"/>
      <c r="AD18" s="92"/>
      <c r="AE18" s="92"/>
      <c r="AF18" s="92"/>
      <c r="AG18" s="92"/>
      <c r="AH18" s="92"/>
      <c r="AI18" s="92"/>
      <c r="AJ18" s="92"/>
      <c r="AK18" s="92"/>
      <c r="AL18" s="92"/>
      <c r="AN18" s="66"/>
      <c r="AO18" s="99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BC18" s="280"/>
      <c r="BD18" s="280"/>
      <c r="BE18" s="75"/>
      <c r="BF18" s="75"/>
      <c r="BG18" s="75"/>
      <c r="BH18" s="75"/>
      <c r="BI18" s="75"/>
      <c r="BJ18" s="75"/>
      <c r="BK18" s="75"/>
      <c r="BL18" s="280"/>
      <c r="BM18" s="75"/>
      <c r="BN18" s="75"/>
      <c r="BO18" s="75"/>
      <c r="BP18" s="75"/>
      <c r="BQ18" s="75"/>
      <c r="BR18" s="75"/>
      <c r="BS18" s="75"/>
    </row>
    <row r="19" spans="1:71" x14ac:dyDescent="0.25">
      <c r="A19" s="510"/>
      <c r="B19" s="137" t="s">
        <v>24</v>
      </c>
      <c r="C19" s="93">
        <v>18.420000000000002</v>
      </c>
      <c r="D19" s="94">
        <v>18.55</v>
      </c>
      <c r="E19" s="94">
        <v>18.48</v>
      </c>
      <c r="F19" s="168">
        <f t="shared" si="0"/>
        <v>18.483333333333334</v>
      </c>
      <c r="G19" s="94">
        <v>6.19</v>
      </c>
      <c r="H19" s="94">
        <v>6.26</v>
      </c>
      <c r="I19" s="94">
        <v>6.32</v>
      </c>
      <c r="J19" s="168">
        <f t="shared" si="1"/>
        <v>6.2566666666666668</v>
      </c>
      <c r="K19" s="237">
        <f t="shared" si="2"/>
        <v>1678.7788564142147</v>
      </c>
      <c r="L19" s="510"/>
      <c r="M19" s="137" t="s">
        <v>24</v>
      </c>
      <c r="N19" s="94">
        <v>18.43</v>
      </c>
      <c r="O19" s="94">
        <v>18.600000000000001</v>
      </c>
      <c r="P19" s="94">
        <v>18.37</v>
      </c>
      <c r="Q19" s="168">
        <f t="shared" si="3"/>
        <v>18.466666666666669</v>
      </c>
      <c r="R19" s="95">
        <v>6.34</v>
      </c>
      <c r="S19" s="94">
        <v>6.3</v>
      </c>
      <c r="T19" s="94">
        <v>6.36</v>
      </c>
      <c r="U19" s="168">
        <f t="shared" si="4"/>
        <v>6.333333333333333</v>
      </c>
      <c r="V19" s="240">
        <f t="shared" si="9"/>
        <v>1696.2866635661237</v>
      </c>
      <c r="W19" s="27">
        <f t="shared" si="10"/>
        <v>9.0171325518479992E-2</v>
      </c>
      <c r="X19" s="27">
        <f t="shared" si="11"/>
        <v>-1.2253596164091562</v>
      </c>
      <c r="Y19" s="27">
        <f>((K19-V19)/K19)*100</f>
        <v>-1.0428894243584155</v>
      </c>
      <c r="AB19" s="66"/>
      <c r="AC19" s="99"/>
      <c r="AD19" s="92"/>
      <c r="AE19" s="92"/>
      <c r="AF19" s="92"/>
      <c r="AG19" s="92"/>
      <c r="AH19" s="92"/>
      <c r="AI19" s="92"/>
      <c r="AJ19" s="92"/>
      <c r="AK19" s="92"/>
      <c r="AL19" s="92"/>
      <c r="AN19" s="66"/>
      <c r="AO19" s="99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BC19" s="280"/>
      <c r="BD19" s="280"/>
      <c r="BE19" s="75"/>
      <c r="BF19" s="75"/>
      <c r="BG19" s="75"/>
      <c r="BH19" s="75"/>
      <c r="BI19" s="75"/>
      <c r="BJ19" s="75"/>
      <c r="BK19" s="75"/>
      <c r="BL19" s="280"/>
      <c r="BM19" s="75"/>
      <c r="BN19" s="75"/>
      <c r="BO19" s="75"/>
      <c r="BP19" s="75"/>
      <c r="BQ19" s="75"/>
      <c r="BR19" s="75"/>
      <c r="BS19" s="75"/>
    </row>
    <row r="20" spans="1:71" x14ac:dyDescent="0.25">
      <c r="A20" s="510"/>
      <c r="B20" s="137" t="s">
        <v>25</v>
      </c>
      <c r="C20" s="93">
        <v>18.38</v>
      </c>
      <c r="D20" s="94">
        <v>18.62</v>
      </c>
      <c r="E20" s="94">
        <v>18.41</v>
      </c>
      <c r="F20" s="168">
        <f t="shared" si="0"/>
        <v>18.47</v>
      </c>
      <c r="G20" s="94">
        <v>6.15</v>
      </c>
      <c r="H20" s="94">
        <v>6.1</v>
      </c>
      <c r="I20" s="94">
        <v>6.01</v>
      </c>
      <c r="J20" s="168">
        <f t="shared" si="1"/>
        <v>6.086666666666666</v>
      </c>
      <c r="K20" s="237">
        <f t="shared" si="2"/>
        <v>1630.8093423995599</v>
      </c>
      <c r="L20" s="510"/>
      <c r="M20" s="137" t="s">
        <v>25</v>
      </c>
      <c r="N20" s="94">
        <v>18.68</v>
      </c>
      <c r="O20" s="94">
        <v>18.399999999999999</v>
      </c>
      <c r="P20" s="94">
        <v>18.649999999999999</v>
      </c>
      <c r="Q20" s="168">
        <f t="shared" si="3"/>
        <v>18.576666666666664</v>
      </c>
      <c r="R20" s="95">
        <v>6.14</v>
      </c>
      <c r="S20" s="94">
        <v>6.08</v>
      </c>
      <c r="T20" s="94">
        <v>6.22</v>
      </c>
      <c r="U20" s="168">
        <f t="shared" si="4"/>
        <v>6.1466666666666656</v>
      </c>
      <c r="V20" s="240">
        <f t="shared" si="9"/>
        <v>1665.96211107554</v>
      </c>
      <c r="W20" s="27">
        <f t="shared" si="10"/>
        <v>-0.57751308428080983</v>
      </c>
      <c r="X20" s="27">
        <f t="shared" si="11"/>
        <v>-0.98576122672507582</v>
      </c>
      <c r="Y20" s="27">
        <f t="shared" si="12"/>
        <v>-2.1555412862828307</v>
      </c>
      <c r="AB20" s="66"/>
      <c r="AC20" s="99"/>
      <c r="AD20" s="92"/>
      <c r="AE20" s="92"/>
      <c r="AF20" s="92"/>
      <c r="AG20" s="92"/>
      <c r="AH20" s="92"/>
      <c r="AI20" s="92"/>
      <c r="AJ20" s="92"/>
      <c r="AK20" s="92"/>
      <c r="AL20" s="92"/>
      <c r="AN20" s="66"/>
      <c r="AO20" s="99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BC20" s="280"/>
      <c r="BD20" s="280"/>
      <c r="BE20" s="75"/>
      <c r="BF20" s="75"/>
      <c r="BG20" s="75"/>
      <c r="BH20" s="75"/>
      <c r="BI20" s="75"/>
      <c r="BJ20" s="75"/>
      <c r="BK20" s="75"/>
      <c r="BL20" s="280"/>
      <c r="BM20" s="75"/>
      <c r="BN20" s="75"/>
      <c r="BO20" s="75"/>
      <c r="BP20" s="75"/>
      <c r="BQ20" s="75"/>
      <c r="BR20" s="75"/>
      <c r="BS20" s="75"/>
    </row>
    <row r="21" spans="1:71" x14ac:dyDescent="0.25">
      <c r="A21" s="510"/>
      <c r="B21" s="137" t="s">
        <v>26</v>
      </c>
      <c r="C21" s="93">
        <v>18.48</v>
      </c>
      <c r="D21" s="94">
        <v>18.559999999999999</v>
      </c>
      <c r="E21" s="94">
        <v>18.45</v>
      </c>
      <c r="F21" s="168">
        <f t="shared" si="0"/>
        <v>18.496666666666666</v>
      </c>
      <c r="G21" s="94">
        <v>6.11</v>
      </c>
      <c r="H21" s="94">
        <v>6.13</v>
      </c>
      <c r="I21" s="94">
        <v>6.07</v>
      </c>
      <c r="J21" s="168">
        <f t="shared" si="1"/>
        <v>6.1033333333333344</v>
      </c>
      <c r="K21" s="237">
        <f t="shared" si="2"/>
        <v>1640.0002382411374</v>
      </c>
      <c r="L21" s="510"/>
      <c r="M21" s="137" t="s">
        <v>26</v>
      </c>
      <c r="N21" s="94">
        <v>18.55</v>
      </c>
      <c r="O21" s="94">
        <v>18.55</v>
      </c>
      <c r="P21" s="94">
        <v>18.62</v>
      </c>
      <c r="Q21" s="168">
        <f t="shared" si="3"/>
        <v>18.573333333333334</v>
      </c>
      <c r="R21" s="95">
        <v>6.17</v>
      </c>
      <c r="S21" s="94">
        <v>6.22</v>
      </c>
      <c r="T21" s="94">
        <v>6.25</v>
      </c>
      <c r="U21" s="168">
        <f t="shared" si="4"/>
        <v>6.2133333333333338</v>
      </c>
      <c r="V21" s="240">
        <f t="shared" si="9"/>
        <v>1683.4268151399099</v>
      </c>
      <c r="W21" s="27">
        <f t="shared" si="10"/>
        <v>-0.41448909713462606</v>
      </c>
      <c r="X21" s="27">
        <f t="shared" si="11"/>
        <v>-1.802293828509002</v>
      </c>
      <c r="Y21" s="27">
        <f t="shared" si="12"/>
        <v>-2.6479616213560138</v>
      </c>
      <c r="AB21" s="66"/>
      <c r="AC21" s="99"/>
      <c r="AD21" s="92"/>
      <c r="AE21" s="92"/>
      <c r="AF21" s="92"/>
      <c r="AG21" s="92"/>
      <c r="AH21" s="92"/>
      <c r="AI21" s="92"/>
      <c r="AJ21" s="92"/>
      <c r="AK21" s="92"/>
      <c r="AL21" s="92"/>
      <c r="AN21" s="66"/>
      <c r="AO21" s="99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BC21" s="280"/>
      <c r="BD21" s="280"/>
      <c r="BE21" s="75"/>
      <c r="BF21" s="75"/>
      <c r="BG21" s="75"/>
      <c r="BH21" s="75"/>
      <c r="BI21" s="75"/>
      <c r="BJ21" s="75"/>
      <c r="BK21" s="75"/>
      <c r="BL21" s="280"/>
      <c r="BM21" s="75"/>
      <c r="BN21" s="75"/>
      <c r="BO21" s="75"/>
      <c r="BP21" s="75"/>
      <c r="BQ21" s="75"/>
      <c r="BR21" s="75"/>
      <c r="BS21" s="75"/>
    </row>
    <row r="22" spans="1:71" ht="16.5" thickBot="1" x14ac:dyDescent="0.3">
      <c r="A22" s="511"/>
      <c r="B22" s="138" t="s">
        <v>27</v>
      </c>
      <c r="C22" s="96">
        <v>18.489999999999998</v>
      </c>
      <c r="D22" s="97">
        <v>18.68</v>
      </c>
      <c r="E22" s="97">
        <v>18.54</v>
      </c>
      <c r="F22" s="180">
        <f t="shared" si="0"/>
        <v>18.57</v>
      </c>
      <c r="G22" s="97">
        <v>6.11</v>
      </c>
      <c r="H22" s="97">
        <v>6.03</v>
      </c>
      <c r="I22" s="97">
        <v>6.06</v>
      </c>
      <c r="J22" s="180">
        <f t="shared" si="1"/>
        <v>6.0666666666666664</v>
      </c>
      <c r="K22" s="238">
        <f t="shared" si="2"/>
        <v>1643.099343442992</v>
      </c>
      <c r="L22" s="511"/>
      <c r="M22" s="138" t="s">
        <v>27</v>
      </c>
      <c r="N22" s="97">
        <v>18.43</v>
      </c>
      <c r="O22" s="97">
        <v>18.760000000000002</v>
      </c>
      <c r="P22" s="97">
        <v>18.62</v>
      </c>
      <c r="Q22" s="180">
        <f t="shared" si="3"/>
        <v>18.603333333333335</v>
      </c>
      <c r="R22" s="98">
        <v>6.11</v>
      </c>
      <c r="S22" s="97">
        <v>6.12</v>
      </c>
      <c r="T22" s="97">
        <v>6.23</v>
      </c>
      <c r="U22" s="180">
        <f t="shared" si="4"/>
        <v>6.1533333333333333</v>
      </c>
      <c r="V22" s="241">
        <f t="shared" si="9"/>
        <v>1672.5605880758758</v>
      </c>
      <c r="W22" s="27">
        <f t="shared" si="10"/>
        <v>-0.17950098725543884</v>
      </c>
      <c r="X22" s="27">
        <f t="shared" si="11"/>
        <v>-1.4285714285714324</v>
      </c>
      <c r="Y22" s="61">
        <f>((K22-V22)/K22)*100</f>
        <v>-1.7930288117059285</v>
      </c>
      <c r="AB22" s="66"/>
      <c r="AC22" s="99"/>
      <c r="AD22" s="92"/>
      <c r="AE22" s="92"/>
      <c r="AF22" s="92"/>
      <c r="AG22" s="92"/>
      <c r="AH22" s="92"/>
      <c r="AI22" s="92"/>
      <c r="AJ22" s="92"/>
      <c r="AK22" s="92"/>
      <c r="AL22" s="92"/>
      <c r="AN22" s="66"/>
      <c r="AO22" s="99"/>
      <c r="AP22" s="92"/>
      <c r="AQ22" s="92"/>
      <c r="AR22" s="92"/>
      <c r="AS22" s="92"/>
      <c r="AT22" s="92"/>
      <c r="AU22" s="92"/>
      <c r="AV22" s="92"/>
      <c r="AW22" s="92"/>
      <c r="AX22" s="92"/>
      <c r="AY22" s="3"/>
      <c r="BC22" s="280"/>
      <c r="BD22" s="280"/>
      <c r="BE22" s="75"/>
      <c r="BF22" s="75"/>
      <c r="BG22" s="75"/>
      <c r="BH22" s="75"/>
      <c r="BI22" s="75"/>
      <c r="BJ22" s="75"/>
      <c r="BK22" s="75"/>
      <c r="BL22" s="280"/>
      <c r="BM22" s="75"/>
      <c r="BN22" s="75"/>
      <c r="BO22" s="75"/>
      <c r="BP22" s="75"/>
      <c r="BQ22" s="75"/>
      <c r="BR22" s="75"/>
      <c r="BS22" s="75"/>
    </row>
    <row r="23" spans="1:71" ht="16.5" thickBot="1" x14ac:dyDescent="0.3">
      <c r="A23" s="72" t="s">
        <v>187</v>
      </c>
      <c r="B23" s="512" t="s">
        <v>4</v>
      </c>
      <c r="C23" s="513"/>
      <c r="D23" s="513"/>
      <c r="E23" s="513"/>
      <c r="F23" s="513"/>
      <c r="G23" s="513"/>
      <c r="H23" s="513"/>
      <c r="I23" s="513"/>
      <c r="J23" s="514"/>
      <c r="K23" s="245"/>
      <c r="L23" s="72" t="s">
        <v>187</v>
      </c>
      <c r="M23" s="512" t="s">
        <v>188</v>
      </c>
      <c r="N23" s="513"/>
      <c r="O23" s="513"/>
      <c r="P23" s="513"/>
      <c r="Q23" s="513"/>
      <c r="R23" s="513"/>
      <c r="S23" s="513"/>
      <c r="T23" s="513"/>
      <c r="U23" s="514"/>
      <c r="V23" s="204"/>
      <c r="W23" s="204"/>
      <c r="X23" s="204"/>
      <c r="Y23" s="243"/>
      <c r="AC23" s="3"/>
      <c r="AD23" s="3"/>
      <c r="AE23" s="3"/>
      <c r="AF23" s="3"/>
      <c r="AG23" s="3"/>
      <c r="AH23" s="3"/>
      <c r="AI23" s="3"/>
      <c r="AJ23" s="3"/>
      <c r="AK23" s="3"/>
      <c r="AL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BC23" s="280"/>
      <c r="BD23" s="280"/>
      <c r="BE23" s="75"/>
      <c r="BF23" s="75"/>
      <c r="BG23" s="75"/>
      <c r="BH23" s="75"/>
      <c r="BI23" s="75"/>
      <c r="BJ23" s="75"/>
      <c r="BK23" s="75"/>
      <c r="BL23" s="280"/>
      <c r="BM23" s="75"/>
      <c r="BN23" s="75"/>
      <c r="BO23" s="75"/>
      <c r="BP23" s="75"/>
      <c r="BQ23" s="75"/>
      <c r="BR23" s="75"/>
      <c r="BS23" s="75"/>
    </row>
    <row r="24" spans="1:71" ht="16.5" thickBot="1" x14ac:dyDescent="0.3">
      <c r="A24" s="77" t="s">
        <v>12</v>
      </c>
      <c r="B24" s="78" t="s">
        <v>6</v>
      </c>
      <c r="C24" s="79" t="s">
        <v>13</v>
      </c>
      <c r="D24" s="79" t="s">
        <v>14</v>
      </c>
      <c r="E24" s="79" t="s">
        <v>15</v>
      </c>
      <c r="F24" s="80" t="s">
        <v>16</v>
      </c>
      <c r="G24" s="81" t="s">
        <v>17</v>
      </c>
      <c r="H24" s="82" t="s">
        <v>18</v>
      </c>
      <c r="I24" s="82" t="s">
        <v>19</v>
      </c>
      <c r="J24" s="83" t="s">
        <v>16</v>
      </c>
      <c r="K24" s="201" t="s">
        <v>183</v>
      </c>
      <c r="L24" s="84" t="s">
        <v>12</v>
      </c>
      <c r="M24" s="78" t="s">
        <v>6</v>
      </c>
      <c r="N24" s="79" t="s">
        <v>13</v>
      </c>
      <c r="O24" s="79" t="s">
        <v>14</v>
      </c>
      <c r="P24" s="79" t="s">
        <v>15</v>
      </c>
      <c r="Q24" s="80" t="s">
        <v>16</v>
      </c>
      <c r="R24" s="81" t="s">
        <v>17</v>
      </c>
      <c r="S24" s="82" t="s">
        <v>18</v>
      </c>
      <c r="T24" s="82" t="s">
        <v>19</v>
      </c>
      <c r="U24" s="83" t="s">
        <v>16</v>
      </c>
      <c r="V24" s="84" t="s">
        <v>183</v>
      </c>
      <c r="W24" s="201" t="s">
        <v>184</v>
      </c>
      <c r="X24" s="201" t="s">
        <v>185</v>
      </c>
      <c r="Y24" s="194" t="s">
        <v>186</v>
      </c>
      <c r="AB24" s="85"/>
      <c r="AC24" s="85"/>
      <c r="AD24" s="86"/>
      <c r="AE24" s="86"/>
      <c r="AF24" s="86"/>
      <c r="AG24" s="86"/>
      <c r="AH24" s="86"/>
      <c r="AI24" s="86"/>
      <c r="AJ24" s="86"/>
      <c r="AK24" s="86"/>
      <c r="AL24" s="86"/>
      <c r="AN24" s="85"/>
      <c r="AO24" s="85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</row>
    <row r="25" spans="1:71" ht="15" customHeight="1" thickBot="1" x14ac:dyDescent="0.3">
      <c r="A25" s="515" t="s">
        <v>134</v>
      </c>
      <c r="B25" s="174" t="s">
        <v>21</v>
      </c>
      <c r="C25" s="87">
        <v>18.71</v>
      </c>
      <c r="D25" s="88">
        <v>18.600000000000001</v>
      </c>
      <c r="E25" s="88">
        <v>18.61</v>
      </c>
      <c r="F25" s="175">
        <f>AVERAGE(C25:E25)</f>
        <v>18.64</v>
      </c>
      <c r="G25" s="295">
        <v>6.03</v>
      </c>
      <c r="H25" s="88">
        <v>6.06</v>
      </c>
      <c r="I25" s="88">
        <v>6.02</v>
      </c>
      <c r="J25" s="175">
        <f>AVERAGE(G25:I25)</f>
        <v>6.0366666666666662</v>
      </c>
      <c r="K25" s="236">
        <f>PI()*((F25/2)^2)*J25</f>
        <v>1647.3234964618848</v>
      </c>
      <c r="L25" s="506" t="s">
        <v>134</v>
      </c>
      <c r="M25" s="141" t="s">
        <v>21</v>
      </c>
      <c r="N25" s="181">
        <v>18.57</v>
      </c>
      <c r="O25" s="181">
        <v>18.71</v>
      </c>
      <c r="P25" s="181">
        <v>18.559999999999999</v>
      </c>
      <c r="Q25" s="175">
        <f>AVERAGE(N25:P25)</f>
        <v>18.613333333333333</v>
      </c>
      <c r="R25" s="89">
        <v>6.06</v>
      </c>
      <c r="S25" s="90">
        <v>6.05</v>
      </c>
      <c r="T25" s="90">
        <v>6.11</v>
      </c>
      <c r="U25" s="175">
        <f>AVERAGE(R25:T25)</f>
        <v>6.0733333333333333</v>
      </c>
      <c r="V25" s="239">
        <f>PI()*((Q25/2)^2)*U25</f>
        <v>1652.5907176993192</v>
      </c>
      <c r="W25" s="23">
        <f>((F25-Q25)/F25)*100</f>
        <v>0.14306151645207768</v>
      </c>
      <c r="X25" s="23">
        <f>((J25-U25)/J25)*100</f>
        <v>-0.60739922694644521</v>
      </c>
      <c r="Y25" s="23">
        <f>((K25-V25)/K25)*100</f>
        <v>-0.31974419406675492</v>
      </c>
      <c r="AB25" s="66"/>
      <c r="AC25" s="91"/>
      <c r="AD25" s="92"/>
      <c r="AE25" s="92"/>
      <c r="AF25" s="92"/>
      <c r="AG25" s="92"/>
      <c r="AH25" s="92"/>
      <c r="AI25" s="92"/>
      <c r="AJ25" s="92"/>
      <c r="AK25" s="92"/>
      <c r="AL25" s="92"/>
      <c r="AN25" s="66"/>
      <c r="AO25" s="91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</row>
    <row r="26" spans="1:71" x14ac:dyDescent="0.25">
      <c r="A26" s="516"/>
      <c r="B26" s="176" t="s">
        <v>22</v>
      </c>
      <c r="C26" s="151">
        <v>18.510000000000002</v>
      </c>
      <c r="D26" s="94">
        <v>18.489999999999998</v>
      </c>
      <c r="E26" s="88">
        <v>18.489999999999998</v>
      </c>
      <c r="F26" s="168">
        <f t="shared" ref="F26:F38" si="13">AVERAGE(C26:E26)</f>
        <v>18.496666666666666</v>
      </c>
      <c r="G26" s="95">
        <v>6.14</v>
      </c>
      <c r="H26" s="94">
        <v>6.24</v>
      </c>
      <c r="I26" s="94">
        <v>6.13</v>
      </c>
      <c r="J26" s="168">
        <f t="shared" ref="J26:J38" si="14">AVERAGE(G26:I26)</f>
        <v>6.169999999999999</v>
      </c>
      <c r="K26" s="237">
        <f t="shared" ref="K26:K38" si="15">PI()*((F26/2)^2)*J26</f>
        <v>1657.9139491995327</v>
      </c>
      <c r="L26" s="507"/>
      <c r="M26" s="139" t="s">
        <v>22</v>
      </c>
      <c r="N26" s="173">
        <v>18.63</v>
      </c>
      <c r="O26" s="173">
        <v>18.510000000000002</v>
      </c>
      <c r="P26" s="173">
        <v>18.61</v>
      </c>
      <c r="Q26" s="168">
        <f t="shared" ref="Q26:Q38" si="16">AVERAGE(N26:P26)</f>
        <v>18.583333333333332</v>
      </c>
      <c r="R26" s="95">
        <v>6.08</v>
      </c>
      <c r="S26" s="94">
        <v>6.24</v>
      </c>
      <c r="T26" s="94">
        <v>6.1</v>
      </c>
      <c r="U26" s="168">
        <f t="shared" ref="U26:U38" si="17">AVERAGE(R26:T26)</f>
        <v>6.1400000000000006</v>
      </c>
      <c r="V26" s="240">
        <f t="shared" ref="V26:V31" si="18">PI()*((Q26/2)^2)*U26</f>
        <v>1665.3498662709239</v>
      </c>
      <c r="W26" s="27">
        <f>((F26-Q26)/F26)*100</f>
        <v>-0.46855289241304382</v>
      </c>
      <c r="X26" s="27">
        <f>((J26-U26)/J26)*100</f>
        <v>0.48622366288490237</v>
      </c>
      <c r="Y26" s="27">
        <f>((K26-V26)/K26)*100</f>
        <v>-0.44851043535651763</v>
      </c>
      <c r="AB26" s="66"/>
      <c r="AC26" s="91"/>
      <c r="AD26" s="92"/>
      <c r="AE26" s="92"/>
      <c r="AF26" s="92"/>
      <c r="AG26" s="92"/>
      <c r="AH26" s="92"/>
      <c r="AI26" s="92"/>
      <c r="AJ26" s="92"/>
      <c r="AK26" s="92"/>
      <c r="AL26" s="92"/>
      <c r="AN26" s="66"/>
      <c r="AO26" s="91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BC26" s="279"/>
      <c r="BD26" s="279"/>
      <c r="BE26" s="75"/>
      <c r="BF26" s="75"/>
      <c r="BG26" s="75"/>
      <c r="BH26" s="75"/>
      <c r="BI26" s="75"/>
      <c r="BJ26" s="75"/>
      <c r="BK26" s="75"/>
      <c r="BL26" s="279"/>
      <c r="BM26" s="75"/>
      <c r="BN26" s="75"/>
      <c r="BO26" s="75"/>
      <c r="BP26" s="75"/>
      <c r="BQ26" s="75"/>
      <c r="BR26" s="75"/>
      <c r="BS26" s="75"/>
    </row>
    <row r="27" spans="1:71" x14ac:dyDescent="0.25">
      <c r="A27" s="516"/>
      <c r="B27" s="176" t="s">
        <v>23</v>
      </c>
      <c r="C27" s="151">
        <v>18.690000000000001</v>
      </c>
      <c r="D27" s="94">
        <v>18.600000000000001</v>
      </c>
      <c r="E27" s="94">
        <v>18.52</v>
      </c>
      <c r="F27" s="168">
        <f t="shared" si="13"/>
        <v>18.603333333333335</v>
      </c>
      <c r="G27" s="95">
        <v>6.01</v>
      </c>
      <c r="H27" s="94">
        <v>5.96</v>
      </c>
      <c r="I27" s="94">
        <v>6.07</v>
      </c>
      <c r="J27" s="168">
        <f t="shared" si="14"/>
        <v>6.0133333333333328</v>
      </c>
      <c r="K27" s="237">
        <f t="shared" si="15"/>
        <v>1634.5066635367712</v>
      </c>
      <c r="L27" s="507"/>
      <c r="M27" s="139" t="s">
        <v>23</v>
      </c>
      <c r="N27" s="173">
        <v>18.75</v>
      </c>
      <c r="O27" s="173">
        <v>18.420000000000002</v>
      </c>
      <c r="P27" s="173">
        <v>18.71</v>
      </c>
      <c r="Q27" s="168">
        <f t="shared" si="16"/>
        <v>18.626666666666669</v>
      </c>
      <c r="R27" s="95">
        <v>5.96</v>
      </c>
      <c r="S27" s="94">
        <v>6.07</v>
      </c>
      <c r="T27" s="94">
        <v>6</v>
      </c>
      <c r="U27" s="168">
        <f t="shared" si="17"/>
        <v>6.0100000000000007</v>
      </c>
      <c r="V27" s="240">
        <f t="shared" si="18"/>
        <v>1637.7010927755175</v>
      </c>
      <c r="W27" s="27">
        <f t="shared" ref="W27:W31" si="19">((F27-Q27)/F27)*100</f>
        <v>-0.12542555097652799</v>
      </c>
      <c r="X27" s="27">
        <f t="shared" ref="X27:X31" si="20">((J27-U27)/J27)*100</f>
        <v>5.5432372505522368E-2</v>
      </c>
      <c r="Y27" s="27">
        <f t="shared" ref="Y27:Y29" si="21">((K27-V27)/K27)*100</f>
        <v>-0.19543690521482462</v>
      </c>
      <c r="AB27" s="66"/>
      <c r="AC27" s="91"/>
      <c r="AD27" s="92"/>
      <c r="AE27" s="92"/>
      <c r="AF27" s="92"/>
      <c r="AG27" s="92"/>
      <c r="AH27" s="92"/>
      <c r="AI27" s="92"/>
      <c r="AJ27" s="92"/>
      <c r="AK27" s="92"/>
      <c r="AL27" s="92"/>
      <c r="AN27" s="66"/>
      <c r="AO27" s="91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BC27" s="279"/>
      <c r="BD27" s="279"/>
      <c r="BE27" s="75"/>
      <c r="BF27" s="75"/>
      <c r="BG27" s="75"/>
      <c r="BH27" s="75"/>
      <c r="BI27" s="75"/>
      <c r="BJ27" s="75"/>
      <c r="BK27" s="75"/>
      <c r="BL27" s="279"/>
      <c r="BM27" s="75"/>
      <c r="BN27" s="75"/>
      <c r="BO27" s="75"/>
      <c r="BP27" s="75"/>
      <c r="BQ27" s="75"/>
      <c r="BR27" s="75"/>
      <c r="BS27" s="75"/>
    </row>
    <row r="28" spans="1:71" x14ac:dyDescent="0.25">
      <c r="A28" s="516"/>
      <c r="B28" s="176" t="s">
        <v>24</v>
      </c>
      <c r="C28" s="151">
        <v>18.63</v>
      </c>
      <c r="D28" s="94">
        <v>18.64</v>
      </c>
      <c r="E28" s="94">
        <v>18.53</v>
      </c>
      <c r="F28" s="168">
        <f t="shared" si="13"/>
        <v>18.599999999999998</v>
      </c>
      <c r="G28" s="95">
        <v>6.12</v>
      </c>
      <c r="H28" s="94">
        <v>6.11</v>
      </c>
      <c r="I28" s="94">
        <v>6.06</v>
      </c>
      <c r="J28" s="168">
        <f t="shared" si="14"/>
        <v>6.0966666666666667</v>
      </c>
      <c r="K28" s="237">
        <f t="shared" si="15"/>
        <v>1656.564005352755</v>
      </c>
      <c r="L28" s="507"/>
      <c r="M28" s="139" t="s">
        <v>24</v>
      </c>
      <c r="N28" s="173">
        <v>18.77</v>
      </c>
      <c r="O28" s="173">
        <v>18.59</v>
      </c>
      <c r="P28" s="173">
        <v>18.68</v>
      </c>
      <c r="Q28" s="168">
        <f t="shared" si="16"/>
        <v>18.68</v>
      </c>
      <c r="R28" s="95">
        <v>6.09</v>
      </c>
      <c r="S28" s="94">
        <v>6.16</v>
      </c>
      <c r="T28" s="94">
        <v>6.06</v>
      </c>
      <c r="U28" s="168">
        <f t="shared" si="17"/>
        <v>6.1033333333333326</v>
      </c>
      <c r="V28" s="240">
        <f t="shared" si="18"/>
        <v>1672.6717216251075</v>
      </c>
      <c r="W28" s="27">
        <f t="shared" si="19"/>
        <v>-0.43010752688173043</v>
      </c>
      <c r="X28" s="27">
        <f t="shared" si="20"/>
        <v>-0.10934937124110332</v>
      </c>
      <c r="Y28" s="27">
        <f t="shared" si="21"/>
        <v>-0.97235701248515627</v>
      </c>
      <c r="AB28" s="66"/>
      <c r="AC28" s="91"/>
      <c r="AD28" s="92"/>
      <c r="AE28" s="92"/>
      <c r="AF28" s="92"/>
      <c r="AG28" s="92"/>
      <c r="AH28" s="92"/>
      <c r="AI28" s="92"/>
      <c r="AJ28" s="92"/>
      <c r="AK28" s="92"/>
      <c r="AL28" s="92"/>
      <c r="AN28" s="66"/>
      <c r="AO28" s="91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BC28" s="279"/>
      <c r="BD28" s="279"/>
      <c r="BE28" s="75"/>
      <c r="BF28" s="75"/>
      <c r="BG28" s="75"/>
      <c r="BH28" s="75"/>
      <c r="BI28" s="75"/>
      <c r="BJ28" s="75"/>
      <c r="BK28" s="75"/>
      <c r="BL28" s="279"/>
      <c r="BM28" s="75"/>
      <c r="BN28" s="75"/>
      <c r="BO28" s="75"/>
      <c r="BP28" s="75"/>
      <c r="BQ28" s="75"/>
      <c r="BR28" s="75"/>
      <c r="BS28" s="75"/>
    </row>
    <row r="29" spans="1:71" x14ac:dyDescent="0.25">
      <c r="A29" s="516"/>
      <c r="B29" s="176" t="s">
        <v>25</v>
      </c>
      <c r="C29" s="151">
        <v>18.52</v>
      </c>
      <c r="D29" s="94">
        <v>18.5</v>
      </c>
      <c r="E29" s="94">
        <v>18.48</v>
      </c>
      <c r="F29" s="168">
        <f t="shared" si="13"/>
        <v>18.5</v>
      </c>
      <c r="G29" s="95">
        <v>6.28</v>
      </c>
      <c r="H29" s="94">
        <v>6.12</v>
      </c>
      <c r="I29" s="94">
        <v>6.24</v>
      </c>
      <c r="J29" s="168">
        <f t="shared" si="14"/>
        <v>6.2133333333333338</v>
      </c>
      <c r="K29" s="237">
        <f t="shared" si="15"/>
        <v>1670.1596664401859</v>
      </c>
      <c r="L29" s="507"/>
      <c r="M29" s="139" t="s">
        <v>25</v>
      </c>
      <c r="N29" s="173">
        <v>18.63</v>
      </c>
      <c r="O29" s="173">
        <v>18.62</v>
      </c>
      <c r="P29" s="173">
        <v>18.43</v>
      </c>
      <c r="Q29" s="168">
        <f t="shared" si="16"/>
        <v>18.559999999999999</v>
      </c>
      <c r="R29" s="95">
        <v>6.12</v>
      </c>
      <c r="S29" s="94">
        <v>6.09</v>
      </c>
      <c r="T29" s="94">
        <v>6.1</v>
      </c>
      <c r="U29" s="168">
        <f t="shared" si="17"/>
        <v>6.1033333333333344</v>
      </c>
      <c r="V29" s="240">
        <f t="shared" si="18"/>
        <v>1651.250319727264</v>
      </c>
      <c r="W29" s="27">
        <f t="shared" si="19"/>
        <v>-0.3243243243243174</v>
      </c>
      <c r="X29" s="27">
        <f t="shared" si="20"/>
        <v>1.7703862660944112</v>
      </c>
      <c r="Y29" s="27">
        <f t="shared" si="21"/>
        <v>1.1321879633954803</v>
      </c>
      <c r="AB29" s="66"/>
      <c r="AC29" s="91"/>
      <c r="AD29" s="92"/>
      <c r="AE29" s="92"/>
      <c r="AF29" s="92"/>
      <c r="AG29" s="92"/>
      <c r="AH29" s="92"/>
      <c r="AI29" s="92"/>
      <c r="AJ29" s="92"/>
      <c r="AK29" s="92"/>
      <c r="AL29" s="92"/>
      <c r="AN29" s="66"/>
      <c r="AO29" s="91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BC29" s="279"/>
      <c r="BD29" s="279"/>
      <c r="BE29" s="75"/>
      <c r="BF29" s="75"/>
      <c r="BG29" s="75"/>
      <c r="BH29" s="75"/>
      <c r="BI29" s="75"/>
      <c r="BJ29" s="75"/>
      <c r="BK29" s="75"/>
      <c r="BL29" s="279"/>
      <c r="BM29" s="75"/>
      <c r="BN29" s="75"/>
      <c r="BO29" s="75"/>
      <c r="BP29" s="75"/>
      <c r="BQ29" s="75"/>
      <c r="BR29" s="75"/>
      <c r="BS29" s="75"/>
    </row>
    <row r="30" spans="1:71" x14ac:dyDescent="0.25">
      <c r="A30" s="516"/>
      <c r="B30" s="176" t="s">
        <v>26</v>
      </c>
      <c r="C30" s="151">
        <v>18.559999999999999</v>
      </c>
      <c r="D30" s="94">
        <v>18.73</v>
      </c>
      <c r="E30" s="94">
        <v>18.45</v>
      </c>
      <c r="F30" s="168">
        <f t="shared" si="13"/>
        <v>18.579999999999998</v>
      </c>
      <c r="G30" s="95">
        <v>6.03</v>
      </c>
      <c r="H30" s="94">
        <v>6.03</v>
      </c>
      <c r="I30" s="94">
        <v>6.03</v>
      </c>
      <c r="J30" s="168">
        <f t="shared" si="14"/>
        <v>6.03</v>
      </c>
      <c r="K30" s="237">
        <f t="shared" si="15"/>
        <v>1634.9279290041134</v>
      </c>
      <c r="L30" s="507"/>
      <c r="M30" s="139" t="s">
        <v>26</v>
      </c>
      <c r="N30" s="173">
        <v>18.690000000000001</v>
      </c>
      <c r="O30" s="173">
        <v>18.440000000000001</v>
      </c>
      <c r="P30" s="173">
        <v>18.79</v>
      </c>
      <c r="Q30" s="168">
        <f t="shared" si="16"/>
        <v>18.64</v>
      </c>
      <c r="R30" s="95">
        <v>6.07</v>
      </c>
      <c r="S30" s="94">
        <v>6.05</v>
      </c>
      <c r="T30" s="94">
        <v>6.08</v>
      </c>
      <c r="U30" s="168">
        <f t="shared" si="17"/>
        <v>6.0666666666666673</v>
      </c>
      <c r="V30" s="240">
        <f t="shared" si="18"/>
        <v>1655.5100847932804</v>
      </c>
      <c r="W30" s="27">
        <f t="shared" si="19"/>
        <v>-0.32292787944027063</v>
      </c>
      <c r="X30" s="27">
        <f t="shared" si="20"/>
        <v>-0.60807075732449534</v>
      </c>
      <c r="Y30" s="27">
        <f>((K30-V30)/K30)*100</f>
        <v>-1.2589029414712039</v>
      </c>
      <c r="AB30" s="66"/>
      <c r="AC30" s="91"/>
      <c r="AD30" s="92"/>
      <c r="AE30" s="92"/>
      <c r="AF30" s="92"/>
      <c r="AG30" s="92"/>
      <c r="AH30" s="92"/>
      <c r="AI30" s="92"/>
      <c r="AJ30" s="92"/>
      <c r="AK30" s="92"/>
      <c r="AL30" s="92"/>
      <c r="AN30" s="66"/>
      <c r="AO30" s="91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BC30" s="279"/>
      <c r="BD30" s="279"/>
      <c r="BE30" s="75"/>
      <c r="BF30" s="75"/>
      <c r="BG30" s="75"/>
      <c r="BH30" s="75"/>
      <c r="BI30" s="75"/>
      <c r="BJ30" s="75"/>
      <c r="BK30" s="75"/>
      <c r="BL30" s="279"/>
      <c r="BM30" s="75"/>
      <c r="BN30" s="75"/>
      <c r="BO30" s="75"/>
      <c r="BP30" s="75"/>
      <c r="BQ30" s="75"/>
      <c r="BR30" s="75"/>
      <c r="BS30" s="75"/>
    </row>
    <row r="31" spans="1:71" ht="15.75" thickBot="1" x14ac:dyDescent="0.3">
      <c r="A31" s="517"/>
      <c r="B31" s="177" t="s">
        <v>27</v>
      </c>
      <c r="C31" s="152">
        <v>18.579999999999998</v>
      </c>
      <c r="D31" s="97">
        <v>19.29</v>
      </c>
      <c r="E31" s="94">
        <v>19.46</v>
      </c>
      <c r="F31" s="180">
        <f t="shared" si="13"/>
        <v>19.11</v>
      </c>
      <c r="G31" s="98">
        <v>6.01</v>
      </c>
      <c r="H31" s="97">
        <v>6.08</v>
      </c>
      <c r="I31" s="97">
        <v>5.89</v>
      </c>
      <c r="J31" s="180">
        <f t="shared" si="14"/>
        <v>5.9933333333333332</v>
      </c>
      <c r="K31" s="238">
        <f t="shared" si="15"/>
        <v>1719.0150863993617</v>
      </c>
      <c r="L31" s="508"/>
      <c r="M31" s="140" t="s">
        <v>27</v>
      </c>
      <c r="N31" s="179">
        <v>18.670000000000002</v>
      </c>
      <c r="O31" s="179">
        <v>19.41</v>
      </c>
      <c r="P31" s="179">
        <v>18.61</v>
      </c>
      <c r="Q31" s="180">
        <f t="shared" si="16"/>
        <v>18.896666666666665</v>
      </c>
      <c r="R31" s="98">
        <v>5.97</v>
      </c>
      <c r="S31" s="97">
        <v>6.01</v>
      </c>
      <c r="T31" s="97">
        <v>6.03</v>
      </c>
      <c r="U31" s="180">
        <f t="shared" si="17"/>
        <v>6.0033333333333339</v>
      </c>
      <c r="V31" s="241">
        <f t="shared" si="18"/>
        <v>1683.6536027865814</v>
      </c>
      <c r="W31" s="27">
        <f t="shared" si="19"/>
        <v>1.1163439734868379</v>
      </c>
      <c r="X31" s="27">
        <f t="shared" si="20"/>
        <v>-0.16685205784205798</v>
      </c>
      <c r="Y31" s="61">
        <f>((K31-V31)/K31)*100</f>
        <v>2.0570781427432565</v>
      </c>
      <c r="AB31" s="66"/>
      <c r="AC31" s="91"/>
      <c r="AD31" s="92"/>
      <c r="AE31" s="92"/>
      <c r="AF31" s="92"/>
      <c r="AG31" s="92"/>
      <c r="AH31" s="92"/>
      <c r="AI31" s="92"/>
      <c r="AJ31" s="92"/>
      <c r="AK31" s="92"/>
      <c r="AL31" s="92"/>
      <c r="AN31" s="66"/>
      <c r="AO31" s="91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BC31" s="279"/>
      <c r="BD31" s="279"/>
      <c r="BE31" s="75"/>
      <c r="BF31" s="75"/>
      <c r="BG31" s="75"/>
      <c r="BH31" s="75"/>
      <c r="BI31" s="75"/>
      <c r="BJ31" s="75"/>
      <c r="BK31" s="75"/>
      <c r="BL31" s="279"/>
      <c r="BM31" s="75"/>
      <c r="BN31" s="75"/>
      <c r="BO31" s="75"/>
      <c r="BP31" s="75"/>
      <c r="BQ31" s="75"/>
      <c r="BR31" s="75"/>
      <c r="BS31" s="75"/>
    </row>
    <row r="32" spans="1:71" ht="15" customHeight="1" x14ac:dyDescent="0.25">
      <c r="A32" s="509" t="s">
        <v>20</v>
      </c>
      <c r="B32" s="144" t="s">
        <v>21</v>
      </c>
      <c r="C32" s="87">
        <v>18.329999999999998</v>
      </c>
      <c r="D32" s="88">
        <v>18.45</v>
      </c>
      <c r="E32" s="88">
        <v>18.47</v>
      </c>
      <c r="F32" s="175">
        <f t="shared" si="13"/>
        <v>18.416666666666668</v>
      </c>
      <c r="G32" s="94">
        <v>6.34</v>
      </c>
      <c r="H32" s="94">
        <v>6.64</v>
      </c>
      <c r="I32" s="94">
        <v>6.44</v>
      </c>
      <c r="J32" s="206">
        <f t="shared" si="14"/>
        <v>6.4733333333333336</v>
      </c>
      <c r="K32" s="236">
        <f>PI()*((F32/2)^2)*J32</f>
        <v>1724.4075175573348</v>
      </c>
      <c r="L32" s="509" t="s">
        <v>20</v>
      </c>
      <c r="M32" s="137" t="s">
        <v>21</v>
      </c>
      <c r="N32" s="173">
        <v>18.39</v>
      </c>
      <c r="O32" s="173">
        <v>18.420000000000002</v>
      </c>
      <c r="P32" s="173">
        <v>18.54</v>
      </c>
      <c r="Q32" s="175">
        <f t="shared" si="16"/>
        <v>18.45</v>
      </c>
      <c r="R32" s="95">
        <v>6.54</v>
      </c>
      <c r="S32" s="94">
        <v>6.53</v>
      </c>
      <c r="T32" s="94">
        <v>6.52</v>
      </c>
      <c r="U32" s="175">
        <f t="shared" si="17"/>
        <v>6.53</v>
      </c>
      <c r="V32" s="239">
        <f>PI()*((Q32/2)^2)*U32</f>
        <v>1745.8052840028261</v>
      </c>
      <c r="W32" s="23">
        <f>((F32-Q32)/F32)*100</f>
        <v>-0.18099547511311187</v>
      </c>
      <c r="X32" s="23">
        <f>((J32-U32)/J32)*100</f>
        <v>-0.87538619979402632</v>
      </c>
      <c r="Y32" s="23">
        <f>((K32-V32)/K32)*100</f>
        <v>-1.2408764301724746</v>
      </c>
      <c r="AB32" s="70"/>
      <c r="AC32" s="99"/>
      <c r="AD32" s="92"/>
      <c r="AE32" s="92"/>
      <c r="AF32" s="92"/>
      <c r="AG32" s="92"/>
      <c r="AH32" s="92"/>
      <c r="AI32" s="92"/>
      <c r="AJ32" s="92"/>
      <c r="AK32" s="92"/>
      <c r="AL32" s="92"/>
      <c r="AN32" s="70"/>
      <c r="AO32" s="99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BC32" s="279"/>
      <c r="BD32" s="279"/>
      <c r="BE32" s="75"/>
      <c r="BF32" s="75"/>
      <c r="BG32" s="75"/>
      <c r="BH32" s="75"/>
      <c r="BI32" s="75"/>
      <c r="BJ32" s="75"/>
      <c r="BK32" s="75"/>
      <c r="BL32" s="279"/>
      <c r="BM32" s="75"/>
      <c r="BN32" s="75"/>
      <c r="BO32" s="75"/>
      <c r="BP32" s="75"/>
      <c r="BQ32" s="75"/>
      <c r="BR32" s="75"/>
      <c r="BS32" s="75"/>
    </row>
    <row r="33" spans="1:71" x14ac:dyDescent="0.25">
      <c r="A33" s="510"/>
      <c r="B33" s="137" t="s">
        <v>22</v>
      </c>
      <c r="C33" s="93">
        <v>18.489999999999998</v>
      </c>
      <c r="D33" s="94">
        <v>18.55</v>
      </c>
      <c r="E33" s="94">
        <v>18.59</v>
      </c>
      <c r="F33" s="168">
        <f t="shared" si="13"/>
        <v>18.543333333333333</v>
      </c>
      <c r="G33" s="94">
        <v>6.33</v>
      </c>
      <c r="H33" s="94">
        <v>6.37</v>
      </c>
      <c r="I33" s="94">
        <v>6.34</v>
      </c>
      <c r="J33" s="168">
        <f t="shared" si="14"/>
        <v>6.3466666666666667</v>
      </c>
      <c r="K33" s="237">
        <f t="shared" si="15"/>
        <v>1714.0014347987046</v>
      </c>
      <c r="L33" s="510"/>
      <c r="M33" s="137" t="s">
        <v>22</v>
      </c>
      <c r="N33" s="173">
        <v>18.52</v>
      </c>
      <c r="O33" s="173">
        <v>18.48</v>
      </c>
      <c r="P33" s="173">
        <v>18.47</v>
      </c>
      <c r="Q33" s="168">
        <f t="shared" si="16"/>
        <v>18.489999999999998</v>
      </c>
      <c r="R33" s="95">
        <v>6.51</v>
      </c>
      <c r="S33" s="94">
        <v>6.48</v>
      </c>
      <c r="T33" s="94">
        <v>6.46</v>
      </c>
      <c r="U33" s="168">
        <f t="shared" si="17"/>
        <v>6.4833333333333334</v>
      </c>
      <c r="V33" s="240">
        <f t="shared" ref="V33:V38" si="22">PI()*((Q33/2)^2)*U33</f>
        <v>1740.8528171298481</v>
      </c>
      <c r="W33" s="27">
        <f>((F33-Q33)/F33)*100</f>
        <v>0.28761459644077603</v>
      </c>
      <c r="X33" s="27">
        <f>((J33-U33)/J33)*100</f>
        <v>-2.1533613445378159</v>
      </c>
      <c r="Y33" s="27">
        <f>((K33-V33)/K33)*100</f>
        <v>-1.5665904232044541</v>
      </c>
      <c r="AB33" s="66"/>
      <c r="AC33" s="99"/>
      <c r="AD33" s="92"/>
      <c r="AE33" s="92"/>
      <c r="AF33" s="92"/>
      <c r="AG33" s="92"/>
      <c r="AH33" s="92"/>
      <c r="AI33" s="92"/>
      <c r="AJ33" s="92"/>
      <c r="AK33" s="92"/>
      <c r="AL33" s="92"/>
      <c r="AN33" s="66"/>
      <c r="AO33" s="99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BC33" s="280"/>
      <c r="BD33" s="280"/>
      <c r="BE33" s="75"/>
      <c r="BF33" s="75"/>
      <c r="BG33" s="75"/>
      <c r="BH33" s="75"/>
      <c r="BI33" s="75"/>
      <c r="BJ33" s="75"/>
      <c r="BK33" s="75"/>
      <c r="BL33" s="280"/>
      <c r="BM33" s="75"/>
      <c r="BN33" s="75"/>
      <c r="BO33" s="75"/>
      <c r="BP33" s="75"/>
      <c r="BQ33" s="75"/>
      <c r="BR33" s="75"/>
      <c r="BS33" s="75"/>
    </row>
    <row r="34" spans="1:71" x14ac:dyDescent="0.25">
      <c r="A34" s="510"/>
      <c r="B34" s="137" t="s">
        <v>23</v>
      </c>
      <c r="C34" s="93">
        <v>18.47</v>
      </c>
      <c r="D34" s="94">
        <v>18.48</v>
      </c>
      <c r="E34" s="94">
        <v>18.489999999999998</v>
      </c>
      <c r="F34" s="168">
        <f t="shared" si="13"/>
        <v>18.48</v>
      </c>
      <c r="G34" s="94">
        <v>6.31</v>
      </c>
      <c r="H34" s="94">
        <v>6.17</v>
      </c>
      <c r="I34" s="94">
        <v>6.2</v>
      </c>
      <c r="J34" s="168">
        <f t="shared" si="14"/>
        <v>6.2266666666666666</v>
      </c>
      <c r="K34" s="237">
        <f t="shared" si="15"/>
        <v>1670.1267509267566</v>
      </c>
      <c r="L34" s="510"/>
      <c r="M34" s="137" t="s">
        <v>23</v>
      </c>
      <c r="N34" s="173">
        <v>18.739999999999998</v>
      </c>
      <c r="O34" s="173">
        <v>18.34</v>
      </c>
      <c r="P34" s="173">
        <v>18.48</v>
      </c>
      <c r="Q34" s="168">
        <f t="shared" si="16"/>
        <v>18.52</v>
      </c>
      <c r="R34" s="95">
        <v>6.18</v>
      </c>
      <c r="S34" s="94">
        <v>6.35</v>
      </c>
      <c r="T34" s="94">
        <v>6.3</v>
      </c>
      <c r="U34" s="168">
        <f t="shared" si="17"/>
        <v>6.2766666666666664</v>
      </c>
      <c r="V34" s="240">
        <f t="shared" si="22"/>
        <v>1690.8337630327546</v>
      </c>
      <c r="W34" s="27">
        <f t="shared" ref="W34:W38" si="23">((F34-Q34)/F34)*100</f>
        <v>-0.21645021645021181</v>
      </c>
      <c r="X34" s="27">
        <f t="shared" ref="X34:X38" si="24">((J34-U34)/J34)*100</f>
        <v>-0.80299785867237405</v>
      </c>
      <c r="Y34" s="27">
        <f t="shared" ref="Y34:Y37" si="25">((K34-V34)/K34)*100</f>
        <v>-1.2398467418420598</v>
      </c>
      <c r="AB34" s="66"/>
      <c r="AC34" s="99"/>
      <c r="AD34" s="92"/>
      <c r="AE34" s="92"/>
      <c r="AF34" s="92"/>
      <c r="AG34" s="92"/>
      <c r="AH34" s="92"/>
      <c r="AI34" s="92"/>
      <c r="AJ34" s="92"/>
      <c r="AK34" s="92"/>
      <c r="AL34" s="92"/>
      <c r="AN34" s="66"/>
      <c r="AO34" s="99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BC34" s="280"/>
      <c r="BD34" s="280"/>
      <c r="BE34" s="75"/>
      <c r="BF34" s="75"/>
      <c r="BG34" s="75"/>
      <c r="BH34" s="75"/>
      <c r="BI34" s="75"/>
      <c r="BJ34" s="75"/>
      <c r="BK34" s="75"/>
      <c r="BL34" s="280"/>
      <c r="BM34" s="75"/>
      <c r="BN34" s="75"/>
      <c r="BO34" s="75"/>
      <c r="BP34" s="75"/>
      <c r="BQ34" s="75"/>
      <c r="BR34" s="75"/>
      <c r="BS34" s="75"/>
    </row>
    <row r="35" spans="1:71" x14ac:dyDescent="0.25">
      <c r="A35" s="510"/>
      <c r="B35" s="137" t="s">
        <v>24</v>
      </c>
      <c r="C35" s="93">
        <v>18.54</v>
      </c>
      <c r="D35" s="94">
        <v>18.600000000000001</v>
      </c>
      <c r="E35" s="94">
        <v>18.53</v>
      </c>
      <c r="F35" s="168">
        <f t="shared" si="13"/>
        <v>18.556666666666668</v>
      </c>
      <c r="G35" s="94">
        <v>6.27</v>
      </c>
      <c r="H35" s="94">
        <v>6.26</v>
      </c>
      <c r="I35" s="94">
        <v>6.24</v>
      </c>
      <c r="J35" s="168">
        <f t="shared" si="14"/>
        <v>6.2566666666666668</v>
      </c>
      <c r="K35" s="237">
        <f t="shared" si="15"/>
        <v>1692.1265215738345</v>
      </c>
      <c r="L35" s="510"/>
      <c r="M35" s="137" t="s">
        <v>24</v>
      </c>
      <c r="N35" s="173">
        <v>18.57</v>
      </c>
      <c r="O35" s="173">
        <v>18.47</v>
      </c>
      <c r="P35" s="173">
        <v>18.48</v>
      </c>
      <c r="Q35" s="168">
        <f t="shared" si="16"/>
        <v>18.506666666666664</v>
      </c>
      <c r="R35" s="95">
        <v>6.35</v>
      </c>
      <c r="S35" s="94">
        <v>6.42</v>
      </c>
      <c r="T35" s="94">
        <v>6.33</v>
      </c>
      <c r="U35" s="168">
        <f t="shared" si="17"/>
        <v>6.3666666666666671</v>
      </c>
      <c r="V35" s="240">
        <f t="shared" si="22"/>
        <v>1712.6096994793204</v>
      </c>
      <c r="W35" s="27">
        <f t="shared" si="23"/>
        <v>0.26944494341658487</v>
      </c>
      <c r="X35" s="27">
        <f t="shared" si="24"/>
        <v>-1.7581246670218482</v>
      </c>
      <c r="Y35" s="27">
        <f t="shared" si="25"/>
        <v>-1.2104991940221286</v>
      </c>
      <c r="AB35" s="66"/>
      <c r="AC35" s="99"/>
      <c r="AD35" s="92"/>
      <c r="AE35" s="92"/>
      <c r="AF35" s="92"/>
      <c r="AG35" s="92"/>
      <c r="AH35" s="92"/>
      <c r="AI35" s="92"/>
      <c r="AJ35" s="92"/>
      <c r="AK35" s="92"/>
      <c r="AL35" s="92"/>
      <c r="AN35" s="66"/>
      <c r="AO35" s="99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BC35" s="280"/>
      <c r="BD35" s="280"/>
      <c r="BE35" s="75"/>
      <c r="BF35" s="75"/>
      <c r="BG35" s="75"/>
      <c r="BH35" s="75"/>
      <c r="BI35" s="75"/>
      <c r="BJ35" s="75"/>
      <c r="BK35" s="75"/>
      <c r="BL35" s="280"/>
      <c r="BM35" s="75"/>
      <c r="BN35" s="75"/>
      <c r="BO35" s="75"/>
      <c r="BP35" s="75"/>
      <c r="BQ35" s="75"/>
      <c r="BR35" s="75"/>
      <c r="BS35" s="75"/>
    </row>
    <row r="36" spans="1:71" x14ac:dyDescent="0.25">
      <c r="A36" s="510"/>
      <c r="B36" s="137" t="s">
        <v>25</v>
      </c>
      <c r="C36" s="93">
        <v>18.53</v>
      </c>
      <c r="D36" s="94">
        <v>18.61</v>
      </c>
      <c r="E36" s="94">
        <v>18.579999999999998</v>
      </c>
      <c r="F36" s="168">
        <f t="shared" si="13"/>
        <v>18.573333333333334</v>
      </c>
      <c r="G36" s="94">
        <v>6.21</v>
      </c>
      <c r="H36" s="94">
        <v>6.12</v>
      </c>
      <c r="I36" s="94">
        <v>6.25</v>
      </c>
      <c r="J36" s="168">
        <f t="shared" si="14"/>
        <v>6.1933333333333325</v>
      </c>
      <c r="K36" s="237">
        <f t="shared" si="15"/>
        <v>1678.0080592971844</v>
      </c>
      <c r="L36" s="510"/>
      <c r="M36" s="137" t="s">
        <v>25</v>
      </c>
      <c r="N36" s="173">
        <v>18.5</v>
      </c>
      <c r="O36" s="173">
        <v>18.57</v>
      </c>
      <c r="P36" s="173">
        <v>18.64</v>
      </c>
      <c r="Q36" s="168">
        <f t="shared" si="16"/>
        <v>18.57</v>
      </c>
      <c r="R36" s="95">
        <v>6.21</v>
      </c>
      <c r="S36" s="94">
        <v>6.25</v>
      </c>
      <c r="T36" s="94">
        <v>6.3</v>
      </c>
      <c r="U36" s="168">
        <f t="shared" si="17"/>
        <v>6.2533333333333339</v>
      </c>
      <c r="V36" s="240">
        <f t="shared" si="22"/>
        <v>1693.6562463181613</v>
      </c>
      <c r="W36" s="27">
        <f t="shared" si="23"/>
        <v>1.7946877243362459E-2</v>
      </c>
      <c r="X36" s="27">
        <f t="shared" si="24"/>
        <v>-0.96878363832079761</v>
      </c>
      <c r="Y36" s="27">
        <f t="shared" si="25"/>
        <v>-0.93254540312106093</v>
      </c>
      <c r="AB36" s="66"/>
      <c r="AC36" s="99"/>
      <c r="AD36" s="92"/>
      <c r="AE36" s="92"/>
      <c r="AF36" s="92"/>
      <c r="AG36" s="92"/>
      <c r="AH36" s="92"/>
      <c r="AI36" s="92"/>
      <c r="AJ36" s="92"/>
      <c r="AK36" s="92"/>
      <c r="AL36" s="92"/>
      <c r="AN36" s="66"/>
      <c r="AO36" s="99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BC36" s="280"/>
      <c r="BD36" s="280"/>
      <c r="BE36" s="75"/>
      <c r="BF36" s="75"/>
      <c r="BG36" s="75"/>
      <c r="BH36" s="75"/>
      <c r="BI36" s="75"/>
      <c r="BJ36" s="75"/>
      <c r="BK36" s="75"/>
      <c r="BL36" s="280"/>
      <c r="BM36" s="75"/>
      <c r="BN36" s="75"/>
      <c r="BO36" s="75"/>
      <c r="BP36" s="75"/>
      <c r="BQ36" s="75"/>
      <c r="BR36" s="75"/>
      <c r="BS36" s="75"/>
    </row>
    <row r="37" spans="1:71" x14ac:dyDescent="0.25">
      <c r="A37" s="510"/>
      <c r="B37" s="137" t="s">
        <v>26</v>
      </c>
      <c r="C37" s="93">
        <v>18.62</v>
      </c>
      <c r="D37" s="94">
        <v>18.59</v>
      </c>
      <c r="E37" s="94">
        <v>18.55</v>
      </c>
      <c r="F37" s="168">
        <f t="shared" si="13"/>
        <v>18.58666666666667</v>
      </c>
      <c r="G37" s="94">
        <v>6.23</v>
      </c>
      <c r="H37" s="94">
        <v>6.21</v>
      </c>
      <c r="I37" s="94">
        <v>6.29</v>
      </c>
      <c r="J37" s="168">
        <f t="shared" si="14"/>
        <v>6.2433333333333332</v>
      </c>
      <c r="K37" s="237">
        <f t="shared" si="15"/>
        <v>1693.9844709592519</v>
      </c>
      <c r="L37" s="510"/>
      <c r="M37" s="137" t="s">
        <v>26</v>
      </c>
      <c r="N37" s="173">
        <v>18.45</v>
      </c>
      <c r="O37" s="173">
        <v>18.670000000000002</v>
      </c>
      <c r="P37" s="173">
        <v>18.670000000000002</v>
      </c>
      <c r="Q37" s="168">
        <f t="shared" si="16"/>
        <v>18.596666666666668</v>
      </c>
      <c r="R37" s="95">
        <v>6.28</v>
      </c>
      <c r="S37" s="94">
        <v>6.38</v>
      </c>
      <c r="T37" s="94">
        <v>6.35</v>
      </c>
      <c r="U37" s="168">
        <f t="shared" si="17"/>
        <v>6.336666666666666</v>
      </c>
      <c r="V37" s="240">
        <f t="shared" si="22"/>
        <v>1721.1588603278635</v>
      </c>
      <c r="W37" s="27">
        <f t="shared" si="23"/>
        <v>-5.3802008608310664E-2</v>
      </c>
      <c r="X37" s="27">
        <f t="shared" si="24"/>
        <v>-1.4949279231179844</v>
      </c>
      <c r="Y37" s="27">
        <f t="shared" si="25"/>
        <v>-1.6041699221258858</v>
      </c>
      <c r="AB37" s="66"/>
      <c r="AC37" s="99"/>
      <c r="AD37" s="92"/>
      <c r="AE37" s="92"/>
      <c r="AF37" s="92"/>
      <c r="AG37" s="92"/>
      <c r="AH37" s="92"/>
      <c r="AI37" s="92"/>
      <c r="AJ37" s="92"/>
      <c r="AK37" s="92"/>
      <c r="AL37" s="92"/>
      <c r="AN37" s="66"/>
      <c r="AO37" s="99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BC37" s="280"/>
      <c r="BD37" s="280"/>
      <c r="BE37" s="75"/>
      <c r="BF37" s="75"/>
      <c r="BG37" s="75"/>
      <c r="BH37" s="75"/>
      <c r="BI37" s="75"/>
      <c r="BJ37" s="75"/>
      <c r="BK37" s="75"/>
      <c r="BL37" s="280"/>
      <c r="BM37" s="75"/>
      <c r="BN37" s="75"/>
      <c r="BO37" s="75"/>
      <c r="BP37" s="75"/>
      <c r="BQ37" s="75"/>
      <c r="BR37" s="75"/>
      <c r="BS37" s="75"/>
    </row>
    <row r="38" spans="1:71" ht="15.75" thickBot="1" x14ac:dyDescent="0.3">
      <c r="A38" s="511"/>
      <c r="B38" s="138" t="s">
        <v>27</v>
      </c>
      <c r="C38" s="93">
        <v>18.75</v>
      </c>
      <c r="D38" s="97">
        <v>18.61</v>
      </c>
      <c r="E38" s="97">
        <v>18.82</v>
      </c>
      <c r="F38" s="180">
        <f t="shared" si="13"/>
        <v>18.726666666666667</v>
      </c>
      <c r="G38" s="97">
        <v>6.16</v>
      </c>
      <c r="H38" s="97">
        <v>6.17</v>
      </c>
      <c r="I38" s="97">
        <v>6.12</v>
      </c>
      <c r="J38" s="180">
        <f t="shared" si="14"/>
        <v>6.1499999999999995</v>
      </c>
      <c r="K38" s="238">
        <f t="shared" si="15"/>
        <v>1693.8929380974723</v>
      </c>
      <c r="L38" s="511"/>
      <c r="M38" s="138" t="s">
        <v>27</v>
      </c>
      <c r="N38" s="179">
        <v>18.62</v>
      </c>
      <c r="O38" s="179">
        <v>18.53</v>
      </c>
      <c r="P38" s="179">
        <v>18.739999999999998</v>
      </c>
      <c r="Q38" s="180">
        <f t="shared" si="16"/>
        <v>18.63</v>
      </c>
      <c r="R38" s="98">
        <v>6.28</v>
      </c>
      <c r="S38" s="97">
        <v>6.25</v>
      </c>
      <c r="T38" s="97">
        <v>6.26</v>
      </c>
      <c r="U38" s="180">
        <f t="shared" si="17"/>
        <v>6.2633333333333328</v>
      </c>
      <c r="V38" s="241">
        <f t="shared" si="22"/>
        <v>1707.3443296580679</v>
      </c>
      <c r="W38" s="27">
        <f t="shared" si="23"/>
        <v>0.51619793520826396</v>
      </c>
      <c r="X38" s="27">
        <f t="shared" si="24"/>
        <v>-1.8428184281842812</v>
      </c>
      <c r="Y38" s="61">
        <f>((K38-V38)/K38)*100</f>
        <v>-0.79411108329572011</v>
      </c>
      <c r="AB38" s="66"/>
      <c r="AC38" s="99"/>
      <c r="AD38" s="92"/>
      <c r="AE38" s="92"/>
      <c r="AF38" s="92"/>
      <c r="AG38" s="92"/>
      <c r="AH38" s="92"/>
      <c r="AI38" s="92"/>
      <c r="AJ38" s="92"/>
      <c r="AK38" s="92"/>
      <c r="AL38" s="92"/>
      <c r="AN38" s="66"/>
      <c r="AO38" s="99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BC38" s="280"/>
      <c r="BD38" s="280"/>
      <c r="BE38" s="75"/>
      <c r="BF38" s="75"/>
      <c r="BG38" s="75"/>
      <c r="BH38" s="75"/>
      <c r="BI38" s="75"/>
      <c r="BJ38" s="75"/>
      <c r="BK38" s="75"/>
      <c r="BL38" s="280"/>
      <c r="BM38" s="75"/>
      <c r="BN38" s="75"/>
      <c r="BO38" s="75"/>
      <c r="BP38" s="75"/>
      <c r="BQ38" s="75"/>
      <c r="BR38" s="75"/>
      <c r="BS38" s="75"/>
    </row>
    <row r="39" spans="1:71" ht="16.5" thickBot="1" x14ac:dyDescent="0.3">
      <c r="A39" s="72" t="s">
        <v>189</v>
      </c>
      <c r="B39" s="512" t="s">
        <v>4</v>
      </c>
      <c r="C39" s="513"/>
      <c r="D39" s="513"/>
      <c r="E39" s="513"/>
      <c r="F39" s="513"/>
      <c r="G39" s="513"/>
      <c r="H39" s="513"/>
      <c r="I39" s="513"/>
      <c r="J39" s="514"/>
      <c r="K39" s="245"/>
      <c r="L39" s="72" t="s">
        <v>189</v>
      </c>
      <c r="M39" s="512" t="s">
        <v>190</v>
      </c>
      <c r="N39" s="513"/>
      <c r="O39" s="513"/>
      <c r="P39" s="513"/>
      <c r="Q39" s="513"/>
      <c r="R39" s="513"/>
      <c r="S39" s="513"/>
      <c r="T39" s="513"/>
      <c r="U39" s="514"/>
      <c r="V39" s="204"/>
      <c r="W39" s="204"/>
      <c r="X39" s="204"/>
      <c r="Y39" s="243"/>
      <c r="AC39" s="3"/>
      <c r="AD39" s="3"/>
      <c r="AE39" s="3"/>
      <c r="AF39" s="3"/>
      <c r="AG39" s="3"/>
      <c r="AH39" s="3"/>
      <c r="AI39" s="3"/>
      <c r="AJ39" s="3"/>
      <c r="AK39" s="3"/>
      <c r="AL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BC39" s="280"/>
      <c r="BD39" s="280"/>
      <c r="BE39" s="75"/>
      <c r="BF39" s="75"/>
      <c r="BG39" s="75"/>
      <c r="BH39" s="75"/>
      <c r="BI39" s="75"/>
      <c r="BJ39" s="75"/>
      <c r="BK39" s="75"/>
      <c r="BL39" s="280"/>
      <c r="BM39" s="75"/>
      <c r="BN39" s="75"/>
      <c r="BO39" s="75"/>
      <c r="BP39" s="75"/>
      <c r="BQ39" s="75"/>
      <c r="BR39" s="75"/>
      <c r="BS39" s="75"/>
    </row>
    <row r="40" spans="1:71" ht="16.5" thickBot="1" x14ac:dyDescent="0.3">
      <c r="A40" s="77" t="s">
        <v>12</v>
      </c>
      <c r="B40" s="78" t="s">
        <v>6</v>
      </c>
      <c r="C40" s="79" t="s">
        <v>13</v>
      </c>
      <c r="D40" s="79" t="s">
        <v>14</v>
      </c>
      <c r="E40" s="79" t="s">
        <v>15</v>
      </c>
      <c r="F40" s="80" t="s">
        <v>16</v>
      </c>
      <c r="G40" s="81" t="s">
        <v>17</v>
      </c>
      <c r="H40" s="82" t="s">
        <v>18</v>
      </c>
      <c r="I40" s="82" t="s">
        <v>19</v>
      </c>
      <c r="J40" s="83" t="s">
        <v>16</v>
      </c>
      <c r="K40" s="201" t="s">
        <v>183</v>
      </c>
      <c r="L40" s="84" t="s">
        <v>12</v>
      </c>
      <c r="M40" s="78" t="s">
        <v>6</v>
      </c>
      <c r="N40" s="79" t="s">
        <v>13</v>
      </c>
      <c r="O40" s="79" t="s">
        <v>14</v>
      </c>
      <c r="P40" s="79" t="s">
        <v>15</v>
      </c>
      <c r="Q40" s="80" t="s">
        <v>16</v>
      </c>
      <c r="R40" s="81" t="s">
        <v>17</v>
      </c>
      <c r="S40" s="82" t="s">
        <v>18</v>
      </c>
      <c r="T40" s="82" t="s">
        <v>19</v>
      </c>
      <c r="U40" s="83" t="s">
        <v>16</v>
      </c>
      <c r="V40" s="84" t="s">
        <v>183</v>
      </c>
      <c r="W40" s="201" t="s">
        <v>184</v>
      </c>
      <c r="X40" s="201" t="s">
        <v>185</v>
      </c>
      <c r="Y40" s="194" t="s">
        <v>186</v>
      </c>
      <c r="AB40" s="85"/>
      <c r="AC40" s="85"/>
      <c r="AD40" s="86"/>
      <c r="AE40" s="86"/>
      <c r="AF40" s="86"/>
      <c r="AG40" s="86"/>
      <c r="AH40" s="86"/>
      <c r="AI40" s="86"/>
      <c r="AJ40" s="86"/>
      <c r="AK40" s="86"/>
      <c r="AL40" s="86"/>
      <c r="AN40" s="85"/>
      <c r="AO40" s="85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BC40" s="126"/>
      <c r="BD40" s="126"/>
      <c r="BE40" s="126"/>
      <c r="BF40" s="126"/>
      <c r="BG40" s="126"/>
      <c r="BH40" s="126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</row>
    <row r="41" spans="1:71" ht="15" customHeight="1" x14ac:dyDescent="0.25">
      <c r="A41" s="515" t="s">
        <v>134</v>
      </c>
      <c r="B41" s="174" t="s">
        <v>21</v>
      </c>
      <c r="C41" s="170">
        <v>18.59</v>
      </c>
      <c r="D41" s="171">
        <v>18.399999999999999</v>
      </c>
      <c r="E41" s="171">
        <v>18.59</v>
      </c>
      <c r="F41" s="175">
        <f>AVERAGE(C41:E41)</f>
        <v>18.526666666666667</v>
      </c>
      <c r="G41" s="181">
        <v>6.19</v>
      </c>
      <c r="H41" s="181">
        <v>6.21</v>
      </c>
      <c r="I41" s="181">
        <v>6.22</v>
      </c>
      <c r="J41" s="175">
        <f>AVERAGE(G41:I41)</f>
        <v>6.206666666666667</v>
      </c>
      <c r="K41" s="236">
        <f>PI()*((F41/2)^2)*J41</f>
        <v>1673.1808246267817</v>
      </c>
      <c r="L41" s="506" t="s">
        <v>134</v>
      </c>
      <c r="M41" s="141" t="s">
        <v>21</v>
      </c>
      <c r="N41" s="181">
        <v>18.43</v>
      </c>
      <c r="O41" s="181">
        <v>18.559999999999999</v>
      </c>
      <c r="P41" s="181">
        <v>18.61</v>
      </c>
      <c r="Q41" s="175">
        <f>AVERAGE(N41:P41)</f>
        <v>18.533333333333331</v>
      </c>
      <c r="R41" s="228">
        <v>6.28</v>
      </c>
      <c r="S41" s="181">
        <v>6.17</v>
      </c>
      <c r="T41" s="181">
        <v>6.12</v>
      </c>
      <c r="U41" s="175">
        <f>AVERAGE(R41:T41)</f>
        <v>6.19</v>
      </c>
      <c r="V41" s="239">
        <f>PI()*((Q41/2)^2)*U41</f>
        <v>1669.8890007797863</v>
      </c>
      <c r="W41" s="23">
        <f>((F41-Q41)/F41)*100</f>
        <v>-3.5984166966521167E-2</v>
      </c>
      <c r="X41" s="23">
        <f>((J41-U41)/J41)*100</f>
        <v>0.26852846401718489</v>
      </c>
      <c r="Y41" s="23">
        <f>((K41-V41)/K41)*100</f>
        <v>0.19674047171378842</v>
      </c>
      <c r="AB41" s="66"/>
      <c r="AC41" s="91"/>
      <c r="AD41" s="92"/>
      <c r="AE41" s="92"/>
      <c r="AF41" s="92"/>
      <c r="AG41" s="92"/>
      <c r="AH41" s="92"/>
      <c r="AI41" s="92"/>
      <c r="AJ41" s="92"/>
      <c r="AK41" s="92"/>
      <c r="AL41" s="92"/>
      <c r="AN41" s="66"/>
      <c r="AO41" s="91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</row>
    <row r="42" spans="1:71" x14ac:dyDescent="0.25">
      <c r="A42" s="516"/>
      <c r="B42" s="176" t="s">
        <v>22</v>
      </c>
      <c r="C42" s="172">
        <v>18.43</v>
      </c>
      <c r="D42" s="173">
        <v>18.63</v>
      </c>
      <c r="E42" s="173">
        <v>18.57</v>
      </c>
      <c r="F42" s="168">
        <f t="shared" ref="F42:F54" si="26">AVERAGE(C42:E42)</f>
        <v>18.543333333333333</v>
      </c>
      <c r="G42" s="173">
        <v>6.08</v>
      </c>
      <c r="H42" s="173">
        <v>6.23</v>
      </c>
      <c r="I42" s="173">
        <v>6.27</v>
      </c>
      <c r="J42" s="168">
        <f t="shared" ref="J42:J54" si="27">AVERAGE(G42:I42)</f>
        <v>6.1933333333333325</v>
      </c>
      <c r="K42" s="237">
        <f t="shared" ref="K42:K54" si="28">PI()*((F42/2)^2)*J42</f>
        <v>1672.5917362689038</v>
      </c>
      <c r="L42" s="507"/>
      <c r="M42" s="139" t="s">
        <v>22</v>
      </c>
      <c r="N42" s="173">
        <v>18.440000000000001</v>
      </c>
      <c r="O42" s="173">
        <v>18.489999999999998</v>
      </c>
      <c r="P42" s="173">
        <v>18.38</v>
      </c>
      <c r="Q42" s="168">
        <f t="shared" ref="Q42:Q47" si="29">AVERAGE(N42:P42)</f>
        <v>18.436666666666667</v>
      </c>
      <c r="R42" s="189">
        <v>6.28</v>
      </c>
      <c r="S42" s="173">
        <v>6.29</v>
      </c>
      <c r="T42" s="173">
        <v>6.04</v>
      </c>
      <c r="U42" s="168">
        <f t="shared" ref="U42:U47" si="30">AVERAGE(R42:T42)</f>
        <v>6.2033333333333331</v>
      </c>
      <c r="V42" s="240">
        <f t="shared" ref="V42:V47" si="31">PI()*((Q42/2)^2)*U42</f>
        <v>1656.074260757747</v>
      </c>
      <c r="W42" s="27">
        <f>((F42-Q42)/F42)*100</f>
        <v>0.57522919288153285</v>
      </c>
      <c r="X42" s="27">
        <f>((J42-U42)/J42)*100</f>
        <v>-0.16146393972014009</v>
      </c>
      <c r="Y42" s="27">
        <f>((K42-V42)/K42)*100</f>
        <v>0.98753779257589791</v>
      </c>
      <c r="AB42" s="66"/>
      <c r="AC42" s="91"/>
      <c r="AD42" s="92"/>
      <c r="AE42" s="92"/>
      <c r="AF42" s="92"/>
      <c r="AG42" s="92"/>
      <c r="AH42" s="92"/>
      <c r="AI42" s="92"/>
      <c r="AJ42" s="92"/>
      <c r="AK42" s="92"/>
      <c r="AL42" s="92"/>
      <c r="AN42" s="66"/>
      <c r="AO42" s="91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BC42" s="279"/>
      <c r="BD42" s="279"/>
      <c r="BE42" s="75"/>
      <c r="BF42" s="75"/>
      <c r="BG42" s="75"/>
      <c r="BH42" s="75"/>
      <c r="BI42" s="75"/>
      <c r="BJ42" s="75"/>
      <c r="BK42" s="75"/>
      <c r="BL42" s="279"/>
      <c r="BM42" s="75"/>
      <c r="BN42" s="75"/>
      <c r="BO42" s="75"/>
      <c r="BP42" s="75"/>
      <c r="BQ42" s="75"/>
      <c r="BR42" s="75"/>
      <c r="BS42" s="75"/>
    </row>
    <row r="43" spans="1:71" x14ac:dyDescent="0.25">
      <c r="A43" s="516"/>
      <c r="B43" s="176" t="s">
        <v>23</v>
      </c>
      <c r="C43" s="172">
        <v>18.440000000000001</v>
      </c>
      <c r="D43" s="173">
        <v>18.37</v>
      </c>
      <c r="E43" s="173">
        <v>18.37</v>
      </c>
      <c r="F43" s="168">
        <f t="shared" si="26"/>
        <v>18.393333333333334</v>
      </c>
      <c r="G43" s="173">
        <v>6.26</v>
      </c>
      <c r="H43" s="173">
        <v>6.6</v>
      </c>
      <c r="I43" s="173">
        <v>6.35</v>
      </c>
      <c r="J43" s="168">
        <f t="shared" si="27"/>
        <v>6.4033333333333333</v>
      </c>
      <c r="K43" s="237">
        <f t="shared" si="28"/>
        <v>1701.4409234873553</v>
      </c>
      <c r="L43" s="507"/>
      <c r="M43" s="139" t="s">
        <v>23</v>
      </c>
      <c r="N43" s="173">
        <v>18.22</v>
      </c>
      <c r="O43" s="173">
        <v>18.260000000000002</v>
      </c>
      <c r="P43" s="173">
        <v>18.37</v>
      </c>
      <c r="Q43" s="168">
        <f t="shared" si="29"/>
        <v>18.283333333333335</v>
      </c>
      <c r="R43" s="189">
        <v>6.17</v>
      </c>
      <c r="S43" s="173">
        <v>6.39</v>
      </c>
      <c r="T43" s="173">
        <v>6.35</v>
      </c>
      <c r="U43" s="168">
        <f t="shared" si="30"/>
        <v>6.3033333333333319</v>
      </c>
      <c r="V43" s="240">
        <f t="shared" si="31"/>
        <v>1654.8967759486852</v>
      </c>
      <c r="W43" s="27">
        <f t="shared" ref="W43:W47" si="32">((F43-Q43)/F43)*100</f>
        <v>0.59804276911924292</v>
      </c>
      <c r="X43" s="27">
        <f t="shared" ref="X43:X47" si="33">((J43-U43)/J43)*100</f>
        <v>1.5616866215512974</v>
      </c>
      <c r="Y43" s="27">
        <f t="shared" ref="Y43:Y46" si="34">((K43-V43)/K43)*100</f>
        <v>2.7355723549467119</v>
      </c>
      <c r="AB43" s="66"/>
      <c r="AC43" s="91"/>
      <c r="AD43" s="92"/>
      <c r="AE43" s="92"/>
      <c r="AF43" s="92"/>
      <c r="AG43" s="92"/>
      <c r="AH43" s="92"/>
      <c r="AI43" s="92"/>
      <c r="AJ43" s="92"/>
      <c r="AK43" s="92"/>
      <c r="AL43" s="92"/>
      <c r="AN43" s="66"/>
      <c r="AO43" s="91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BC43" s="279"/>
      <c r="BD43" s="279"/>
      <c r="BE43" s="75"/>
      <c r="BF43" s="75"/>
      <c r="BG43" s="75"/>
      <c r="BH43" s="75"/>
      <c r="BI43" s="75"/>
      <c r="BJ43" s="75"/>
      <c r="BK43" s="75"/>
      <c r="BL43" s="279"/>
      <c r="BM43" s="75"/>
      <c r="BN43" s="75"/>
      <c r="BO43" s="75"/>
      <c r="BP43" s="75"/>
      <c r="BQ43" s="75"/>
      <c r="BR43" s="75"/>
      <c r="BS43" s="75"/>
    </row>
    <row r="44" spans="1:71" x14ac:dyDescent="0.25">
      <c r="A44" s="516"/>
      <c r="B44" s="176" t="s">
        <v>24</v>
      </c>
      <c r="C44" s="172">
        <v>18.47</v>
      </c>
      <c r="D44" s="173">
        <v>18.489999999999998</v>
      </c>
      <c r="E44" s="173">
        <v>18.5</v>
      </c>
      <c r="F44" s="168">
        <f t="shared" si="26"/>
        <v>18.486666666666665</v>
      </c>
      <c r="G44" s="173">
        <v>6.51</v>
      </c>
      <c r="H44" s="173">
        <v>6.14</v>
      </c>
      <c r="I44" s="173">
        <v>6.22</v>
      </c>
      <c r="J44" s="168">
        <f t="shared" si="27"/>
        <v>6.2899999999999991</v>
      </c>
      <c r="K44" s="237">
        <f t="shared" si="28"/>
        <v>1688.3315951380446</v>
      </c>
      <c r="L44" s="507"/>
      <c r="M44" s="139" t="s">
        <v>24</v>
      </c>
      <c r="N44" s="173">
        <v>18.5</v>
      </c>
      <c r="O44" s="173">
        <v>18.41</v>
      </c>
      <c r="P44" s="173">
        <v>18.46</v>
      </c>
      <c r="Q44" s="168">
        <f t="shared" si="29"/>
        <v>18.456666666666667</v>
      </c>
      <c r="R44" s="189">
        <v>6.21</v>
      </c>
      <c r="S44" s="173">
        <v>6.11</v>
      </c>
      <c r="T44" s="173">
        <v>6.31</v>
      </c>
      <c r="U44" s="168">
        <f t="shared" si="30"/>
        <v>6.21</v>
      </c>
      <c r="V44" s="240">
        <f t="shared" si="31"/>
        <v>1661.4528426699271</v>
      </c>
      <c r="W44" s="27">
        <f t="shared" si="32"/>
        <v>0.16227912008653581</v>
      </c>
      <c r="X44" s="27">
        <f t="shared" si="33"/>
        <v>1.2718600953894943</v>
      </c>
      <c r="Y44" s="27">
        <f t="shared" si="34"/>
        <v>1.592030413072957</v>
      </c>
      <c r="AB44" s="66"/>
      <c r="AC44" s="91"/>
      <c r="AD44" s="92"/>
      <c r="AE44" s="92"/>
      <c r="AF44" s="92"/>
      <c r="AG44" s="92"/>
      <c r="AH44" s="92"/>
      <c r="AI44" s="92"/>
      <c r="AJ44" s="92"/>
      <c r="AK44" s="92"/>
      <c r="AL44" s="92"/>
      <c r="AN44" s="66"/>
      <c r="AO44" s="91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BC44" s="279"/>
      <c r="BD44" s="279"/>
      <c r="BE44" s="75"/>
      <c r="BF44" s="75"/>
      <c r="BG44" s="75"/>
      <c r="BH44" s="75"/>
      <c r="BI44" s="75"/>
      <c r="BJ44" s="75"/>
      <c r="BK44" s="75"/>
      <c r="BL44" s="279"/>
      <c r="BM44" s="75"/>
      <c r="BN44" s="75"/>
      <c r="BO44" s="75"/>
      <c r="BP44" s="75"/>
      <c r="BQ44" s="75"/>
      <c r="BR44" s="75"/>
      <c r="BS44" s="75"/>
    </row>
    <row r="45" spans="1:71" x14ac:dyDescent="0.25">
      <c r="A45" s="516"/>
      <c r="B45" s="176" t="s">
        <v>25</v>
      </c>
      <c r="C45" s="172">
        <v>18.62</v>
      </c>
      <c r="D45" s="173">
        <v>18.3</v>
      </c>
      <c r="E45" s="173">
        <v>18.690000000000001</v>
      </c>
      <c r="F45" s="168">
        <f t="shared" si="26"/>
        <v>18.536666666666665</v>
      </c>
      <c r="G45" s="173">
        <v>6.36</v>
      </c>
      <c r="H45" s="173">
        <v>6.2</v>
      </c>
      <c r="I45" s="173">
        <v>6.28</v>
      </c>
      <c r="J45" s="168">
        <f t="shared" si="27"/>
        <v>6.28</v>
      </c>
      <c r="K45" s="237">
        <f t="shared" si="28"/>
        <v>1694.7779533713883</v>
      </c>
      <c r="L45" s="507"/>
      <c r="M45" s="139" t="s">
        <v>25</v>
      </c>
      <c r="N45" s="173">
        <v>18.28</v>
      </c>
      <c r="O45" s="173">
        <v>18.079999999999998</v>
      </c>
      <c r="P45" s="173">
        <v>18.399999999999999</v>
      </c>
      <c r="Q45" s="168">
        <f t="shared" si="29"/>
        <v>18.253333333333334</v>
      </c>
      <c r="R45" s="189">
        <v>6.09</v>
      </c>
      <c r="S45" s="173">
        <v>6.12</v>
      </c>
      <c r="T45" s="173">
        <v>6.45</v>
      </c>
      <c r="U45" s="168">
        <f t="shared" si="30"/>
        <v>6.22</v>
      </c>
      <c r="V45" s="240">
        <f t="shared" si="31"/>
        <v>1627.6635408844795</v>
      </c>
      <c r="W45" s="27">
        <f t="shared" si="32"/>
        <v>1.5285020679733761</v>
      </c>
      <c r="X45" s="27">
        <f t="shared" si="33"/>
        <v>0.9554140127388614</v>
      </c>
      <c r="Y45" s="27">
        <f>((K45-V45)/K45)*100</f>
        <v>3.9600711322329527</v>
      </c>
      <c r="AB45" s="66"/>
      <c r="AC45" s="91"/>
      <c r="AD45" s="92"/>
      <c r="AE45" s="92"/>
      <c r="AF45" s="92"/>
      <c r="AG45" s="92"/>
      <c r="AH45" s="92"/>
      <c r="AI45" s="92"/>
      <c r="AJ45" s="92"/>
      <c r="AK45" s="92"/>
      <c r="AL45" s="92"/>
      <c r="AN45" s="66"/>
      <c r="AO45" s="91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BC45" s="279"/>
      <c r="BD45" s="279"/>
      <c r="BE45" s="75"/>
      <c r="BF45" s="75"/>
      <c r="BG45" s="75"/>
      <c r="BH45" s="75"/>
      <c r="BI45" s="75"/>
      <c r="BJ45" s="75"/>
      <c r="BK45" s="75"/>
      <c r="BL45" s="279"/>
      <c r="BM45" s="75"/>
      <c r="BN45" s="75"/>
      <c r="BO45" s="75"/>
      <c r="BP45" s="75"/>
      <c r="BQ45" s="75"/>
      <c r="BR45" s="75"/>
      <c r="BS45" s="75"/>
    </row>
    <row r="46" spans="1:71" x14ac:dyDescent="0.25">
      <c r="A46" s="516"/>
      <c r="B46" s="176" t="s">
        <v>26</v>
      </c>
      <c r="C46" s="172">
        <v>18.489999999999998</v>
      </c>
      <c r="D46" s="173">
        <v>18.37</v>
      </c>
      <c r="E46" s="173">
        <v>18.41</v>
      </c>
      <c r="F46" s="168">
        <f t="shared" si="26"/>
        <v>18.423333333333332</v>
      </c>
      <c r="G46" s="173">
        <v>6.11</v>
      </c>
      <c r="H46" s="173">
        <v>6.27</v>
      </c>
      <c r="I46" s="173">
        <v>6.09</v>
      </c>
      <c r="J46" s="168">
        <f t="shared" si="27"/>
        <v>6.1566666666666663</v>
      </c>
      <c r="K46" s="237">
        <f t="shared" si="28"/>
        <v>1641.239428758659</v>
      </c>
      <c r="L46" s="507"/>
      <c r="M46" s="139" t="s">
        <v>26</v>
      </c>
      <c r="N46" s="173">
        <v>18.350000000000001</v>
      </c>
      <c r="O46" s="173">
        <v>18.39</v>
      </c>
      <c r="P46" s="173">
        <v>18.22</v>
      </c>
      <c r="Q46" s="168">
        <f t="shared" si="29"/>
        <v>18.32</v>
      </c>
      <c r="R46" s="189">
        <v>6.03</v>
      </c>
      <c r="S46" s="173">
        <v>6.02</v>
      </c>
      <c r="T46" s="173">
        <v>6.09</v>
      </c>
      <c r="U46" s="168">
        <f t="shared" si="30"/>
        <v>6.0466666666666669</v>
      </c>
      <c r="V46" s="240">
        <f t="shared" si="31"/>
        <v>1593.8845027694979</v>
      </c>
      <c r="W46" s="27">
        <f t="shared" si="32"/>
        <v>0.56088293830286806</v>
      </c>
      <c r="X46" s="27">
        <f t="shared" si="33"/>
        <v>1.7866811044937647</v>
      </c>
      <c r="Y46" s="27">
        <f t="shared" si="34"/>
        <v>2.8853149125827224</v>
      </c>
      <c r="AB46" s="66"/>
      <c r="AC46" s="91"/>
      <c r="AD46" s="92"/>
      <c r="AE46" s="92"/>
      <c r="AF46" s="92"/>
      <c r="AG46" s="92"/>
      <c r="AH46" s="92"/>
      <c r="AI46" s="92"/>
      <c r="AJ46" s="92"/>
      <c r="AK46" s="92"/>
      <c r="AL46" s="92"/>
      <c r="AN46" s="66"/>
      <c r="AO46" s="91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BC46" s="279"/>
      <c r="BD46" s="279"/>
      <c r="BE46" s="75"/>
      <c r="BF46" s="75"/>
      <c r="BG46" s="75"/>
      <c r="BH46" s="75"/>
      <c r="BI46" s="75"/>
      <c r="BJ46" s="75"/>
      <c r="BK46" s="75"/>
      <c r="BL46" s="279"/>
      <c r="BM46" s="75"/>
      <c r="BN46" s="75"/>
      <c r="BO46" s="75"/>
      <c r="BP46" s="75"/>
      <c r="BQ46" s="75"/>
      <c r="BR46" s="75"/>
      <c r="BS46" s="75"/>
    </row>
    <row r="47" spans="1:71" ht="15.75" thickBot="1" x14ac:dyDescent="0.3">
      <c r="A47" s="517"/>
      <c r="B47" s="177" t="s">
        <v>27</v>
      </c>
      <c r="C47" s="178">
        <v>18.600000000000001</v>
      </c>
      <c r="D47" s="179">
        <v>18.55</v>
      </c>
      <c r="E47" s="179">
        <v>18.37</v>
      </c>
      <c r="F47" s="180">
        <f t="shared" si="26"/>
        <v>18.506666666666671</v>
      </c>
      <c r="G47" s="179">
        <v>6.27</v>
      </c>
      <c r="H47" s="179">
        <v>6.12</v>
      </c>
      <c r="I47" s="179">
        <v>6.27</v>
      </c>
      <c r="J47" s="180">
        <f t="shared" si="27"/>
        <v>6.22</v>
      </c>
      <c r="K47" s="238">
        <f t="shared" si="28"/>
        <v>1673.1569105907924</v>
      </c>
      <c r="L47" s="508"/>
      <c r="M47" s="140" t="s">
        <v>27</v>
      </c>
      <c r="N47" s="179">
        <v>18.04</v>
      </c>
      <c r="O47" s="179">
        <v>18.399999999999999</v>
      </c>
      <c r="P47" s="179">
        <v>18.41</v>
      </c>
      <c r="Q47" s="180">
        <f t="shared" si="29"/>
        <v>18.283333333333331</v>
      </c>
      <c r="R47" s="190">
        <v>6.34</v>
      </c>
      <c r="S47" s="179">
        <v>6.18</v>
      </c>
      <c r="T47" s="179">
        <v>6.1</v>
      </c>
      <c r="U47" s="180">
        <f t="shared" si="30"/>
        <v>6.2066666666666661</v>
      </c>
      <c r="V47" s="241">
        <f t="shared" si="31"/>
        <v>1629.5176080467747</v>
      </c>
      <c r="W47" s="27">
        <f t="shared" si="32"/>
        <v>1.2067723342939829</v>
      </c>
      <c r="X47" s="27">
        <f t="shared" si="33"/>
        <v>0.21436227224009069</v>
      </c>
      <c r="Y47" s="61">
        <f>((K47-V47)/K47)*100</f>
        <v>2.6082014345330378</v>
      </c>
      <c r="AB47" s="66"/>
      <c r="AC47" s="91"/>
      <c r="AD47" s="92"/>
      <c r="AE47" s="92"/>
      <c r="AF47" s="92"/>
      <c r="AG47" s="92"/>
      <c r="AH47" s="92"/>
      <c r="AI47" s="92"/>
      <c r="AJ47" s="92"/>
      <c r="AK47" s="92"/>
      <c r="AL47" s="92"/>
      <c r="AN47" s="66"/>
      <c r="AO47" s="91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BC47" s="279"/>
      <c r="BD47" s="279"/>
      <c r="BE47" s="75"/>
      <c r="BF47" s="75"/>
      <c r="BG47" s="75"/>
      <c r="BH47" s="75"/>
      <c r="BI47" s="75"/>
      <c r="BJ47" s="75"/>
      <c r="BK47" s="75"/>
      <c r="BL47" s="279"/>
      <c r="BM47" s="75"/>
      <c r="BN47" s="75"/>
      <c r="BO47" s="75"/>
      <c r="BP47" s="75"/>
      <c r="BQ47" s="75"/>
      <c r="BR47" s="75"/>
      <c r="BS47" s="75"/>
    </row>
    <row r="48" spans="1:71" ht="15" customHeight="1" x14ac:dyDescent="0.25">
      <c r="A48" s="509" t="s">
        <v>20</v>
      </c>
      <c r="B48" s="144" t="s">
        <v>21</v>
      </c>
      <c r="C48" s="170">
        <v>18.489999999999998</v>
      </c>
      <c r="D48" s="171">
        <v>18.510000000000002</v>
      </c>
      <c r="E48" s="171">
        <v>18.5</v>
      </c>
      <c r="F48" s="175">
        <f t="shared" si="26"/>
        <v>18.5</v>
      </c>
      <c r="G48" s="173">
        <v>6.11</v>
      </c>
      <c r="H48" s="173">
        <v>6.21</v>
      </c>
      <c r="I48" s="173">
        <v>6.16</v>
      </c>
      <c r="J48" s="175">
        <f t="shared" si="27"/>
        <v>6.16</v>
      </c>
      <c r="K48" s="236">
        <f>PI()*((F48/2)^2)*J48</f>
        <v>1655.8235319643045</v>
      </c>
      <c r="L48" s="509" t="s">
        <v>20</v>
      </c>
      <c r="M48" s="137" t="s">
        <v>21</v>
      </c>
      <c r="N48" s="173">
        <v>18.29</v>
      </c>
      <c r="O48" s="173">
        <v>18.38</v>
      </c>
      <c r="P48" s="173">
        <v>18.39</v>
      </c>
      <c r="Q48" s="175">
        <f>AVERAGE(N48:P48)</f>
        <v>18.353333333333335</v>
      </c>
      <c r="R48" s="189">
        <v>6.25</v>
      </c>
      <c r="S48" s="173">
        <v>6.37</v>
      </c>
      <c r="T48" s="173">
        <v>6.24</v>
      </c>
      <c r="U48" s="175">
        <f>AVERAGE(R48:T48)</f>
        <v>6.2866666666666662</v>
      </c>
      <c r="V48" s="239">
        <f>PI()*((Q48/2)^2)*U48</f>
        <v>1663.1836987500108</v>
      </c>
      <c r="W48" s="23">
        <f>((F48-Q48)/F48)*100</f>
        <v>0.79279279279278225</v>
      </c>
      <c r="X48" s="23">
        <f>((J48-U48)/J48)*100</f>
        <v>-2.0562770562770458</v>
      </c>
      <c r="Y48" s="23">
        <f>((K48-V48)/K48)*100</f>
        <v>-0.44450188342080743</v>
      </c>
      <c r="AB48" s="70"/>
      <c r="AC48" s="99"/>
      <c r="AD48" s="92"/>
      <c r="AE48" s="92"/>
      <c r="AF48" s="92"/>
      <c r="AG48" s="92"/>
      <c r="AH48" s="92"/>
      <c r="AI48" s="92"/>
      <c r="AJ48" s="92"/>
      <c r="AK48" s="92"/>
      <c r="AL48" s="92"/>
      <c r="AN48" s="70"/>
      <c r="AO48" s="99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BC48" s="279"/>
      <c r="BD48" s="279"/>
      <c r="BE48" s="75"/>
      <c r="BF48" s="75"/>
      <c r="BG48" s="75"/>
      <c r="BH48" s="75"/>
      <c r="BI48" s="75"/>
      <c r="BJ48" s="75"/>
      <c r="BK48" s="75"/>
      <c r="BL48" s="279"/>
      <c r="BM48" s="75"/>
      <c r="BN48" s="75"/>
      <c r="BO48" s="75"/>
      <c r="BP48" s="75"/>
      <c r="BQ48" s="75"/>
      <c r="BR48" s="75"/>
      <c r="BS48" s="75"/>
    </row>
    <row r="49" spans="1:71" x14ac:dyDescent="0.25">
      <c r="A49" s="510"/>
      <c r="B49" s="137" t="s">
        <v>22</v>
      </c>
      <c r="C49" s="172">
        <v>18.41</v>
      </c>
      <c r="D49" s="173">
        <v>18.38</v>
      </c>
      <c r="E49" s="173">
        <v>18.23</v>
      </c>
      <c r="F49" s="168">
        <f t="shared" si="26"/>
        <v>18.34</v>
      </c>
      <c r="G49" s="173">
        <v>6.1</v>
      </c>
      <c r="H49" s="173">
        <v>6.27</v>
      </c>
      <c r="I49" s="173">
        <v>6.26</v>
      </c>
      <c r="J49" s="168">
        <f t="shared" si="27"/>
        <v>6.21</v>
      </c>
      <c r="K49" s="237">
        <f t="shared" si="28"/>
        <v>1640.5147677332543</v>
      </c>
      <c r="L49" s="510"/>
      <c r="M49" s="137" t="s">
        <v>22</v>
      </c>
      <c r="N49" s="173">
        <v>18.260000000000002</v>
      </c>
      <c r="O49" s="173">
        <v>18.34</v>
      </c>
      <c r="P49" s="173">
        <v>18.16</v>
      </c>
      <c r="Q49" s="168">
        <f t="shared" ref="Q49:Q54" si="35">AVERAGE(N49:P49)</f>
        <v>18.253333333333334</v>
      </c>
      <c r="R49" s="189">
        <v>6.27</v>
      </c>
      <c r="S49" s="173">
        <v>6.23</v>
      </c>
      <c r="T49" s="173">
        <v>6.28</v>
      </c>
      <c r="U49" s="168">
        <f t="shared" ref="U49:U54" si="36">AVERAGE(R49:T49)</f>
        <v>6.2600000000000007</v>
      </c>
      <c r="V49" s="240">
        <f t="shared" ref="V49:V54" si="37">PI()*((Q49/2)^2)*U49</f>
        <v>1638.1308305364701</v>
      </c>
      <c r="W49" s="27">
        <f>((F49-Q49)/F49)*100</f>
        <v>0.47255543438749187</v>
      </c>
      <c r="X49" s="27">
        <f>((J49-U49)/J49)*100</f>
        <v>-0.80515297906603389</v>
      </c>
      <c r="Y49" s="27">
        <f>((K49-V49)/K49)*100</f>
        <v>0.14531641187712066</v>
      </c>
      <c r="AB49" s="66"/>
      <c r="AC49" s="99"/>
      <c r="AD49" s="92"/>
      <c r="AE49" s="92"/>
      <c r="AF49" s="92"/>
      <c r="AG49" s="92"/>
      <c r="AH49" s="92"/>
      <c r="AI49" s="92"/>
      <c r="AJ49" s="92"/>
      <c r="AK49" s="92"/>
      <c r="AL49" s="92"/>
      <c r="AN49" s="66"/>
      <c r="AO49" s="99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BC49" s="280"/>
      <c r="BD49" s="280"/>
      <c r="BE49" s="75"/>
      <c r="BF49" s="75"/>
      <c r="BG49" s="75"/>
      <c r="BH49" s="75"/>
      <c r="BI49" s="75"/>
      <c r="BJ49" s="75"/>
      <c r="BK49" s="75"/>
      <c r="BL49" s="280"/>
      <c r="BM49" s="75"/>
      <c r="BN49" s="75"/>
      <c r="BO49" s="75"/>
      <c r="BP49" s="75"/>
      <c r="BQ49" s="75"/>
      <c r="BR49" s="75"/>
      <c r="BS49" s="75"/>
    </row>
    <row r="50" spans="1:71" x14ac:dyDescent="0.25">
      <c r="A50" s="510"/>
      <c r="B50" s="137" t="s">
        <v>23</v>
      </c>
      <c r="C50" s="172">
        <v>18.399999999999999</v>
      </c>
      <c r="D50" s="173">
        <v>18.55</v>
      </c>
      <c r="E50" s="173">
        <v>18.36</v>
      </c>
      <c r="F50" s="168">
        <f t="shared" si="26"/>
        <v>18.436666666666667</v>
      </c>
      <c r="G50" s="173">
        <v>6.25</v>
      </c>
      <c r="H50" s="173">
        <v>6.28</v>
      </c>
      <c r="I50" s="173">
        <v>6.23</v>
      </c>
      <c r="J50" s="168">
        <f t="shared" si="27"/>
        <v>6.2533333333333339</v>
      </c>
      <c r="K50" s="237">
        <f t="shared" si="28"/>
        <v>1669.4225218600395</v>
      </c>
      <c r="L50" s="510"/>
      <c r="M50" s="137" t="s">
        <v>23</v>
      </c>
      <c r="N50" s="173">
        <v>18.38</v>
      </c>
      <c r="O50" s="173">
        <v>18.18</v>
      </c>
      <c r="P50" s="173">
        <v>18.399999999999999</v>
      </c>
      <c r="Q50" s="168">
        <f t="shared" si="35"/>
        <v>18.32</v>
      </c>
      <c r="R50" s="189">
        <v>6.35</v>
      </c>
      <c r="S50" s="173">
        <v>6.42</v>
      </c>
      <c r="T50" s="173">
        <v>6.39</v>
      </c>
      <c r="U50" s="168">
        <f t="shared" si="36"/>
        <v>6.3866666666666667</v>
      </c>
      <c r="V50" s="240">
        <f t="shared" si="37"/>
        <v>1683.5075563982127</v>
      </c>
      <c r="W50" s="27">
        <f t="shared" ref="W50:W54" si="38">((F50-Q50)/F50)*100</f>
        <v>0.63279696257458218</v>
      </c>
      <c r="X50" s="27">
        <f t="shared" ref="X50:X54" si="39">((J50-U50)/J50)*100</f>
        <v>-2.1321961620469008</v>
      </c>
      <c r="Y50" s="27">
        <f t="shared" ref="Y50:Y53" si="40">((K50-V50)/K50)*100</f>
        <v>-0.84370699171351304</v>
      </c>
      <c r="AB50" s="66"/>
      <c r="AC50" s="99"/>
      <c r="AD50" s="92"/>
      <c r="AE50" s="92"/>
      <c r="AF50" s="92"/>
      <c r="AG50" s="92"/>
      <c r="AH50" s="92"/>
      <c r="AI50" s="92"/>
      <c r="AJ50" s="92"/>
      <c r="AK50" s="92"/>
      <c r="AL50" s="92"/>
      <c r="AN50" s="66"/>
      <c r="AO50" s="99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BC50" s="280"/>
      <c r="BD50" s="280"/>
      <c r="BE50" s="75"/>
      <c r="BF50" s="75"/>
      <c r="BG50" s="75"/>
      <c r="BH50" s="75"/>
      <c r="BI50" s="75"/>
      <c r="BJ50" s="75"/>
      <c r="BK50" s="75"/>
      <c r="BL50" s="280"/>
      <c r="BM50" s="75"/>
      <c r="BN50" s="75"/>
      <c r="BO50" s="75"/>
      <c r="BP50" s="75"/>
      <c r="BQ50" s="75"/>
      <c r="BR50" s="75"/>
      <c r="BS50" s="75"/>
    </row>
    <row r="51" spans="1:71" x14ac:dyDescent="0.25">
      <c r="A51" s="510"/>
      <c r="B51" s="137" t="s">
        <v>24</v>
      </c>
      <c r="C51" s="172">
        <v>19</v>
      </c>
      <c r="D51" s="173">
        <v>18.989999999999998</v>
      </c>
      <c r="E51" s="173">
        <v>19</v>
      </c>
      <c r="F51" s="168">
        <f t="shared" si="26"/>
        <v>18.996666666666666</v>
      </c>
      <c r="G51" s="173">
        <v>5.85</v>
      </c>
      <c r="H51" s="173">
        <v>5.83</v>
      </c>
      <c r="I51" s="173">
        <v>5.85</v>
      </c>
      <c r="J51" s="168">
        <f t="shared" si="27"/>
        <v>5.8433333333333337</v>
      </c>
      <c r="K51" s="237">
        <f t="shared" si="28"/>
        <v>1656.1716539697325</v>
      </c>
      <c r="L51" s="510"/>
      <c r="M51" s="137" t="s">
        <v>24</v>
      </c>
      <c r="N51" s="173">
        <v>18.809999999999999</v>
      </c>
      <c r="O51" s="173">
        <v>18.809999999999999</v>
      </c>
      <c r="P51" s="173">
        <v>18.88</v>
      </c>
      <c r="Q51" s="168">
        <f t="shared" si="35"/>
        <v>18.833333333333332</v>
      </c>
      <c r="R51" s="189">
        <v>5.96</v>
      </c>
      <c r="S51" s="173">
        <v>5.93</v>
      </c>
      <c r="T51" s="173">
        <v>5.93</v>
      </c>
      <c r="U51" s="168">
        <f t="shared" si="36"/>
        <v>5.94</v>
      </c>
      <c r="V51" s="240">
        <f t="shared" si="37"/>
        <v>1654.7436094896327</v>
      </c>
      <c r="W51" s="27">
        <f t="shared" si="38"/>
        <v>0.85979996490612742</v>
      </c>
      <c r="X51" s="27">
        <f t="shared" si="39"/>
        <v>-1.654306902452938</v>
      </c>
      <c r="Y51" s="27">
        <f>((K51-V51)/K51)*100</f>
        <v>8.6225632269264843E-2</v>
      </c>
      <c r="AB51" s="66"/>
      <c r="AC51" s="99"/>
      <c r="AD51" s="92"/>
      <c r="AE51" s="92"/>
      <c r="AF51" s="92"/>
      <c r="AG51" s="92"/>
      <c r="AH51" s="92"/>
      <c r="AI51" s="92"/>
      <c r="AJ51" s="92"/>
      <c r="AK51" s="92"/>
      <c r="AL51" s="92"/>
      <c r="AN51" s="66"/>
      <c r="AO51" s="99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BC51" s="280"/>
      <c r="BD51" s="280"/>
      <c r="BE51" s="75"/>
      <c r="BF51" s="75"/>
      <c r="BG51" s="75"/>
      <c r="BH51" s="75"/>
      <c r="BI51" s="75"/>
      <c r="BJ51" s="75"/>
      <c r="BK51" s="75"/>
      <c r="BL51" s="280"/>
      <c r="BM51" s="75"/>
      <c r="BN51" s="75"/>
      <c r="BO51" s="75"/>
      <c r="BP51" s="75"/>
      <c r="BQ51" s="75"/>
      <c r="BR51" s="75"/>
      <c r="BS51" s="75"/>
    </row>
    <row r="52" spans="1:71" x14ac:dyDescent="0.25">
      <c r="A52" s="510"/>
      <c r="B52" s="137" t="s">
        <v>25</v>
      </c>
      <c r="C52" s="172">
        <v>18.600000000000001</v>
      </c>
      <c r="D52" s="173">
        <v>18.53</v>
      </c>
      <c r="E52" s="173">
        <v>18.63</v>
      </c>
      <c r="F52" s="168">
        <f t="shared" si="26"/>
        <v>18.58666666666667</v>
      </c>
      <c r="G52" s="173">
        <v>6.21</v>
      </c>
      <c r="H52" s="173">
        <v>6.01</v>
      </c>
      <c r="I52" s="173">
        <v>6.05</v>
      </c>
      <c r="J52" s="168">
        <f t="shared" si="27"/>
        <v>6.09</v>
      </c>
      <c r="K52" s="237">
        <f t="shared" si="28"/>
        <v>1652.3810082448229</v>
      </c>
      <c r="L52" s="510"/>
      <c r="M52" s="137" t="s">
        <v>25</v>
      </c>
      <c r="N52" s="173">
        <v>18.309999999999999</v>
      </c>
      <c r="O52" s="173">
        <v>18.46</v>
      </c>
      <c r="P52" s="173">
        <v>18.37</v>
      </c>
      <c r="Q52" s="168">
        <f t="shared" si="35"/>
        <v>18.38</v>
      </c>
      <c r="R52" s="189">
        <v>6.28</v>
      </c>
      <c r="S52" s="173">
        <v>6.14</v>
      </c>
      <c r="T52" s="173">
        <v>6.3</v>
      </c>
      <c r="U52" s="168">
        <f t="shared" si="36"/>
        <v>6.2399999999999993</v>
      </c>
      <c r="V52" s="240">
        <f t="shared" si="37"/>
        <v>1655.6383790596719</v>
      </c>
      <c r="W52" s="27">
        <f t="shared" si="38"/>
        <v>1.1119081779053293</v>
      </c>
      <c r="X52" s="27">
        <f t="shared" si="39"/>
        <v>-2.4630541871921094</v>
      </c>
      <c r="Y52" s="27">
        <f t="shared" si="40"/>
        <v>-0.1971319446662666</v>
      </c>
      <c r="AB52" s="66"/>
      <c r="AC52" s="99"/>
      <c r="AD52" s="92"/>
      <c r="AE52" s="92"/>
      <c r="AF52" s="92"/>
      <c r="AG52" s="92"/>
      <c r="AH52" s="92"/>
      <c r="AI52" s="92"/>
      <c r="AJ52" s="92"/>
      <c r="AK52" s="92"/>
      <c r="AL52" s="92"/>
      <c r="AN52" s="66"/>
      <c r="AO52" s="99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BC52" s="280"/>
      <c r="BD52" s="280"/>
      <c r="BE52" s="75"/>
      <c r="BF52" s="75"/>
      <c r="BG52" s="75"/>
      <c r="BH52" s="75"/>
      <c r="BI52" s="75"/>
      <c r="BJ52" s="75"/>
      <c r="BK52" s="75"/>
      <c r="BL52" s="280"/>
      <c r="BM52" s="75"/>
      <c r="BN52" s="75"/>
      <c r="BO52" s="75"/>
      <c r="BP52" s="75"/>
      <c r="BQ52" s="75"/>
      <c r="BR52" s="75"/>
      <c r="BS52" s="75"/>
    </row>
    <row r="53" spans="1:71" x14ac:dyDescent="0.25">
      <c r="A53" s="510"/>
      <c r="B53" s="137" t="s">
        <v>26</v>
      </c>
      <c r="C53" s="172">
        <v>18.57</v>
      </c>
      <c r="D53" s="173">
        <v>18.54</v>
      </c>
      <c r="E53" s="173">
        <v>18.55</v>
      </c>
      <c r="F53" s="168">
        <f t="shared" si="26"/>
        <v>18.553333333333331</v>
      </c>
      <c r="G53" s="173">
        <v>6.68</v>
      </c>
      <c r="H53" s="173">
        <v>6.27</v>
      </c>
      <c r="I53" s="173">
        <v>6.11</v>
      </c>
      <c r="J53" s="168">
        <f t="shared" si="27"/>
        <v>6.3533333333333326</v>
      </c>
      <c r="K53" s="237">
        <f t="shared" si="28"/>
        <v>1717.6529416830037</v>
      </c>
      <c r="L53" s="510"/>
      <c r="M53" s="137" t="s">
        <v>26</v>
      </c>
      <c r="N53" s="173">
        <v>18.43</v>
      </c>
      <c r="O53" s="173">
        <v>18.46</v>
      </c>
      <c r="P53" s="173">
        <v>18.45</v>
      </c>
      <c r="Q53" s="168">
        <f t="shared" si="35"/>
        <v>18.446666666666669</v>
      </c>
      <c r="R53" s="189">
        <v>6.11</v>
      </c>
      <c r="S53" s="173">
        <v>6.19</v>
      </c>
      <c r="T53" s="173">
        <v>6.53</v>
      </c>
      <c r="U53" s="168">
        <f t="shared" si="36"/>
        <v>6.2766666666666673</v>
      </c>
      <c r="V53" s="240">
        <f t="shared" si="37"/>
        <v>1677.469941592961</v>
      </c>
      <c r="W53" s="27">
        <f t="shared" si="38"/>
        <v>0.57491915199422583</v>
      </c>
      <c r="X53" s="27">
        <f t="shared" si="39"/>
        <v>1.2067156348373349</v>
      </c>
      <c r="Y53" s="27">
        <f t="shared" si="40"/>
        <v>2.3394132257399032</v>
      </c>
      <c r="AB53" s="66"/>
      <c r="AC53" s="99"/>
      <c r="AD53" s="92"/>
      <c r="AE53" s="92"/>
      <c r="AF53" s="92"/>
      <c r="AG53" s="92"/>
      <c r="AH53" s="92"/>
      <c r="AI53" s="92"/>
      <c r="AJ53" s="92"/>
      <c r="AK53" s="92"/>
      <c r="AL53" s="92"/>
      <c r="AN53" s="66"/>
      <c r="AO53" s="99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BC53" s="280"/>
      <c r="BD53" s="280"/>
      <c r="BE53" s="75"/>
      <c r="BF53" s="75"/>
      <c r="BG53" s="75"/>
      <c r="BH53" s="75"/>
      <c r="BI53" s="75"/>
      <c r="BJ53" s="75"/>
      <c r="BK53" s="75"/>
      <c r="BL53" s="280"/>
      <c r="BM53" s="75"/>
      <c r="BN53" s="75"/>
      <c r="BO53" s="75"/>
      <c r="BP53" s="75"/>
      <c r="BQ53" s="75"/>
      <c r="BR53" s="75"/>
      <c r="BS53" s="75"/>
    </row>
    <row r="54" spans="1:71" ht="15.75" thickBot="1" x14ac:dyDescent="0.3">
      <c r="A54" s="511"/>
      <c r="B54" s="138" t="s">
        <v>27</v>
      </c>
      <c r="C54" s="178">
        <v>18.5</v>
      </c>
      <c r="D54" s="179">
        <v>18.5</v>
      </c>
      <c r="E54" s="179">
        <v>18.46</v>
      </c>
      <c r="F54" s="180">
        <f t="shared" si="26"/>
        <v>18.486666666666668</v>
      </c>
      <c r="G54" s="179">
        <v>6.13</v>
      </c>
      <c r="H54" s="179">
        <v>5.93</v>
      </c>
      <c r="I54" s="179">
        <v>6.04</v>
      </c>
      <c r="J54" s="180">
        <f t="shared" si="27"/>
        <v>6.0333333333333323</v>
      </c>
      <c r="K54" s="238">
        <f t="shared" si="28"/>
        <v>1619.4383609962169</v>
      </c>
      <c r="L54" s="511"/>
      <c r="M54" s="138" t="s">
        <v>27</v>
      </c>
      <c r="N54" s="179">
        <v>18.32</v>
      </c>
      <c r="O54" s="179">
        <v>18.34</v>
      </c>
      <c r="P54" s="179">
        <v>18.37</v>
      </c>
      <c r="Q54" s="180">
        <f t="shared" si="35"/>
        <v>18.343333333333334</v>
      </c>
      <c r="R54" s="190">
        <v>6.04</v>
      </c>
      <c r="S54" s="179">
        <v>6.19</v>
      </c>
      <c r="T54" s="179">
        <v>6.18</v>
      </c>
      <c r="U54" s="180">
        <f t="shared" si="36"/>
        <v>6.1366666666666667</v>
      </c>
      <c r="V54" s="241">
        <f t="shared" si="37"/>
        <v>1621.7314213714001</v>
      </c>
      <c r="W54" s="27">
        <f t="shared" si="38"/>
        <v>0.77533357374685041</v>
      </c>
      <c r="X54" s="27">
        <f t="shared" si="39"/>
        <v>-1.7127071823204598</v>
      </c>
      <c r="Y54" s="61">
        <f>((K54-V54)/K54)*100</f>
        <v>-0.14159602677143746</v>
      </c>
      <c r="AB54" s="66"/>
      <c r="AC54" s="99"/>
      <c r="AD54" s="92"/>
      <c r="AE54" s="92"/>
      <c r="AF54" s="92"/>
      <c r="AG54" s="92"/>
      <c r="AH54" s="92"/>
      <c r="AI54" s="92"/>
      <c r="AJ54" s="92"/>
      <c r="AK54" s="92"/>
      <c r="AL54" s="92"/>
      <c r="AN54" s="66"/>
      <c r="AO54" s="99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280"/>
      <c r="BD54" s="280"/>
      <c r="BE54" s="75"/>
      <c r="BF54" s="75"/>
      <c r="BG54" s="75"/>
      <c r="BH54" s="75"/>
      <c r="BI54" s="75"/>
      <c r="BJ54" s="75"/>
      <c r="BK54" s="75"/>
      <c r="BL54" s="280"/>
      <c r="BM54" s="75"/>
      <c r="BN54" s="75"/>
      <c r="BO54" s="75"/>
      <c r="BP54" s="75"/>
      <c r="BQ54" s="75"/>
      <c r="BR54" s="75"/>
      <c r="BS54" s="75"/>
    </row>
    <row r="55" spans="1:71" x14ac:dyDescent="0.25">
      <c r="A55" s="66"/>
      <c r="B55" s="71"/>
      <c r="C55" s="69"/>
      <c r="D55" s="69"/>
      <c r="E55" s="69"/>
      <c r="F55" s="69"/>
      <c r="G55" s="69"/>
      <c r="H55" s="69"/>
      <c r="I55" s="69"/>
      <c r="J55" s="69"/>
      <c r="K55" s="69"/>
      <c r="M55" s="66"/>
      <c r="N55" s="71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C55" s="66"/>
      <c r="AD55" s="99"/>
      <c r="AE55" s="92"/>
      <c r="AF55" s="92"/>
      <c r="AG55" s="92"/>
      <c r="AH55" s="92"/>
      <c r="AI55" s="92"/>
      <c r="AJ55" s="92"/>
      <c r="AK55" s="92"/>
      <c r="AL55" s="92"/>
      <c r="AM55" s="92"/>
      <c r="AO55" s="66"/>
      <c r="AP55" s="99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C55" s="280"/>
      <c r="BD55" s="280"/>
      <c r="BE55" s="75"/>
      <c r="BF55" s="75"/>
      <c r="BG55" s="75"/>
      <c r="BH55" s="75"/>
      <c r="BI55" s="75"/>
      <c r="BJ55" s="75"/>
      <c r="BK55" s="75"/>
      <c r="BL55" s="280"/>
      <c r="BM55" s="75"/>
      <c r="BN55" s="75"/>
      <c r="BO55" s="75"/>
      <c r="BP55" s="75"/>
      <c r="BQ55" s="75"/>
      <c r="BR55" s="75"/>
      <c r="BS55" s="75"/>
    </row>
    <row r="56" spans="1:71" ht="15.75" x14ac:dyDescent="0.25">
      <c r="A56" s="66"/>
      <c r="B56" s="71"/>
      <c r="C56" s="69"/>
      <c r="D56" s="69"/>
      <c r="E56" s="69"/>
      <c r="F56" s="69"/>
      <c r="G56" s="69"/>
      <c r="H56" s="69"/>
      <c r="I56" s="69"/>
      <c r="J56" s="69"/>
      <c r="K56" s="69"/>
      <c r="M56" s="66"/>
      <c r="N56" s="71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C56" s="66"/>
      <c r="AD56" s="99"/>
      <c r="AE56" s="92"/>
      <c r="AF56" s="92"/>
      <c r="AG56" s="92"/>
      <c r="AH56" s="92"/>
      <c r="AI56" s="92"/>
      <c r="AJ56" s="92"/>
      <c r="AK56" s="92"/>
      <c r="AL56" s="92"/>
      <c r="AM56" s="92"/>
      <c r="AO56" s="66"/>
      <c r="AP56" s="99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C56" s="126"/>
      <c r="BD56" s="126"/>
      <c r="BE56" s="126"/>
      <c r="BF56" s="126"/>
      <c r="BG56" s="126"/>
      <c r="BH56" s="126"/>
      <c r="BI56" s="126"/>
      <c r="BJ56" s="126"/>
      <c r="BK56" s="126"/>
      <c r="BL56" s="126"/>
      <c r="BM56" s="126"/>
      <c r="BN56" s="126"/>
      <c r="BO56" s="126"/>
      <c r="BP56" s="126"/>
      <c r="BQ56" s="126"/>
      <c r="BR56" s="126"/>
      <c r="BS56" s="126"/>
    </row>
    <row r="57" spans="1:71" ht="15.75" thickBot="1" x14ac:dyDescent="0.3">
      <c r="A57" s="66"/>
      <c r="B57" s="71"/>
      <c r="C57" s="69"/>
      <c r="D57" s="69"/>
      <c r="E57" s="69"/>
      <c r="F57" s="69"/>
      <c r="G57" s="69"/>
      <c r="H57" s="69"/>
      <c r="I57" s="69"/>
      <c r="J57" s="69"/>
      <c r="K57" s="69"/>
      <c r="M57" s="66"/>
      <c r="N57" s="71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C57" s="66"/>
      <c r="AD57" s="99"/>
      <c r="AE57" s="92"/>
      <c r="AF57" s="92"/>
      <c r="AG57" s="92"/>
      <c r="AH57" s="92"/>
      <c r="AI57" s="92"/>
      <c r="AJ57" s="92"/>
      <c r="AK57" s="92"/>
      <c r="AL57" s="92"/>
      <c r="AM57" s="92"/>
      <c r="AO57" s="66"/>
      <c r="AP57" s="99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</row>
    <row r="58" spans="1:71" ht="16.5" thickBot="1" x14ac:dyDescent="0.3">
      <c r="A58" s="72" t="s">
        <v>191</v>
      </c>
      <c r="B58" s="523" t="s">
        <v>4</v>
      </c>
      <c r="C58" s="523"/>
      <c r="D58" s="523"/>
      <c r="E58" s="523"/>
      <c r="F58" s="523"/>
      <c r="G58" s="523"/>
      <c r="H58" s="523"/>
      <c r="I58" s="523"/>
      <c r="J58" s="524"/>
      <c r="K58" s="204"/>
      <c r="L58" s="72" t="s">
        <v>122</v>
      </c>
      <c r="M58" s="528" t="s">
        <v>192</v>
      </c>
      <c r="N58" s="523"/>
      <c r="O58" s="523"/>
      <c r="P58" s="523"/>
      <c r="Q58" s="523"/>
      <c r="R58" s="523"/>
      <c r="S58" s="523"/>
      <c r="T58" s="523"/>
      <c r="U58" s="524"/>
      <c r="V58" s="204"/>
      <c r="W58" s="204"/>
      <c r="X58" s="204"/>
      <c r="Y58" s="243"/>
      <c r="AA58" s="72" t="s">
        <v>193</v>
      </c>
      <c r="AB58" s="73" t="s">
        <v>4</v>
      </c>
      <c r="AC58" s="73"/>
      <c r="AD58" s="73"/>
      <c r="AE58" s="73"/>
      <c r="AF58" s="73"/>
      <c r="AG58" s="73"/>
      <c r="AH58" s="73"/>
      <c r="AI58" s="73"/>
      <c r="AJ58" s="73"/>
      <c r="AK58" s="231"/>
      <c r="AL58" s="72" t="s">
        <v>123</v>
      </c>
      <c r="AM58" s="528" t="s">
        <v>192</v>
      </c>
      <c r="AN58" s="523"/>
      <c r="AO58" s="523"/>
      <c r="AP58" s="523"/>
      <c r="AQ58" s="523"/>
      <c r="AR58" s="523"/>
      <c r="AS58" s="523"/>
      <c r="AT58" s="523"/>
      <c r="AU58" s="524"/>
      <c r="AV58" s="204"/>
      <c r="AW58" s="204"/>
      <c r="AX58" s="204"/>
      <c r="AY58" s="243"/>
      <c r="BC58" s="279"/>
      <c r="BD58" s="279"/>
      <c r="BE58" s="75"/>
      <c r="BF58" s="75"/>
      <c r="BG58" s="75"/>
      <c r="BH58" s="75"/>
      <c r="BI58" s="75"/>
      <c r="BJ58" s="75"/>
      <c r="BK58" s="75"/>
      <c r="BL58" s="279"/>
      <c r="BM58" s="75"/>
      <c r="BN58" s="75"/>
      <c r="BO58" s="75"/>
      <c r="BP58" s="75"/>
      <c r="BQ58" s="75"/>
      <c r="BR58" s="75"/>
      <c r="BS58" s="75"/>
    </row>
    <row r="59" spans="1:71" ht="15.75" thickBot="1" x14ac:dyDescent="0.3">
      <c r="A59" s="77" t="s">
        <v>12</v>
      </c>
      <c r="B59" s="78" t="s">
        <v>6</v>
      </c>
      <c r="C59" s="79" t="s">
        <v>13</v>
      </c>
      <c r="D59" s="79" t="s">
        <v>14</v>
      </c>
      <c r="E59" s="79" t="s">
        <v>15</v>
      </c>
      <c r="F59" s="80" t="s">
        <v>16</v>
      </c>
      <c r="G59" s="81" t="s">
        <v>17</v>
      </c>
      <c r="H59" s="82" t="s">
        <v>18</v>
      </c>
      <c r="I59" s="82" t="s">
        <v>19</v>
      </c>
      <c r="J59" s="83" t="s">
        <v>16</v>
      </c>
      <c r="K59" s="201" t="s">
        <v>183</v>
      </c>
      <c r="L59" s="84" t="s">
        <v>12</v>
      </c>
      <c r="M59" s="78" t="s">
        <v>6</v>
      </c>
      <c r="N59" s="79" t="s">
        <v>13</v>
      </c>
      <c r="O59" s="79" t="s">
        <v>14</v>
      </c>
      <c r="P59" s="79" t="s">
        <v>15</v>
      </c>
      <c r="Q59" s="80" t="s">
        <v>16</v>
      </c>
      <c r="R59" s="81" t="s">
        <v>17</v>
      </c>
      <c r="S59" s="82" t="s">
        <v>18</v>
      </c>
      <c r="T59" s="82" t="s">
        <v>19</v>
      </c>
      <c r="U59" s="83" t="s">
        <v>16</v>
      </c>
      <c r="V59" s="84" t="s">
        <v>183</v>
      </c>
      <c r="W59" s="201" t="s">
        <v>184</v>
      </c>
      <c r="X59" s="201" t="s">
        <v>185</v>
      </c>
      <c r="Y59" s="194" t="s">
        <v>186</v>
      </c>
      <c r="AA59" s="77" t="s">
        <v>12</v>
      </c>
      <c r="AB59" s="78" t="s">
        <v>6</v>
      </c>
      <c r="AC59" s="79" t="s">
        <v>13</v>
      </c>
      <c r="AD59" s="79" t="s">
        <v>14</v>
      </c>
      <c r="AE59" s="79" t="s">
        <v>15</v>
      </c>
      <c r="AF59" s="80" t="s">
        <v>16</v>
      </c>
      <c r="AG59" s="81" t="s">
        <v>17</v>
      </c>
      <c r="AH59" s="82" t="s">
        <v>18</v>
      </c>
      <c r="AI59" s="82" t="s">
        <v>19</v>
      </c>
      <c r="AJ59" s="83" t="s">
        <v>16</v>
      </c>
      <c r="AK59" s="80" t="s">
        <v>194</v>
      </c>
      <c r="AL59" s="84" t="s">
        <v>12</v>
      </c>
      <c r="AM59" s="78" t="s">
        <v>6</v>
      </c>
      <c r="AN59" s="79" t="s">
        <v>13</v>
      </c>
      <c r="AO59" s="79" t="s">
        <v>14</v>
      </c>
      <c r="AP59" s="79" t="s">
        <v>15</v>
      </c>
      <c r="AQ59" s="80" t="s">
        <v>16</v>
      </c>
      <c r="AR59" s="81" t="s">
        <v>17</v>
      </c>
      <c r="AS59" s="82" t="s">
        <v>18</v>
      </c>
      <c r="AT59" s="82" t="s">
        <v>19</v>
      </c>
      <c r="AU59" s="83" t="s">
        <v>16</v>
      </c>
      <c r="AV59" s="201" t="s">
        <v>183</v>
      </c>
      <c r="AW59" s="201" t="s">
        <v>184</v>
      </c>
      <c r="AX59" s="201" t="s">
        <v>185</v>
      </c>
      <c r="AY59" s="194" t="s">
        <v>186</v>
      </c>
      <c r="AZ59" s="456">
        <f>AVERAGE(AU60:AU66)</f>
        <v>6.4323809523809521</v>
      </c>
      <c r="BA59" s="456">
        <f>AVERAGE(AR60:AT66)</f>
        <v>6.4323809523809512</v>
      </c>
      <c r="BC59" s="279"/>
      <c r="BD59" s="279"/>
      <c r="BE59" s="75"/>
      <c r="BF59" s="75"/>
      <c r="BG59" s="75"/>
      <c r="BH59" s="75"/>
      <c r="BI59" s="75"/>
      <c r="BJ59" s="75"/>
      <c r="BK59" s="75"/>
      <c r="BL59" s="279"/>
      <c r="BM59" s="75"/>
      <c r="BN59" s="75"/>
      <c r="BO59" s="75"/>
      <c r="BP59" s="75"/>
      <c r="BQ59" s="75"/>
      <c r="BR59" s="75"/>
      <c r="BS59" s="75"/>
    </row>
    <row r="60" spans="1:71" ht="15" customHeight="1" x14ac:dyDescent="0.25">
      <c r="A60" s="518" t="s">
        <v>195</v>
      </c>
      <c r="B60" s="174" t="s">
        <v>21</v>
      </c>
      <c r="C60" s="170">
        <v>19.14</v>
      </c>
      <c r="D60" s="170">
        <v>19.04</v>
      </c>
      <c r="E60" s="170">
        <v>19.100000000000001</v>
      </c>
      <c r="F60" s="167">
        <f>AVERAGE(C60:E60)</f>
        <v>19.093333333333334</v>
      </c>
      <c r="G60" s="181">
        <v>6.41</v>
      </c>
      <c r="H60" s="181">
        <v>6.51</v>
      </c>
      <c r="I60" s="181">
        <v>6.61</v>
      </c>
      <c r="J60" s="175">
        <f>AVERAGE(G60:I60)</f>
        <v>6.5100000000000007</v>
      </c>
      <c r="K60" s="236">
        <f>PI()*((F60/2)^2)*J60</f>
        <v>1863.9505183032759</v>
      </c>
      <c r="L60" s="518" t="s">
        <v>195</v>
      </c>
      <c r="M60" s="141" t="s">
        <v>21</v>
      </c>
      <c r="N60" s="181">
        <v>18.850000000000001</v>
      </c>
      <c r="O60" s="181">
        <v>18.899999999999999</v>
      </c>
      <c r="P60" s="181">
        <v>18.89</v>
      </c>
      <c r="Q60" s="167">
        <f>AVERAGE(N60:P60)</f>
        <v>18.88</v>
      </c>
      <c r="R60" s="228">
        <v>6.47</v>
      </c>
      <c r="S60" s="181">
        <v>6.57</v>
      </c>
      <c r="T60" s="181">
        <v>6.47</v>
      </c>
      <c r="U60" s="167">
        <f>AVERAGE(R60:T60)</f>
        <v>6.503333333333333</v>
      </c>
      <c r="V60" s="239">
        <f>PI()*((Q60/2)^2)*U60</f>
        <v>1820.6642975540888</v>
      </c>
      <c r="W60" s="23">
        <f>((F60-Q60)/F60)*100</f>
        <v>1.1173184357541972</v>
      </c>
      <c r="X60" s="23">
        <f>((J60-U60)/J60)*100</f>
        <v>0.10240655401947325</v>
      </c>
      <c r="Y60" s="23">
        <f>((K60-V60)/K60)*100</f>
        <v>2.3222837904833371</v>
      </c>
      <c r="AA60" s="495" t="s">
        <v>196</v>
      </c>
      <c r="AB60" s="141" t="s">
        <v>21</v>
      </c>
      <c r="AC60" s="170">
        <v>19.079999999999998</v>
      </c>
      <c r="AD60" s="171">
        <v>18.989999999999998</v>
      </c>
      <c r="AE60" s="171">
        <v>19.11</v>
      </c>
      <c r="AF60" s="167">
        <f>AVERAGE(AC60:AE60)</f>
        <v>19.059999999999999</v>
      </c>
      <c r="AG60" s="186">
        <v>6.72</v>
      </c>
      <c r="AH60" s="171">
        <v>6.6</v>
      </c>
      <c r="AI60" s="171">
        <v>6.7</v>
      </c>
      <c r="AJ60" s="167">
        <f>AVERAGE(AG60:AI60)</f>
        <v>6.6733333333333329</v>
      </c>
      <c r="AK60" s="236">
        <f>PI()*((AF60/2)^2)*AJ60</f>
        <v>1904.050630030971</v>
      </c>
      <c r="AL60" s="495" t="s">
        <v>196</v>
      </c>
      <c r="AM60" s="300" t="s">
        <v>21</v>
      </c>
      <c r="AN60" s="88">
        <v>18.68</v>
      </c>
      <c r="AO60" s="88">
        <v>18.68</v>
      </c>
      <c r="AP60" s="88">
        <v>18.63</v>
      </c>
      <c r="AQ60" s="167">
        <f>AVERAGE(AN60:AP60)</f>
        <v>18.66333333333333</v>
      </c>
      <c r="AR60" s="89">
        <v>6.6</v>
      </c>
      <c r="AS60" s="90">
        <v>6.53</v>
      </c>
      <c r="AT60" s="90">
        <v>6.5</v>
      </c>
      <c r="AU60" s="167">
        <f>AVERAGE(AR60:AT60)</f>
        <v>6.543333333333333</v>
      </c>
      <c r="AV60" s="236">
        <f>PI()*((AQ60/2)^2)*AU60</f>
        <v>1790.0590260448153</v>
      </c>
      <c r="AW60" s="23">
        <f>((AF60-AQ60)/AF60)*100</f>
        <v>2.0811472542847236</v>
      </c>
      <c r="AX60" s="23">
        <f>((AJ60-AU60)/AJ60)*100</f>
        <v>1.9480519480519467</v>
      </c>
      <c r="AY60" s="23">
        <f>((AK60-AV60)/AK60)*100</f>
        <v>5.9867947935975607</v>
      </c>
      <c r="AZ60" s="456">
        <f>STDEV(AU60:AU66)</f>
        <v>0.11578579017456843</v>
      </c>
      <c r="BA60" s="456">
        <f>STDEV(AR60:AT66)</f>
        <v>0.11987096236807149</v>
      </c>
      <c r="BC60" s="279"/>
      <c r="BD60" s="279"/>
      <c r="BE60" s="75"/>
      <c r="BF60" s="75"/>
      <c r="BG60" s="75"/>
      <c r="BH60" s="75"/>
      <c r="BI60" s="75"/>
      <c r="BJ60" s="75"/>
      <c r="BK60" s="75"/>
      <c r="BL60" s="279"/>
      <c r="BM60" s="75"/>
      <c r="BN60" s="75"/>
      <c r="BO60" s="75"/>
      <c r="BP60" s="75"/>
      <c r="BQ60" s="75"/>
      <c r="BR60" s="75"/>
      <c r="BS60" s="75"/>
    </row>
    <row r="61" spans="1:71" x14ac:dyDescent="0.25">
      <c r="A61" s="519"/>
      <c r="B61" s="183" t="s">
        <v>22</v>
      </c>
      <c r="C61" s="187">
        <v>19.12</v>
      </c>
      <c r="D61" s="187">
        <v>19.059999999999999</v>
      </c>
      <c r="E61" s="187">
        <v>19.12</v>
      </c>
      <c r="F61" s="168">
        <f t="shared" ref="F61:F73" si="41">AVERAGE(C61:E61)</f>
        <v>19.099999999999998</v>
      </c>
      <c r="G61" s="173">
        <v>6.54</v>
      </c>
      <c r="H61" s="173">
        <v>6.46</v>
      </c>
      <c r="I61" s="173">
        <v>6.46</v>
      </c>
      <c r="J61" s="168">
        <f t="shared" ref="J61:J73" si="42">AVERAGE(G61:I61)</f>
        <v>6.4866666666666672</v>
      </c>
      <c r="K61" s="237">
        <f t="shared" ref="K61:K73" si="43">PI()*((F61/2)^2)*J61</f>
        <v>1858.5668945421298</v>
      </c>
      <c r="L61" s="519"/>
      <c r="M61" s="139" t="s">
        <v>22</v>
      </c>
      <c r="N61" s="173">
        <v>18.829999999999998</v>
      </c>
      <c r="O61" s="173">
        <v>18.88</v>
      </c>
      <c r="P61" s="173">
        <v>18.79</v>
      </c>
      <c r="Q61" s="168">
        <f t="shared" ref="Q61:Q73" si="44">AVERAGE(N61:P61)</f>
        <v>18.833333333333332</v>
      </c>
      <c r="R61" s="189">
        <v>6.38</v>
      </c>
      <c r="S61" s="173">
        <v>6.37</v>
      </c>
      <c r="T61" s="173">
        <v>6.4</v>
      </c>
      <c r="U61" s="168">
        <f t="shared" ref="U61:U73" si="45">AVERAGE(R61:T61)</f>
        <v>6.3833333333333329</v>
      </c>
      <c r="V61" s="240">
        <f t="shared" ref="V61:V66" si="46">PI()*((Q61/2)^2)*U61</f>
        <v>1778.2457980766815</v>
      </c>
      <c r="W61" s="27">
        <f>((F61-Q61)/F61)*100</f>
        <v>1.3961605584642185</v>
      </c>
      <c r="X61" s="27">
        <f>((J61-U61)/J61)*100</f>
        <v>1.5930113052415373</v>
      </c>
      <c r="Y61" s="27">
        <f>((K61-V61)/K61)*100</f>
        <v>4.3216683080560303</v>
      </c>
      <c r="AA61" s="496"/>
      <c r="AB61" s="139" t="s">
        <v>22</v>
      </c>
      <c r="AC61" s="172">
        <v>19.12</v>
      </c>
      <c r="AD61" s="173">
        <v>19.05</v>
      </c>
      <c r="AE61" s="173">
        <v>19.16</v>
      </c>
      <c r="AF61" s="168">
        <f t="shared" ref="AF61:AF73" si="47">AVERAGE(AC61:AE61)</f>
        <v>19.11</v>
      </c>
      <c r="AG61" s="189">
        <v>6.4</v>
      </c>
      <c r="AH61" s="173">
        <v>6.38</v>
      </c>
      <c r="AI61" s="173">
        <v>6.38</v>
      </c>
      <c r="AJ61" s="168">
        <f t="shared" ref="AJ61:AJ73" si="48">AVERAGE(AG61:AI61)</f>
        <v>6.3866666666666667</v>
      </c>
      <c r="AK61" s="237">
        <f t="shared" ref="AK61:AK73" si="49">PI()*((AF61/2)^2)*AJ61</f>
        <v>1831.8314268860831</v>
      </c>
      <c r="AL61" s="496"/>
      <c r="AM61" s="139" t="s">
        <v>22</v>
      </c>
      <c r="AN61" s="94">
        <v>18.72</v>
      </c>
      <c r="AO61" s="94">
        <v>18.75</v>
      </c>
      <c r="AP61" s="94">
        <v>18.73</v>
      </c>
      <c r="AQ61" s="168">
        <f t="shared" ref="AQ61:AQ73" si="50">AVERAGE(AN61:AP61)</f>
        <v>18.733333333333334</v>
      </c>
      <c r="AR61" s="95">
        <v>6.17</v>
      </c>
      <c r="AS61" s="94">
        <v>6.34</v>
      </c>
      <c r="AT61" s="94">
        <v>6.28</v>
      </c>
      <c r="AU61" s="168">
        <f t="shared" ref="AU61:AU73" si="51">AVERAGE(AR61:AT61)</f>
        <v>6.2633333333333328</v>
      </c>
      <c r="AV61" s="237">
        <f t="shared" ref="AV61:AV73" si="52">PI()*((AQ61/2)^2)*AU61</f>
        <v>1726.3368001491658</v>
      </c>
      <c r="AW61" s="27">
        <f>((AF61-AQ61)/AF61)*100</f>
        <v>1.9710448281876773</v>
      </c>
      <c r="AX61" s="27">
        <f>((AJ61-AU61)/AJ61)*100</f>
        <v>1.9311064718162938</v>
      </c>
      <c r="AY61" s="27">
        <f>((AK61-AV61)/AK61)*100</f>
        <v>5.7589702408505392</v>
      </c>
      <c r="AZ61" s="456">
        <f>STDEV(AU67:AU73)</f>
        <v>8.9000921462443525E-2</v>
      </c>
      <c r="BA61" s="456">
        <f>STDEV(AR67:AT73)</f>
        <v>8.8312216703283E-2</v>
      </c>
      <c r="BC61" s="279"/>
      <c r="BD61" s="279"/>
      <c r="BE61" s="75"/>
      <c r="BF61" s="75"/>
      <c r="BG61" s="75"/>
      <c r="BH61" s="75"/>
      <c r="BI61" s="75"/>
      <c r="BJ61" s="75"/>
      <c r="BK61" s="75"/>
      <c r="BL61" s="279"/>
      <c r="BM61" s="75"/>
      <c r="BN61" s="75"/>
      <c r="BO61" s="75"/>
      <c r="BP61" s="75"/>
      <c r="BQ61" s="75"/>
      <c r="BR61" s="75"/>
      <c r="BS61" s="75"/>
    </row>
    <row r="62" spans="1:71" x14ac:dyDescent="0.25">
      <c r="A62" s="519"/>
      <c r="B62" s="183" t="s">
        <v>23</v>
      </c>
      <c r="C62" s="187">
        <v>19.23</v>
      </c>
      <c r="D62" s="187">
        <v>19.059999999999999</v>
      </c>
      <c r="E62" s="187">
        <v>19.170000000000002</v>
      </c>
      <c r="F62" s="168">
        <f t="shared" si="41"/>
        <v>19.153333333333332</v>
      </c>
      <c r="G62" s="173">
        <v>6.25</v>
      </c>
      <c r="H62" s="173">
        <v>6.27</v>
      </c>
      <c r="I62" s="173">
        <v>6.29</v>
      </c>
      <c r="J62" s="168">
        <f t="shared" si="42"/>
        <v>6.27</v>
      </c>
      <c r="K62" s="237">
        <f t="shared" si="43"/>
        <v>1806.5340682967112</v>
      </c>
      <c r="L62" s="519"/>
      <c r="M62" s="139" t="s">
        <v>23</v>
      </c>
      <c r="N62" s="173">
        <v>18.8</v>
      </c>
      <c r="O62" s="173">
        <v>18.920000000000002</v>
      </c>
      <c r="P62" s="173">
        <v>18.88</v>
      </c>
      <c r="Q62" s="168">
        <f t="shared" si="44"/>
        <v>18.866666666666664</v>
      </c>
      <c r="R62" s="189">
        <v>6.21</v>
      </c>
      <c r="S62" s="173">
        <v>6.21</v>
      </c>
      <c r="T62" s="173">
        <v>6.21</v>
      </c>
      <c r="U62" s="168">
        <f t="shared" si="45"/>
        <v>6.21</v>
      </c>
      <c r="V62" s="240">
        <f t="shared" si="46"/>
        <v>1736.0883968301348</v>
      </c>
      <c r="W62" s="27">
        <f t="shared" ref="W62:W66" si="53">((F62-Q62)/F62)*100</f>
        <v>1.4966933518969832</v>
      </c>
      <c r="X62" s="27">
        <f t="shared" ref="X62:X66" si="54">((J62-U62)/J62)*100</f>
        <v>0.95693779904305609</v>
      </c>
      <c r="Y62" s="27">
        <f t="shared" ref="Y62:Y65" si="55">((K62-V62)/K62)*100</f>
        <v>3.8994931068748704</v>
      </c>
      <c r="AA62" s="496"/>
      <c r="AB62" s="139" t="s">
        <v>23</v>
      </c>
      <c r="AC62" s="172">
        <v>19.14</v>
      </c>
      <c r="AD62" s="173">
        <v>19.21</v>
      </c>
      <c r="AE62" s="173">
        <v>19</v>
      </c>
      <c r="AF62" s="168">
        <f t="shared" si="47"/>
        <v>19.116666666666667</v>
      </c>
      <c r="AG62" s="189">
        <v>6.2</v>
      </c>
      <c r="AH62" s="173">
        <v>6.94</v>
      </c>
      <c r="AI62" s="173">
        <v>7</v>
      </c>
      <c r="AJ62" s="168">
        <f t="shared" si="48"/>
        <v>6.7133333333333338</v>
      </c>
      <c r="AK62" s="237">
        <f t="shared" si="49"/>
        <v>1926.8700566585142</v>
      </c>
      <c r="AL62" s="496"/>
      <c r="AM62" s="139" t="s">
        <v>23</v>
      </c>
      <c r="AN62" s="94">
        <v>18.600000000000001</v>
      </c>
      <c r="AO62" s="94">
        <v>18.73</v>
      </c>
      <c r="AP62" s="94">
        <v>18.600000000000001</v>
      </c>
      <c r="AQ62" s="168">
        <f t="shared" si="50"/>
        <v>18.643333333333334</v>
      </c>
      <c r="AR62" s="95">
        <v>6.43</v>
      </c>
      <c r="AS62" s="94">
        <v>6.61</v>
      </c>
      <c r="AT62" s="94">
        <v>6.48</v>
      </c>
      <c r="AU62" s="168">
        <f t="shared" si="51"/>
        <v>6.5066666666666668</v>
      </c>
      <c r="AV62" s="237">
        <f t="shared" si="52"/>
        <v>1776.215146703717</v>
      </c>
      <c r="AW62" s="27">
        <f t="shared" ref="AW62:AW66" si="56">((AF62-AQ62)/AF62)*100</f>
        <v>2.4760244115082792</v>
      </c>
      <c r="AX62" s="27">
        <f t="shared" ref="AX62:AX66" si="57">((AJ62-AU62)/AJ62)*100</f>
        <v>3.0784508440913649</v>
      </c>
      <c r="AY62" s="27">
        <f t="shared" ref="AY62:AY65" si="58">((AK62-AV62)/AK62)*100</f>
        <v>7.8186336143525796</v>
      </c>
      <c r="BC62" s="279"/>
      <c r="BD62" s="279"/>
      <c r="BE62" s="75"/>
      <c r="BF62" s="75"/>
      <c r="BG62" s="75"/>
      <c r="BH62" s="75"/>
      <c r="BI62" s="75"/>
      <c r="BJ62" s="75"/>
      <c r="BK62" s="75"/>
      <c r="BL62" s="279"/>
      <c r="BM62" s="75"/>
      <c r="BN62" s="75"/>
      <c r="BO62" s="75"/>
      <c r="BP62" s="75"/>
      <c r="BQ62" s="75"/>
      <c r="BR62" s="75"/>
      <c r="BS62" s="75"/>
    </row>
    <row r="63" spans="1:71" x14ac:dyDescent="0.25">
      <c r="A63" s="519"/>
      <c r="B63" s="183" t="s">
        <v>24</v>
      </c>
      <c r="C63" s="187">
        <v>19.07</v>
      </c>
      <c r="D63" s="187">
        <v>19.04</v>
      </c>
      <c r="E63" s="187">
        <v>19.18</v>
      </c>
      <c r="F63" s="168">
        <f t="shared" si="41"/>
        <v>19.096666666666668</v>
      </c>
      <c r="G63" s="173">
        <v>6.54</v>
      </c>
      <c r="H63" s="173">
        <v>6.57</v>
      </c>
      <c r="I63" s="173">
        <v>6.51</v>
      </c>
      <c r="J63" s="168">
        <f t="shared" si="42"/>
        <v>6.5399999999999991</v>
      </c>
      <c r="K63" s="237">
        <f t="shared" si="43"/>
        <v>1873.1940289859269</v>
      </c>
      <c r="L63" s="519"/>
      <c r="M63" s="139" t="s">
        <v>24</v>
      </c>
      <c r="N63" s="173">
        <v>18.95</v>
      </c>
      <c r="O63" s="173">
        <v>18.88</v>
      </c>
      <c r="P63" s="173">
        <v>18.82</v>
      </c>
      <c r="Q63" s="168">
        <f t="shared" si="44"/>
        <v>18.883333333333333</v>
      </c>
      <c r="R63" s="189">
        <v>6.46</v>
      </c>
      <c r="S63" s="173">
        <v>6.43</v>
      </c>
      <c r="T63" s="173">
        <v>6.41</v>
      </c>
      <c r="U63" s="168">
        <f t="shared" si="45"/>
        <v>6.4333333333333336</v>
      </c>
      <c r="V63" s="240">
        <f t="shared" si="46"/>
        <v>1801.7032195730264</v>
      </c>
      <c r="W63" s="27">
        <f t="shared" si="53"/>
        <v>1.1171234072263991</v>
      </c>
      <c r="X63" s="27">
        <f t="shared" si="54"/>
        <v>1.6309887869520732</v>
      </c>
      <c r="Y63" s="27">
        <f t="shared" si="55"/>
        <v>3.8165191809629446</v>
      </c>
      <c r="AA63" s="496"/>
      <c r="AB63" s="139" t="s">
        <v>24</v>
      </c>
      <c r="AC63" s="172">
        <v>18.97</v>
      </c>
      <c r="AD63" s="173">
        <v>18.96</v>
      </c>
      <c r="AE63" s="173">
        <v>18.940000000000001</v>
      </c>
      <c r="AF63" s="168">
        <f t="shared" si="47"/>
        <v>18.956666666666667</v>
      </c>
      <c r="AG63" s="189">
        <v>6.43</v>
      </c>
      <c r="AH63" s="173">
        <v>6.44</v>
      </c>
      <c r="AI63" s="173">
        <v>6.43</v>
      </c>
      <c r="AJ63" s="168">
        <f t="shared" si="48"/>
        <v>6.4333333333333336</v>
      </c>
      <c r="AK63" s="237">
        <f t="shared" si="49"/>
        <v>1815.7242034365338</v>
      </c>
      <c r="AL63" s="496"/>
      <c r="AM63" s="139" t="s">
        <v>24</v>
      </c>
      <c r="AN63" s="94">
        <v>18.600000000000001</v>
      </c>
      <c r="AO63" s="94">
        <v>18.61</v>
      </c>
      <c r="AP63" s="94">
        <v>18.64</v>
      </c>
      <c r="AQ63" s="168">
        <f t="shared" si="50"/>
        <v>18.616666666666667</v>
      </c>
      <c r="AR63" s="95">
        <v>6.33</v>
      </c>
      <c r="AS63" s="94">
        <v>6.29</v>
      </c>
      <c r="AT63" s="94">
        <v>6.36</v>
      </c>
      <c r="AU63" s="168">
        <f t="shared" si="51"/>
        <v>6.3266666666666671</v>
      </c>
      <c r="AV63" s="237">
        <f t="shared" si="52"/>
        <v>1722.1408962732366</v>
      </c>
      <c r="AW63" s="27">
        <f t="shared" si="56"/>
        <v>1.7935642693863187</v>
      </c>
      <c r="AX63" s="27">
        <f t="shared" si="57"/>
        <v>1.6580310880828983</v>
      </c>
      <c r="AY63" s="27">
        <f>((AK63-AV63)/AK63)*100</f>
        <v>5.1540485601379613</v>
      </c>
      <c r="BC63" s="279"/>
      <c r="BD63" s="279"/>
      <c r="BE63" s="75"/>
      <c r="BF63" s="75"/>
      <c r="BG63" s="75"/>
      <c r="BH63" s="75"/>
      <c r="BI63" s="75"/>
      <c r="BJ63" s="75"/>
      <c r="BK63" s="75"/>
      <c r="BL63" s="279"/>
      <c r="BM63" s="75"/>
      <c r="BN63" s="75"/>
      <c r="BO63" s="75"/>
      <c r="BP63" s="75"/>
      <c r="BQ63" s="75"/>
      <c r="BR63" s="75"/>
      <c r="BS63" s="75"/>
    </row>
    <row r="64" spans="1:71" x14ac:dyDescent="0.25">
      <c r="A64" s="519"/>
      <c r="B64" s="183" t="s">
        <v>25</v>
      </c>
      <c r="C64" s="187">
        <v>18.96</v>
      </c>
      <c r="D64" s="187">
        <v>19.22</v>
      </c>
      <c r="E64" s="187">
        <v>19.010000000000002</v>
      </c>
      <c r="F64" s="168">
        <f t="shared" si="41"/>
        <v>19.063333333333333</v>
      </c>
      <c r="G64" s="173">
        <v>6.49</v>
      </c>
      <c r="H64" s="173">
        <v>6.52</v>
      </c>
      <c r="I64" s="173">
        <v>6.52</v>
      </c>
      <c r="J64" s="168">
        <f t="shared" si="42"/>
        <v>6.5100000000000007</v>
      </c>
      <c r="K64" s="237">
        <f t="shared" si="43"/>
        <v>1858.0977335458324</v>
      </c>
      <c r="L64" s="519"/>
      <c r="M64" s="139" t="s">
        <v>25</v>
      </c>
      <c r="N64" s="173">
        <v>18.77</v>
      </c>
      <c r="O64" s="173">
        <v>18.79</v>
      </c>
      <c r="P64" s="173">
        <v>18.989999999999998</v>
      </c>
      <c r="Q64" s="168">
        <f t="shared" si="44"/>
        <v>18.849999999999998</v>
      </c>
      <c r="R64" s="189">
        <v>6.44</v>
      </c>
      <c r="S64" s="173">
        <v>6.48</v>
      </c>
      <c r="T64" s="173">
        <v>6.45</v>
      </c>
      <c r="U64" s="168">
        <f t="shared" si="45"/>
        <v>6.456666666666667</v>
      </c>
      <c r="V64" s="240">
        <f t="shared" si="46"/>
        <v>1801.8596352533696</v>
      </c>
      <c r="W64" s="27">
        <f t="shared" si="53"/>
        <v>1.1190767616716282</v>
      </c>
      <c r="X64" s="27">
        <f t="shared" si="54"/>
        <v>0.81925243215566312</v>
      </c>
      <c r="Y64" s="27">
        <f t="shared" si="55"/>
        <v>3.0266490980075051</v>
      </c>
      <c r="AA64" s="496"/>
      <c r="AB64" s="139" t="s">
        <v>25</v>
      </c>
      <c r="AC64" s="172">
        <v>19.09</v>
      </c>
      <c r="AD64" s="173">
        <v>19</v>
      </c>
      <c r="AE64" s="173">
        <v>19.13</v>
      </c>
      <c r="AF64" s="168">
        <f t="shared" si="47"/>
        <v>19.073333333333334</v>
      </c>
      <c r="AG64" s="189">
        <v>6.49</v>
      </c>
      <c r="AH64" s="173">
        <v>6.47</v>
      </c>
      <c r="AI64" s="173">
        <v>6.41</v>
      </c>
      <c r="AJ64" s="168">
        <f t="shared" si="48"/>
        <v>6.456666666666667</v>
      </c>
      <c r="AK64" s="237">
        <f t="shared" si="49"/>
        <v>1844.809153686424</v>
      </c>
      <c r="AL64" s="496"/>
      <c r="AM64" s="139" t="s">
        <v>25</v>
      </c>
      <c r="AN64" s="94">
        <v>18.739999999999998</v>
      </c>
      <c r="AO64" s="94">
        <v>18.66</v>
      </c>
      <c r="AP64" s="94">
        <v>18.71</v>
      </c>
      <c r="AQ64" s="168">
        <f t="shared" si="50"/>
        <v>18.703333333333333</v>
      </c>
      <c r="AR64" s="95">
        <v>6.36</v>
      </c>
      <c r="AS64" s="94">
        <v>6.35</v>
      </c>
      <c r="AT64" s="94">
        <v>6.36</v>
      </c>
      <c r="AU64" s="168">
        <f t="shared" si="51"/>
        <v>6.3566666666666665</v>
      </c>
      <c r="AV64" s="237">
        <f t="shared" si="52"/>
        <v>1746.4547900161765</v>
      </c>
      <c r="AW64" s="27">
        <f t="shared" si="56"/>
        <v>1.9398811604334198</v>
      </c>
      <c r="AX64" s="27">
        <f t="shared" si="57"/>
        <v>1.5487867836861207</v>
      </c>
      <c r="AY64" s="27">
        <f t="shared" si="58"/>
        <v>5.3314112993048131</v>
      </c>
      <c r="BC64" s="279"/>
      <c r="BD64" s="279"/>
      <c r="BE64" s="75"/>
      <c r="BF64" s="75"/>
      <c r="BG64" s="75"/>
      <c r="BH64" s="75"/>
      <c r="BI64" s="75"/>
      <c r="BJ64" s="75"/>
      <c r="BK64" s="75"/>
      <c r="BL64" s="279"/>
      <c r="BM64" s="75"/>
      <c r="BN64" s="75"/>
      <c r="BO64" s="75"/>
      <c r="BP64" s="75"/>
      <c r="BQ64" s="75"/>
      <c r="BR64" s="75"/>
      <c r="BS64" s="75"/>
    </row>
    <row r="65" spans="1:71" x14ac:dyDescent="0.25">
      <c r="A65" s="519"/>
      <c r="B65" s="183" t="s">
        <v>26</v>
      </c>
      <c r="C65" s="187">
        <v>19.18</v>
      </c>
      <c r="D65" s="187">
        <v>18.97</v>
      </c>
      <c r="E65" s="187">
        <v>19.11</v>
      </c>
      <c r="F65" s="168">
        <f t="shared" si="41"/>
        <v>19.086666666666666</v>
      </c>
      <c r="G65" s="173">
        <v>6.22</v>
      </c>
      <c r="H65" s="173">
        <v>6.34</v>
      </c>
      <c r="I65" s="173">
        <v>6.3</v>
      </c>
      <c r="J65" s="168">
        <f t="shared" si="42"/>
        <v>6.2866666666666662</v>
      </c>
      <c r="K65" s="237">
        <f t="shared" si="43"/>
        <v>1798.7486996280677</v>
      </c>
      <c r="L65" s="519"/>
      <c r="M65" s="139" t="s">
        <v>26</v>
      </c>
      <c r="N65" s="173">
        <v>19.010000000000002</v>
      </c>
      <c r="O65" s="173">
        <v>18.760000000000002</v>
      </c>
      <c r="P65" s="173">
        <v>19.02</v>
      </c>
      <c r="Q65" s="168">
        <f t="shared" si="44"/>
        <v>18.930000000000003</v>
      </c>
      <c r="R65" s="189">
        <v>6.35</v>
      </c>
      <c r="S65" s="173">
        <v>6.21</v>
      </c>
      <c r="T65" s="173">
        <v>6.3</v>
      </c>
      <c r="U65" s="168">
        <f t="shared" si="45"/>
        <v>6.2866666666666662</v>
      </c>
      <c r="V65" s="240">
        <f t="shared" si="46"/>
        <v>1769.3410068162689</v>
      </c>
      <c r="W65" s="27">
        <f t="shared" si="53"/>
        <v>0.82081732448478562</v>
      </c>
      <c r="X65" s="27">
        <f t="shared" si="54"/>
        <v>0</v>
      </c>
      <c r="Y65" s="27">
        <f t="shared" si="55"/>
        <v>1.6348972381678182</v>
      </c>
      <c r="AA65" s="496"/>
      <c r="AB65" s="139" t="s">
        <v>26</v>
      </c>
      <c r="AC65" s="172">
        <v>19.059999999999999</v>
      </c>
      <c r="AD65" s="173">
        <v>19.07</v>
      </c>
      <c r="AE65" s="173">
        <v>19.21</v>
      </c>
      <c r="AF65" s="168">
        <f t="shared" si="47"/>
        <v>19.113333333333333</v>
      </c>
      <c r="AG65" s="189">
        <v>6.61</v>
      </c>
      <c r="AH65" s="173">
        <v>6.57</v>
      </c>
      <c r="AI65" s="173">
        <v>6.57</v>
      </c>
      <c r="AJ65" s="168">
        <f t="shared" si="48"/>
        <v>6.583333333333333</v>
      </c>
      <c r="AK65" s="237">
        <f t="shared" si="49"/>
        <v>1888.8983811094756</v>
      </c>
      <c r="AL65" s="496"/>
      <c r="AM65" s="139" t="s">
        <v>26</v>
      </c>
      <c r="AN65" s="94">
        <v>18.690000000000001</v>
      </c>
      <c r="AO65" s="94">
        <v>18.739999999999998</v>
      </c>
      <c r="AP65" s="94">
        <v>18.61</v>
      </c>
      <c r="AQ65" s="168">
        <f t="shared" si="50"/>
        <v>18.68</v>
      </c>
      <c r="AR65" s="95">
        <v>6.5</v>
      </c>
      <c r="AS65" s="94">
        <v>6.43</v>
      </c>
      <c r="AT65" s="94">
        <v>6.49</v>
      </c>
      <c r="AU65" s="168">
        <f t="shared" si="51"/>
        <v>6.4733333333333336</v>
      </c>
      <c r="AV65" s="237">
        <f t="shared" si="52"/>
        <v>1774.073448058962</v>
      </c>
      <c r="AW65" s="27">
        <f t="shared" si="56"/>
        <v>2.2671782350889442</v>
      </c>
      <c r="AX65" s="27">
        <f t="shared" si="57"/>
        <v>1.6708860759493585</v>
      </c>
      <c r="AY65" s="27">
        <f t="shared" si="58"/>
        <v>6.078936495412175</v>
      </c>
      <c r="BC65" s="280"/>
      <c r="BD65" s="280"/>
      <c r="BE65" s="75"/>
      <c r="BF65" s="75"/>
      <c r="BG65" s="75"/>
      <c r="BH65" s="75"/>
      <c r="BI65" s="75"/>
      <c r="BJ65" s="75"/>
      <c r="BK65" s="75"/>
      <c r="BL65" s="280"/>
      <c r="BM65" s="75"/>
      <c r="BN65" s="75"/>
      <c r="BO65" s="75"/>
      <c r="BP65" s="75"/>
      <c r="BQ65" s="75"/>
      <c r="BR65" s="75"/>
      <c r="BS65" s="75"/>
    </row>
    <row r="66" spans="1:71" ht="15.75" thickBot="1" x14ac:dyDescent="0.3">
      <c r="A66" s="520"/>
      <c r="B66" s="184" t="s">
        <v>27</v>
      </c>
      <c r="C66" s="188">
        <v>21.3</v>
      </c>
      <c r="D66" s="188">
        <v>21.19</v>
      </c>
      <c r="E66" s="188">
        <v>21.34</v>
      </c>
      <c r="F66" s="169">
        <f t="shared" si="41"/>
        <v>21.276666666666667</v>
      </c>
      <c r="G66" s="179">
        <v>5.52</v>
      </c>
      <c r="H66" s="179">
        <v>5.38</v>
      </c>
      <c r="I66" s="179">
        <v>5.41</v>
      </c>
      <c r="J66" s="180">
        <f t="shared" si="42"/>
        <v>5.4366666666666665</v>
      </c>
      <c r="K66" s="238">
        <f t="shared" si="43"/>
        <v>1932.9907113497836</v>
      </c>
      <c r="L66" s="520"/>
      <c r="M66" s="140" t="s">
        <v>27</v>
      </c>
      <c r="N66" s="179">
        <v>21.11</v>
      </c>
      <c r="O66" s="179">
        <v>21.08</v>
      </c>
      <c r="P66" s="179">
        <v>21.05</v>
      </c>
      <c r="Q66" s="169">
        <f t="shared" si="44"/>
        <v>21.08</v>
      </c>
      <c r="R66" s="190">
        <v>5.34</v>
      </c>
      <c r="S66" s="179">
        <v>5.37</v>
      </c>
      <c r="T66" s="179">
        <v>5.42</v>
      </c>
      <c r="U66" s="169">
        <f t="shared" si="45"/>
        <v>5.3766666666666678</v>
      </c>
      <c r="V66" s="241">
        <f t="shared" si="46"/>
        <v>1876.4811543483979</v>
      </c>
      <c r="W66" s="27">
        <f t="shared" si="53"/>
        <v>0.92433025223250342</v>
      </c>
      <c r="X66" s="27">
        <f t="shared" si="54"/>
        <v>1.1036174126302647</v>
      </c>
      <c r="Y66" s="61">
        <f>((K66-V66)/K66)*100</f>
        <v>2.9234262052881657</v>
      </c>
      <c r="AA66" s="497"/>
      <c r="AB66" s="140" t="s">
        <v>27</v>
      </c>
      <c r="AC66" s="178">
        <v>19.05</v>
      </c>
      <c r="AD66" s="179">
        <v>19.03</v>
      </c>
      <c r="AE66" s="179">
        <v>19.02</v>
      </c>
      <c r="AF66" s="169">
        <f t="shared" si="47"/>
        <v>19.033333333333331</v>
      </c>
      <c r="AG66" s="190">
        <v>6.68</v>
      </c>
      <c r="AH66" s="179">
        <v>6.71</v>
      </c>
      <c r="AI66" s="179">
        <v>6.67</v>
      </c>
      <c r="AJ66" s="169">
        <f t="shared" si="48"/>
        <v>6.6866666666666674</v>
      </c>
      <c r="AK66" s="238">
        <f t="shared" si="49"/>
        <v>1902.5201377781054</v>
      </c>
      <c r="AL66" s="497"/>
      <c r="AM66" s="140" t="s">
        <v>27</v>
      </c>
      <c r="AN66" s="97">
        <v>18.72</v>
      </c>
      <c r="AO66" s="97">
        <v>18.670000000000002</v>
      </c>
      <c r="AP66" s="97">
        <v>18.71</v>
      </c>
      <c r="AQ66" s="169">
        <f t="shared" si="50"/>
        <v>18.7</v>
      </c>
      <c r="AR66" s="98">
        <v>6.6</v>
      </c>
      <c r="AS66" s="97">
        <v>6.55</v>
      </c>
      <c r="AT66" s="97">
        <v>6.52</v>
      </c>
      <c r="AU66" s="169">
        <f t="shared" si="51"/>
        <v>6.5566666666666658</v>
      </c>
      <c r="AV66" s="238">
        <f t="shared" si="52"/>
        <v>1800.7615111762611</v>
      </c>
      <c r="AW66" s="27">
        <f t="shared" si="56"/>
        <v>1.7513134851138294</v>
      </c>
      <c r="AX66" s="27">
        <f t="shared" si="57"/>
        <v>1.9441674975075023</v>
      </c>
      <c r="AY66" s="61">
        <f>((AK66-AV66)/AK66)*100</f>
        <v>5.3486228387934469</v>
      </c>
      <c r="BC66" s="280"/>
      <c r="BD66" s="280"/>
      <c r="BE66" s="75"/>
      <c r="BF66" s="75"/>
      <c r="BG66" s="75"/>
      <c r="BH66" s="75"/>
      <c r="BI66" s="75"/>
      <c r="BJ66" s="75"/>
      <c r="BK66" s="75"/>
      <c r="BL66" s="280"/>
      <c r="BM66" s="75"/>
      <c r="BN66" s="75"/>
      <c r="BO66" s="75"/>
      <c r="BP66" s="75"/>
      <c r="BQ66" s="75"/>
      <c r="BR66" s="75"/>
      <c r="BS66" s="75"/>
    </row>
    <row r="67" spans="1:71" ht="15" customHeight="1" x14ac:dyDescent="0.25">
      <c r="A67" s="521" t="s">
        <v>197</v>
      </c>
      <c r="B67" s="144" t="s">
        <v>21</v>
      </c>
      <c r="C67" s="170">
        <v>18.89</v>
      </c>
      <c r="D67" s="170">
        <v>19.010000000000002</v>
      </c>
      <c r="E67" s="170">
        <v>19.04</v>
      </c>
      <c r="F67" s="167">
        <f t="shared" si="41"/>
        <v>18.98</v>
      </c>
      <c r="G67" s="173">
        <v>6.56</v>
      </c>
      <c r="H67" s="173">
        <v>6.49</v>
      </c>
      <c r="I67" s="173">
        <v>6.5</v>
      </c>
      <c r="J67" s="175">
        <f t="shared" si="42"/>
        <v>6.5166666666666666</v>
      </c>
      <c r="K67" s="236">
        <f>PI()*((F67/2)^2)*J67</f>
        <v>1843.7745013291799</v>
      </c>
      <c r="L67" s="521" t="s">
        <v>197</v>
      </c>
      <c r="M67" s="137" t="s">
        <v>21</v>
      </c>
      <c r="N67" s="173">
        <v>18.28</v>
      </c>
      <c r="O67" s="173">
        <v>18.54</v>
      </c>
      <c r="P67" s="173">
        <v>18.350000000000001</v>
      </c>
      <c r="Q67" s="167">
        <f t="shared" si="44"/>
        <v>18.39</v>
      </c>
      <c r="R67" s="189">
        <v>6.35</v>
      </c>
      <c r="S67" s="173">
        <v>6.4</v>
      </c>
      <c r="T67" s="173">
        <v>6.38</v>
      </c>
      <c r="U67" s="167">
        <f t="shared" si="45"/>
        <v>6.376666666666666</v>
      </c>
      <c r="V67" s="239">
        <f>PI()*((Q67/2)^2)*U67</f>
        <v>1693.7412130476719</v>
      </c>
      <c r="W67" s="23">
        <f>((F67-Q67)/F67)*100</f>
        <v>3.1085353003161216</v>
      </c>
      <c r="X67" s="23">
        <f>((J67-U67)/J67)*100</f>
        <v>2.1483375959079369</v>
      </c>
      <c r="Y67" s="23">
        <f>((K67-V67)/K67)*100</f>
        <v>8.1372905511682045</v>
      </c>
      <c r="AA67" s="498" t="s">
        <v>198</v>
      </c>
      <c r="AB67" s="137" t="s">
        <v>21</v>
      </c>
      <c r="AC67" s="172">
        <v>18.82</v>
      </c>
      <c r="AD67" s="173">
        <v>18.84</v>
      </c>
      <c r="AE67" s="173">
        <v>18.8</v>
      </c>
      <c r="AF67" s="167">
        <f t="shared" si="47"/>
        <v>18.819999999999997</v>
      </c>
      <c r="AG67" s="189">
        <v>6.63</v>
      </c>
      <c r="AH67" s="173">
        <v>6.62</v>
      </c>
      <c r="AI67" s="173">
        <v>6.62</v>
      </c>
      <c r="AJ67" s="167">
        <f t="shared" si="48"/>
        <v>6.623333333333334</v>
      </c>
      <c r="AK67" s="236">
        <f>PI()*((AF67/2)^2)*AJ67</f>
        <v>1842.492513709424</v>
      </c>
      <c r="AL67" s="498" t="s">
        <v>198</v>
      </c>
      <c r="AM67" s="137" t="s">
        <v>21</v>
      </c>
      <c r="AN67" s="94">
        <v>18.16</v>
      </c>
      <c r="AO67" s="94">
        <v>18.190000000000001</v>
      </c>
      <c r="AP67" s="94">
        <v>18.079999999999998</v>
      </c>
      <c r="AQ67" s="205">
        <f t="shared" si="50"/>
        <v>18.143333333333334</v>
      </c>
      <c r="AR67" s="95">
        <v>6.51</v>
      </c>
      <c r="AS67" s="94">
        <v>6.53</v>
      </c>
      <c r="AT67" s="94">
        <v>6.48</v>
      </c>
      <c r="AU67" s="167">
        <f t="shared" si="51"/>
        <v>6.5066666666666668</v>
      </c>
      <c r="AV67" s="236">
        <f>PI()*((AQ67/2)^2)*AU67</f>
        <v>1682.2192530136713</v>
      </c>
      <c r="AW67" s="23">
        <f>((AF67-AQ67)/AF67)*100</f>
        <v>3.5954658165072395</v>
      </c>
      <c r="AX67" s="23">
        <f>((AJ67-AU67)/AJ67)*100</f>
        <v>1.7614494212380543</v>
      </c>
      <c r="AY67" s="23">
        <f>((AK67-AV67)/AK67)*100</f>
        <v>8.6987197778665752</v>
      </c>
      <c r="BA67">
        <v>18.39</v>
      </c>
      <c r="BC67" s="280"/>
      <c r="BD67" s="280"/>
      <c r="BE67" s="75"/>
      <c r="BF67" s="75"/>
      <c r="BG67" s="75"/>
      <c r="BH67" s="75"/>
      <c r="BI67" s="75"/>
      <c r="BJ67" s="75"/>
      <c r="BK67" s="75"/>
      <c r="BL67" s="280"/>
      <c r="BM67" s="75"/>
      <c r="BN67" s="75"/>
      <c r="BO67" s="75"/>
      <c r="BP67" s="75"/>
      <c r="BQ67" s="75"/>
      <c r="BR67" s="75"/>
      <c r="BS67" s="75"/>
    </row>
    <row r="68" spans="1:71" x14ac:dyDescent="0.25">
      <c r="A68" s="521"/>
      <c r="B68" s="166" t="s">
        <v>22</v>
      </c>
      <c r="C68" s="187">
        <v>19.059999999999999</v>
      </c>
      <c r="D68" s="187">
        <v>19.010000000000002</v>
      </c>
      <c r="E68" s="187">
        <v>19.09</v>
      </c>
      <c r="F68" s="168">
        <f t="shared" si="41"/>
        <v>19.053333333333331</v>
      </c>
      <c r="G68" s="173">
        <v>6.33</v>
      </c>
      <c r="H68" s="173">
        <v>6.39</v>
      </c>
      <c r="I68" s="173">
        <v>6.32</v>
      </c>
      <c r="J68" s="168">
        <f t="shared" si="42"/>
        <v>6.3466666666666667</v>
      </c>
      <c r="K68" s="237">
        <f t="shared" si="43"/>
        <v>1809.5788076268307</v>
      </c>
      <c r="L68" s="521"/>
      <c r="M68" s="137" t="s">
        <v>22</v>
      </c>
      <c r="N68" s="173">
        <v>18.52</v>
      </c>
      <c r="O68" s="173">
        <v>18.36</v>
      </c>
      <c r="P68" s="173">
        <v>18.5</v>
      </c>
      <c r="Q68" s="168">
        <f t="shared" si="44"/>
        <v>18.459999999999997</v>
      </c>
      <c r="R68" s="189">
        <v>6.14</v>
      </c>
      <c r="S68" s="173">
        <v>6.2</v>
      </c>
      <c r="T68" s="173">
        <v>6.11</v>
      </c>
      <c r="U68" s="168">
        <f t="shared" si="45"/>
        <v>6.1499999999999995</v>
      </c>
      <c r="V68" s="240">
        <f t="shared" ref="V68:V73" si="59">PI()*((Q68/2)^2)*U68</f>
        <v>1645.9945409847601</v>
      </c>
      <c r="W68" s="27">
        <f>((F68-Q68)/F68)*100</f>
        <v>3.1140657802659226</v>
      </c>
      <c r="X68" s="27">
        <f>((J68-U68)/J68)*100</f>
        <v>3.0987394957983279</v>
      </c>
      <c r="Y68" s="27">
        <f>((K68-V68)/K68)*100</f>
        <v>9.0399084003753849</v>
      </c>
      <c r="AA68" s="498"/>
      <c r="AB68" s="137" t="s">
        <v>22</v>
      </c>
      <c r="AC68" s="172">
        <v>18.87</v>
      </c>
      <c r="AD68" s="173">
        <v>18.850000000000001</v>
      </c>
      <c r="AE68" s="173">
        <v>18.829999999999998</v>
      </c>
      <c r="AF68" s="168">
        <f t="shared" si="47"/>
        <v>18.849999999999998</v>
      </c>
      <c r="AG68" s="189">
        <v>6.6</v>
      </c>
      <c r="AH68" s="173">
        <v>6.58</v>
      </c>
      <c r="AI68" s="173">
        <v>6.66</v>
      </c>
      <c r="AJ68" s="168">
        <f t="shared" si="48"/>
        <v>6.6133333333333333</v>
      </c>
      <c r="AK68" s="237">
        <f t="shared" si="49"/>
        <v>1845.5805453498631</v>
      </c>
      <c r="AL68" s="498"/>
      <c r="AM68" s="137" t="s">
        <v>22</v>
      </c>
      <c r="AN68" s="94">
        <v>18.04</v>
      </c>
      <c r="AO68" s="94">
        <v>18.27</v>
      </c>
      <c r="AP68" s="94">
        <v>18.11</v>
      </c>
      <c r="AQ68" s="168">
        <f t="shared" si="50"/>
        <v>18.14</v>
      </c>
      <c r="AR68" s="95">
        <v>6.49</v>
      </c>
      <c r="AS68" s="94">
        <v>6.47</v>
      </c>
      <c r="AT68" s="94">
        <v>6.49</v>
      </c>
      <c r="AU68" s="168">
        <f t="shared" si="51"/>
        <v>6.4833333333333343</v>
      </c>
      <c r="AV68" s="237">
        <f t="shared" si="52"/>
        <v>1675.5708555824722</v>
      </c>
      <c r="AW68" s="27">
        <f>((AF68-AQ68)/AF68)*100</f>
        <v>3.7665782493368565</v>
      </c>
      <c r="AX68" s="27">
        <f>((AJ68-AU68)/AJ68)*100</f>
        <v>1.9657258064515979</v>
      </c>
      <c r="AY68" s="27">
        <f>((AK68-AV68)/AK68)*100</f>
        <v>9.2117187838671377</v>
      </c>
      <c r="BA68">
        <v>18.399999999999999</v>
      </c>
      <c r="BC68" s="280"/>
      <c r="BD68" s="280"/>
      <c r="BE68" s="75"/>
      <c r="BF68" s="75"/>
      <c r="BG68" s="75"/>
      <c r="BH68" s="75"/>
      <c r="BI68" s="75"/>
      <c r="BJ68" s="75"/>
      <c r="BK68" s="75"/>
      <c r="BL68" s="280"/>
      <c r="BM68" s="75"/>
      <c r="BN68" s="75"/>
      <c r="BO68" s="75"/>
      <c r="BP68" s="75"/>
      <c r="BQ68" s="75"/>
      <c r="BR68" s="75"/>
      <c r="BS68" s="75"/>
    </row>
    <row r="69" spans="1:71" x14ac:dyDescent="0.25">
      <c r="A69" s="521"/>
      <c r="B69" s="166" t="s">
        <v>23</v>
      </c>
      <c r="C69" s="187">
        <v>18.88</v>
      </c>
      <c r="D69" s="187">
        <v>19.09</v>
      </c>
      <c r="E69" s="187">
        <v>19.07</v>
      </c>
      <c r="F69" s="168">
        <f t="shared" si="41"/>
        <v>19.013333333333332</v>
      </c>
      <c r="G69" s="173">
        <v>6.53</v>
      </c>
      <c r="H69" s="173">
        <v>6.49</v>
      </c>
      <c r="I69" s="173">
        <v>6.48</v>
      </c>
      <c r="J69" s="168">
        <f t="shared" si="42"/>
        <v>6.5</v>
      </c>
      <c r="K69" s="237">
        <f t="shared" si="43"/>
        <v>1845.5242759347786</v>
      </c>
      <c r="L69" s="521"/>
      <c r="M69" s="137" t="s">
        <v>23</v>
      </c>
      <c r="N69" s="173">
        <v>18.489999999999998</v>
      </c>
      <c r="O69" s="173">
        <v>18.239999999999998</v>
      </c>
      <c r="P69" s="173">
        <v>18.440000000000001</v>
      </c>
      <c r="Q69" s="168">
        <f t="shared" si="44"/>
        <v>18.39</v>
      </c>
      <c r="R69" s="189">
        <v>6.25</v>
      </c>
      <c r="S69" s="173">
        <v>6.31</v>
      </c>
      <c r="T69" s="173">
        <v>6.37</v>
      </c>
      <c r="U69" s="168">
        <f t="shared" si="45"/>
        <v>6.31</v>
      </c>
      <c r="V69" s="240">
        <f t="shared" si="59"/>
        <v>1676.0335160999703</v>
      </c>
      <c r="W69" s="27">
        <f t="shared" ref="W69:W73" si="60">((F69-Q69)/F69)*100</f>
        <v>3.2784011220196252</v>
      </c>
      <c r="X69" s="27">
        <f t="shared" ref="X69:X73" si="61">((J69-U69)/J69)*100</f>
        <v>2.9230769230769291</v>
      </c>
      <c r="Y69" s="27">
        <f t="shared" ref="Y69:Y72" si="62">((K69-V69)/K69)*100</f>
        <v>9.1838813525744278</v>
      </c>
      <c r="AA69" s="498"/>
      <c r="AB69" s="137" t="s">
        <v>23</v>
      </c>
      <c r="AC69" s="172">
        <v>18.95</v>
      </c>
      <c r="AD69" s="173">
        <v>18.77</v>
      </c>
      <c r="AE69" s="173">
        <v>18.829999999999998</v>
      </c>
      <c r="AF69" s="168">
        <f t="shared" si="47"/>
        <v>18.849999999999998</v>
      </c>
      <c r="AG69" s="189">
        <v>6.43</v>
      </c>
      <c r="AH69" s="173">
        <v>6.54</v>
      </c>
      <c r="AI69" s="173">
        <v>6.5</v>
      </c>
      <c r="AJ69" s="168">
        <f t="shared" si="48"/>
        <v>6.4899999999999993</v>
      </c>
      <c r="AK69" s="237">
        <f t="shared" si="49"/>
        <v>1811.1619565504955</v>
      </c>
      <c r="AL69" s="498"/>
      <c r="AM69" s="137" t="s">
        <v>23</v>
      </c>
      <c r="AN69" s="94">
        <v>18.2</v>
      </c>
      <c r="AO69" s="94">
        <v>18.25</v>
      </c>
      <c r="AP69" s="94">
        <v>18.09</v>
      </c>
      <c r="AQ69" s="168">
        <f t="shared" si="50"/>
        <v>18.180000000000003</v>
      </c>
      <c r="AR69" s="95">
        <v>6.36</v>
      </c>
      <c r="AS69" s="94">
        <v>6.42</v>
      </c>
      <c r="AT69" s="94">
        <v>6.34</v>
      </c>
      <c r="AU69" s="168">
        <f t="shared" si="51"/>
        <v>6.373333333333334</v>
      </c>
      <c r="AV69" s="237">
        <f t="shared" si="52"/>
        <v>1654.4142888981282</v>
      </c>
      <c r="AW69" s="27">
        <f t="shared" ref="AW69:AW73" si="63">((AF69-AQ69)/AF69)*100</f>
        <v>3.5543766578249056</v>
      </c>
      <c r="AX69" s="27">
        <f t="shared" ref="AX69:AX73" si="64">((AJ69-AU69)/AJ69)*100</f>
        <v>1.7976373908577099</v>
      </c>
      <c r="AY69" s="27">
        <f t="shared" ref="AY69:AY72" si="65">((AK69-AV69)/AK69)*100</f>
        <v>8.6545362266169636</v>
      </c>
      <c r="BA69">
        <v>18.399999999999999</v>
      </c>
      <c r="BB69">
        <f>STDEV(18.39,18.4,18.4)</f>
        <v>5.7735026918951087E-3</v>
      </c>
      <c r="BC69" s="280"/>
      <c r="BD69" s="280"/>
      <c r="BE69" s="75"/>
      <c r="BF69" s="75"/>
      <c r="BG69" s="75"/>
      <c r="BH69" s="75"/>
      <c r="BI69" s="75"/>
      <c r="BJ69" s="75"/>
      <c r="BK69" s="75"/>
      <c r="BL69" s="280"/>
      <c r="BM69" s="75"/>
      <c r="BN69" s="75"/>
      <c r="BO69" s="75"/>
      <c r="BP69" s="75"/>
      <c r="BQ69" s="75"/>
      <c r="BR69" s="75"/>
      <c r="BS69" s="75"/>
    </row>
    <row r="70" spans="1:71" x14ac:dyDescent="0.25">
      <c r="A70" s="521"/>
      <c r="B70" s="166" t="s">
        <v>24</v>
      </c>
      <c r="C70" s="187">
        <v>18.899999999999999</v>
      </c>
      <c r="D70" s="187">
        <v>19.100000000000001</v>
      </c>
      <c r="E70" s="187">
        <v>18.86</v>
      </c>
      <c r="F70" s="168">
        <f t="shared" si="41"/>
        <v>18.953333333333333</v>
      </c>
      <c r="G70" s="173">
        <v>6.34</v>
      </c>
      <c r="H70" s="173">
        <v>6.34</v>
      </c>
      <c r="I70" s="173">
        <v>6.35</v>
      </c>
      <c r="J70" s="168">
        <f t="shared" si="42"/>
        <v>6.3433333333333337</v>
      </c>
      <c r="K70" s="237">
        <f t="shared" si="43"/>
        <v>1789.6933162983378</v>
      </c>
      <c r="L70" s="521"/>
      <c r="M70" s="137" t="s">
        <v>24</v>
      </c>
      <c r="N70" s="173">
        <v>18.46</v>
      </c>
      <c r="O70" s="173">
        <v>18.309999999999999</v>
      </c>
      <c r="P70" s="173">
        <v>18.54</v>
      </c>
      <c r="Q70" s="168">
        <f t="shared" si="44"/>
        <v>18.436666666666664</v>
      </c>
      <c r="R70" s="189">
        <v>6.14</v>
      </c>
      <c r="S70" s="173">
        <v>6.18</v>
      </c>
      <c r="T70" s="173">
        <v>6.17</v>
      </c>
      <c r="U70" s="168">
        <f t="shared" si="45"/>
        <v>6.163333333333334</v>
      </c>
      <c r="V70" s="240">
        <f t="shared" si="59"/>
        <v>1645.3956518759126</v>
      </c>
      <c r="W70" s="27">
        <f t="shared" si="60"/>
        <v>2.7259936686598802</v>
      </c>
      <c r="X70" s="27">
        <f t="shared" si="61"/>
        <v>2.8376248029427171</v>
      </c>
      <c r="Y70" s="27">
        <f t="shared" si="62"/>
        <v>8.0627034312716361</v>
      </c>
      <c r="AA70" s="498"/>
      <c r="AB70" s="137" t="s">
        <v>24</v>
      </c>
      <c r="AC70" s="172">
        <v>18.940000000000001</v>
      </c>
      <c r="AD70" s="173">
        <v>18.95</v>
      </c>
      <c r="AE70" s="173">
        <v>18.97</v>
      </c>
      <c r="AF70" s="168">
        <f t="shared" si="47"/>
        <v>18.953333333333333</v>
      </c>
      <c r="AG70" s="189">
        <v>6.4</v>
      </c>
      <c r="AH70" s="173">
        <v>6.35</v>
      </c>
      <c r="AI70" s="173">
        <v>6.34</v>
      </c>
      <c r="AJ70" s="168">
        <f t="shared" si="48"/>
        <v>6.3633333333333333</v>
      </c>
      <c r="AK70" s="237">
        <f t="shared" si="49"/>
        <v>1795.3360697916589</v>
      </c>
      <c r="AL70" s="498"/>
      <c r="AM70" s="137" t="s">
        <v>24</v>
      </c>
      <c r="AN70" s="94">
        <v>18.18</v>
      </c>
      <c r="AO70" s="94">
        <v>18.350000000000001</v>
      </c>
      <c r="AP70" s="94">
        <v>18.190000000000001</v>
      </c>
      <c r="AQ70" s="168">
        <f t="shared" si="50"/>
        <v>18.239999999999998</v>
      </c>
      <c r="AR70" s="95">
        <v>6.23</v>
      </c>
      <c r="AS70" s="94">
        <v>6.28</v>
      </c>
      <c r="AT70" s="94">
        <v>6.25</v>
      </c>
      <c r="AU70" s="168">
        <f t="shared" si="51"/>
        <v>6.2533333333333339</v>
      </c>
      <c r="AV70" s="237">
        <f t="shared" si="52"/>
        <v>1633.9965253221405</v>
      </c>
      <c r="AW70" s="27">
        <f t="shared" si="63"/>
        <v>3.7636299683433063</v>
      </c>
      <c r="AX70" s="27">
        <f t="shared" si="64"/>
        <v>1.7286537454164395</v>
      </c>
      <c r="AY70" s="27">
        <f t="shared" si="65"/>
        <v>8.9865929384597703</v>
      </c>
      <c r="BA70">
        <f>STDEV(BA67:BA69)</f>
        <v>5.7735026918951087E-3</v>
      </c>
      <c r="BC70" s="280"/>
      <c r="BD70" s="280"/>
      <c r="BE70" s="75"/>
      <c r="BF70" s="75"/>
      <c r="BG70" s="75"/>
      <c r="BH70" s="75"/>
      <c r="BI70" s="75"/>
      <c r="BJ70" s="75"/>
      <c r="BK70" s="75"/>
      <c r="BL70" s="280"/>
      <c r="BM70" s="75"/>
      <c r="BN70" s="75"/>
      <c r="BO70" s="75"/>
      <c r="BP70" s="75"/>
      <c r="BQ70" s="75"/>
      <c r="BR70" s="75"/>
      <c r="BS70" s="75"/>
    </row>
    <row r="71" spans="1:71" x14ac:dyDescent="0.25">
      <c r="A71" s="521"/>
      <c r="B71" s="166" t="s">
        <v>25</v>
      </c>
      <c r="C71" s="187">
        <v>19</v>
      </c>
      <c r="D71" s="187">
        <v>18.95</v>
      </c>
      <c r="E71" s="187">
        <v>18.97</v>
      </c>
      <c r="F71" s="168">
        <f t="shared" si="41"/>
        <v>18.973333333333333</v>
      </c>
      <c r="G71" s="173">
        <v>6.47</v>
      </c>
      <c r="H71" s="173">
        <v>6.43</v>
      </c>
      <c r="I71" s="173">
        <v>6.43</v>
      </c>
      <c r="J71" s="168">
        <f t="shared" si="42"/>
        <v>6.4433333333333325</v>
      </c>
      <c r="K71" s="237">
        <f t="shared" si="43"/>
        <v>1821.7457040240454</v>
      </c>
      <c r="L71" s="521"/>
      <c r="M71" s="137" t="s">
        <v>25</v>
      </c>
      <c r="N71" s="173">
        <v>18.47</v>
      </c>
      <c r="O71" s="173">
        <v>18.37</v>
      </c>
      <c r="P71" s="173">
        <v>18.53</v>
      </c>
      <c r="Q71" s="168">
        <f t="shared" si="44"/>
        <v>18.456666666666667</v>
      </c>
      <c r="R71" s="189">
        <v>6.26</v>
      </c>
      <c r="S71" s="173">
        <v>6.33</v>
      </c>
      <c r="T71" s="173">
        <v>6.28</v>
      </c>
      <c r="U71" s="168">
        <f t="shared" si="45"/>
        <v>6.29</v>
      </c>
      <c r="V71" s="240">
        <f t="shared" si="59"/>
        <v>1682.8564219635816</v>
      </c>
      <c r="W71" s="27">
        <f t="shared" si="60"/>
        <v>2.7231201686577604</v>
      </c>
      <c r="X71" s="27">
        <f t="shared" si="61"/>
        <v>2.3797206414898984</v>
      </c>
      <c r="Y71" s="27">
        <f t="shared" si="62"/>
        <v>7.6239664928904123</v>
      </c>
      <c r="AA71" s="498"/>
      <c r="AB71" s="137" t="s">
        <v>25</v>
      </c>
      <c r="AC71" s="172">
        <v>18.649999999999999</v>
      </c>
      <c r="AD71" s="173">
        <v>18.670000000000002</v>
      </c>
      <c r="AE71" s="173">
        <v>18.940000000000001</v>
      </c>
      <c r="AF71" s="168">
        <f t="shared" si="47"/>
        <v>18.753333333333334</v>
      </c>
      <c r="AG71" s="189">
        <v>6.54</v>
      </c>
      <c r="AH71" s="173">
        <v>6.54</v>
      </c>
      <c r="AI71" s="173">
        <v>6.59</v>
      </c>
      <c r="AJ71" s="168">
        <f t="shared" si="48"/>
        <v>6.5566666666666675</v>
      </c>
      <c r="AK71" s="237">
        <f t="shared" si="49"/>
        <v>1811.0478823250958</v>
      </c>
      <c r="AL71" s="498"/>
      <c r="AM71" s="137" t="s">
        <v>25</v>
      </c>
      <c r="AN71" s="94">
        <v>17.96</v>
      </c>
      <c r="AO71" s="94">
        <v>18.07</v>
      </c>
      <c r="AP71" s="94">
        <v>18.100000000000001</v>
      </c>
      <c r="AQ71" s="168">
        <f t="shared" si="50"/>
        <v>18.043333333333333</v>
      </c>
      <c r="AR71" s="95">
        <v>6.46</v>
      </c>
      <c r="AS71" s="94">
        <v>6.41</v>
      </c>
      <c r="AT71" s="94">
        <v>6.39</v>
      </c>
      <c r="AU71" s="168">
        <f t="shared" si="51"/>
        <v>6.4200000000000008</v>
      </c>
      <c r="AV71" s="237">
        <f t="shared" si="52"/>
        <v>1641.5663996424814</v>
      </c>
      <c r="AW71" s="27">
        <f t="shared" si="63"/>
        <v>3.7859936011375801</v>
      </c>
      <c r="AX71" s="27">
        <f t="shared" si="64"/>
        <v>2.0843924758515509</v>
      </c>
      <c r="AY71" s="27">
        <f t="shared" si="65"/>
        <v>9.3581999866854559</v>
      </c>
      <c r="BA71">
        <f>_xlfn.STDEV.P(BA67:BA69)</f>
        <v>4.714045207909379E-3</v>
      </c>
      <c r="BC71" s="280"/>
      <c r="BD71" s="280"/>
      <c r="BE71" s="75"/>
      <c r="BF71" s="75"/>
      <c r="BG71" s="75"/>
      <c r="BH71" s="75"/>
      <c r="BI71" s="75"/>
      <c r="BJ71" s="75"/>
      <c r="BK71" s="75"/>
      <c r="BL71" s="280"/>
      <c r="BM71" s="75"/>
      <c r="BN71" s="75"/>
      <c r="BO71" s="75"/>
      <c r="BP71" s="75"/>
      <c r="BQ71" s="75"/>
      <c r="BR71" s="75"/>
      <c r="BS71" s="75"/>
    </row>
    <row r="72" spans="1:71" ht="15.75" x14ac:dyDescent="0.25">
      <c r="A72" s="521"/>
      <c r="B72" s="166" t="s">
        <v>26</v>
      </c>
      <c r="C72" s="187">
        <v>19.059999999999999</v>
      </c>
      <c r="D72" s="187">
        <v>19.03</v>
      </c>
      <c r="E72" s="187">
        <v>19.079999999999998</v>
      </c>
      <c r="F72" s="168">
        <f t="shared" si="41"/>
        <v>19.056666666666668</v>
      </c>
      <c r="G72" s="173">
        <v>6.36</v>
      </c>
      <c r="H72" s="173">
        <v>6.51</v>
      </c>
      <c r="I72" s="173">
        <v>6.45</v>
      </c>
      <c r="J72" s="168">
        <f t="shared" si="42"/>
        <v>6.44</v>
      </c>
      <c r="K72" s="237">
        <f t="shared" si="43"/>
        <v>1836.8327907288528</v>
      </c>
      <c r="L72" s="521"/>
      <c r="M72" s="137" t="s">
        <v>26</v>
      </c>
      <c r="N72" s="173">
        <v>18.510000000000002</v>
      </c>
      <c r="O72" s="173">
        <v>18.420000000000002</v>
      </c>
      <c r="P72" s="173">
        <v>18.54</v>
      </c>
      <c r="Q72" s="168">
        <f t="shared" si="44"/>
        <v>18.490000000000002</v>
      </c>
      <c r="R72" s="189">
        <v>6.33</v>
      </c>
      <c r="S72" s="173">
        <v>6.34</v>
      </c>
      <c r="T72" s="173">
        <v>6.36</v>
      </c>
      <c r="U72" s="168">
        <f t="shared" si="45"/>
        <v>6.3433333333333337</v>
      </c>
      <c r="V72" s="240">
        <f t="shared" si="59"/>
        <v>1703.2611367599495</v>
      </c>
      <c r="W72" s="27">
        <f t="shared" si="60"/>
        <v>2.9735875459156884</v>
      </c>
      <c r="X72" s="27">
        <f t="shared" si="61"/>
        <v>1.5010351966873707</v>
      </c>
      <c r="Y72" s="27">
        <f t="shared" si="62"/>
        <v>7.2718461170274651</v>
      </c>
      <c r="AA72" s="498"/>
      <c r="AB72" s="137" t="s">
        <v>26</v>
      </c>
      <c r="AC72" s="172">
        <v>18.96</v>
      </c>
      <c r="AD72" s="173">
        <v>18.78</v>
      </c>
      <c r="AE72" s="173">
        <v>18.96</v>
      </c>
      <c r="AF72" s="168">
        <f t="shared" si="47"/>
        <v>18.900000000000002</v>
      </c>
      <c r="AG72" s="189">
        <v>6.41</v>
      </c>
      <c r="AH72" s="173">
        <v>6.47</v>
      </c>
      <c r="AI72" s="173">
        <v>6.46</v>
      </c>
      <c r="AJ72" s="168">
        <f t="shared" si="48"/>
        <v>6.4466666666666663</v>
      </c>
      <c r="AK72" s="237">
        <f t="shared" si="49"/>
        <v>1808.6257291662992</v>
      </c>
      <c r="AL72" s="498"/>
      <c r="AM72" s="137" t="s">
        <v>26</v>
      </c>
      <c r="AN72" s="94">
        <v>18.28</v>
      </c>
      <c r="AO72" s="94">
        <v>18.27</v>
      </c>
      <c r="AP72" s="94">
        <v>18.21</v>
      </c>
      <c r="AQ72" s="168">
        <f t="shared" si="50"/>
        <v>18.253333333333334</v>
      </c>
      <c r="AR72" s="95">
        <v>6.33</v>
      </c>
      <c r="AS72" s="94">
        <v>6.35</v>
      </c>
      <c r="AT72" s="94">
        <v>6.32</v>
      </c>
      <c r="AU72" s="168">
        <f t="shared" si="51"/>
        <v>6.333333333333333</v>
      </c>
      <c r="AV72" s="237">
        <f t="shared" si="52"/>
        <v>1657.3208615651185</v>
      </c>
      <c r="AW72" s="27">
        <f t="shared" si="63"/>
        <v>3.4215167548500967</v>
      </c>
      <c r="AX72" s="27">
        <f t="shared" si="64"/>
        <v>1.7580144777662867</v>
      </c>
      <c r="AY72" s="27">
        <f t="shared" si="65"/>
        <v>8.3657367669388307</v>
      </c>
      <c r="BA72">
        <f>_xlfn.STDEV.S(BA67:BA69)</f>
        <v>5.7735026918951087E-3</v>
      </c>
      <c r="BC72" s="126"/>
      <c r="BD72" s="126"/>
      <c r="BE72" s="126"/>
      <c r="BF72" s="126"/>
      <c r="BG72" s="126"/>
      <c r="BH72" s="126"/>
      <c r="BI72" s="126"/>
      <c r="BJ72" s="126"/>
      <c r="BK72" s="126"/>
      <c r="BL72" s="126"/>
      <c r="BM72" s="126"/>
      <c r="BN72" s="126"/>
      <c r="BO72" s="126"/>
      <c r="BP72" s="126"/>
      <c r="BQ72" s="126"/>
      <c r="BR72" s="126"/>
      <c r="BS72" s="126"/>
    </row>
    <row r="73" spans="1:71" ht="15.75" thickBot="1" x14ac:dyDescent="0.3">
      <c r="A73" s="522"/>
      <c r="B73" s="185" t="s">
        <v>27</v>
      </c>
      <c r="C73" s="188">
        <v>19.100000000000001</v>
      </c>
      <c r="D73" s="188">
        <v>18.95</v>
      </c>
      <c r="E73" s="188">
        <v>19.170000000000002</v>
      </c>
      <c r="F73" s="169">
        <f t="shared" si="41"/>
        <v>19.073333333333334</v>
      </c>
      <c r="G73" s="179">
        <v>6.36</v>
      </c>
      <c r="H73" s="179">
        <v>6.31</v>
      </c>
      <c r="I73" s="179">
        <v>6.32</v>
      </c>
      <c r="J73" s="180">
        <f t="shared" si="42"/>
        <v>6.330000000000001</v>
      </c>
      <c r="K73" s="238">
        <f t="shared" si="43"/>
        <v>1808.6177505681567</v>
      </c>
      <c r="L73" s="522"/>
      <c r="M73" s="138" t="s">
        <v>27</v>
      </c>
      <c r="N73" s="179">
        <v>18.510000000000002</v>
      </c>
      <c r="O73" s="179">
        <v>18.46</v>
      </c>
      <c r="P73" s="179">
        <v>18.55</v>
      </c>
      <c r="Q73" s="169">
        <f t="shared" si="44"/>
        <v>18.506666666666664</v>
      </c>
      <c r="R73" s="190">
        <v>6.18</v>
      </c>
      <c r="S73" s="179">
        <v>6.19</v>
      </c>
      <c r="T73" s="179">
        <v>6.18</v>
      </c>
      <c r="U73" s="169">
        <f t="shared" si="45"/>
        <v>6.1833333333333336</v>
      </c>
      <c r="V73" s="241">
        <f t="shared" si="59"/>
        <v>1663.2937133686594</v>
      </c>
      <c r="W73" s="27">
        <f t="shared" si="60"/>
        <v>2.9709891646277695</v>
      </c>
      <c r="X73" s="27">
        <f t="shared" si="61"/>
        <v>2.3170089520800534</v>
      </c>
      <c r="Y73" s="61">
        <f>((K73-V73)/K73)*100</f>
        <v>8.0350885173965256</v>
      </c>
      <c r="AA73" s="499"/>
      <c r="AB73" s="138" t="s">
        <v>27</v>
      </c>
      <c r="AC73" s="178">
        <v>18.850000000000001</v>
      </c>
      <c r="AD73" s="179">
        <v>18.71</v>
      </c>
      <c r="AE73" s="179">
        <v>18.86</v>
      </c>
      <c r="AF73" s="169">
        <f t="shared" si="47"/>
        <v>18.806666666666668</v>
      </c>
      <c r="AG73" s="190">
        <v>6.5</v>
      </c>
      <c r="AH73" s="179">
        <v>6.42</v>
      </c>
      <c r="AI73" s="179">
        <v>6.46</v>
      </c>
      <c r="AJ73" s="169">
        <f t="shared" si="48"/>
        <v>6.46</v>
      </c>
      <c r="AK73" s="238">
        <f t="shared" si="49"/>
        <v>1794.5107055664309</v>
      </c>
      <c r="AL73" s="499"/>
      <c r="AM73" s="138" t="s">
        <v>27</v>
      </c>
      <c r="AN73" s="97">
        <v>18.329999999999998</v>
      </c>
      <c r="AO73" s="97">
        <v>18.16</v>
      </c>
      <c r="AP73" s="97">
        <v>18.27</v>
      </c>
      <c r="AQ73" s="169">
        <f t="shared" si="50"/>
        <v>18.25333333333333</v>
      </c>
      <c r="AR73" s="98">
        <v>6.3</v>
      </c>
      <c r="AS73" s="97">
        <v>6.39</v>
      </c>
      <c r="AT73" s="97">
        <v>6.34</v>
      </c>
      <c r="AU73" s="169">
        <f t="shared" si="51"/>
        <v>6.3433333333333337</v>
      </c>
      <c r="AV73" s="238">
        <f t="shared" si="52"/>
        <v>1659.937683978116</v>
      </c>
      <c r="AW73" s="27">
        <f t="shared" si="63"/>
        <v>2.9422190712513547</v>
      </c>
      <c r="AX73" s="27">
        <f t="shared" si="64"/>
        <v>1.8059855521155768</v>
      </c>
      <c r="AY73" s="61">
        <f>((AK73-AV73)/AK73)*100</f>
        <v>7.4991484403453299</v>
      </c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</row>
    <row r="74" spans="1:71" ht="16.5" thickBot="1" x14ac:dyDescent="0.3">
      <c r="A74" s="72" t="s">
        <v>199</v>
      </c>
      <c r="B74" s="182" t="s">
        <v>4</v>
      </c>
      <c r="C74" s="182"/>
      <c r="D74" s="182"/>
      <c r="E74" s="182"/>
      <c r="F74" s="182"/>
      <c r="G74" s="73"/>
      <c r="H74" s="73"/>
      <c r="I74" s="73"/>
      <c r="J74" s="74"/>
      <c r="K74" s="204"/>
      <c r="L74" s="72" t="s">
        <v>122</v>
      </c>
      <c r="M74" s="76" t="s">
        <v>200</v>
      </c>
      <c r="N74" s="73"/>
      <c r="O74" s="73"/>
      <c r="P74" s="73"/>
      <c r="Q74" s="73"/>
      <c r="R74" s="73"/>
      <c r="S74" s="73"/>
      <c r="T74" s="73"/>
      <c r="U74" s="74"/>
      <c r="V74" s="204"/>
      <c r="W74" s="204"/>
      <c r="X74" s="204"/>
      <c r="Y74" s="243"/>
      <c r="AA74" s="72" t="s">
        <v>201</v>
      </c>
      <c r="AB74" s="73" t="s">
        <v>4</v>
      </c>
      <c r="AC74" s="73"/>
      <c r="AD74" s="73"/>
      <c r="AE74" s="73"/>
      <c r="AF74" s="73"/>
      <c r="AG74" s="73"/>
      <c r="AH74" s="73"/>
      <c r="AI74" s="73"/>
      <c r="AJ74" s="74"/>
      <c r="AK74" s="204"/>
      <c r="AL74" s="72" t="s">
        <v>123</v>
      </c>
      <c r="AM74" s="76" t="s">
        <v>200</v>
      </c>
      <c r="AN74" s="73"/>
      <c r="AO74" s="73"/>
      <c r="AP74" s="73"/>
      <c r="AQ74" s="73"/>
      <c r="AR74" s="73"/>
      <c r="AS74" s="73"/>
      <c r="AT74" s="73"/>
      <c r="AU74" s="74"/>
      <c r="AV74" s="204"/>
      <c r="AW74" s="204"/>
      <c r="AX74" s="204"/>
      <c r="AY74" s="243"/>
      <c r="BC74" s="279"/>
      <c r="BD74" s="279"/>
      <c r="BE74" s="75"/>
      <c r="BF74" s="75"/>
      <c r="BG74" s="75"/>
      <c r="BH74" s="75"/>
      <c r="BI74" s="75"/>
      <c r="BJ74" s="75"/>
      <c r="BK74" s="75"/>
      <c r="BL74" s="279"/>
      <c r="BM74" s="75"/>
      <c r="BN74" s="75"/>
      <c r="BO74" s="75"/>
      <c r="BP74" s="75"/>
      <c r="BQ74" s="75"/>
      <c r="BR74" s="75"/>
      <c r="BS74" s="75"/>
    </row>
    <row r="75" spans="1:71" ht="15.75" thickBot="1" x14ac:dyDescent="0.3">
      <c r="A75" s="77" t="s">
        <v>12</v>
      </c>
      <c r="B75" s="78" t="s">
        <v>6</v>
      </c>
      <c r="C75" s="79" t="s">
        <v>13</v>
      </c>
      <c r="D75" s="79" t="s">
        <v>14</v>
      </c>
      <c r="E75" s="79" t="s">
        <v>15</v>
      </c>
      <c r="F75" s="80" t="s">
        <v>16</v>
      </c>
      <c r="G75" s="81" t="s">
        <v>17</v>
      </c>
      <c r="H75" s="82" t="s">
        <v>18</v>
      </c>
      <c r="I75" s="82" t="s">
        <v>19</v>
      </c>
      <c r="J75" s="83" t="s">
        <v>16</v>
      </c>
      <c r="K75" s="201" t="s">
        <v>183</v>
      </c>
      <c r="L75" s="77" t="s">
        <v>12</v>
      </c>
      <c r="M75" s="78" t="s">
        <v>6</v>
      </c>
      <c r="N75" s="79" t="s">
        <v>13</v>
      </c>
      <c r="O75" s="79" t="s">
        <v>14</v>
      </c>
      <c r="P75" s="79" t="s">
        <v>15</v>
      </c>
      <c r="Q75" s="80" t="s">
        <v>16</v>
      </c>
      <c r="R75" s="81" t="s">
        <v>17</v>
      </c>
      <c r="S75" s="82" t="s">
        <v>18</v>
      </c>
      <c r="T75" s="82" t="s">
        <v>19</v>
      </c>
      <c r="U75" s="83" t="s">
        <v>16</v>
      </c>
      <c r="V75" s="84" t="s">
        <v>183</v>
      </c>
      <c r="W75" s="201" t="s">
        <v>184</v>
      </c>
      <c r="X75" s="201" t="s">
        <v>185</v>
      </c>
      <c r="Y75" s="194" t="s">
        <v>186</v>
      </c>
      <c r="AA75" s="77" t="s">
        <v>12</v>
      </c>
      <c r="AB75" s="78" t="s">
        <v>6</v>
      </c>
      <c r="AC75" s="79" t="s">
        <v>13</v>
      </c>
      <c r="AD75" s="79" t="s">
        <v>14</v>
      </c>
      <c r="AE75" s="79" t="s">
        <v>15</v>
      </c>
      <c r="AF75" s="80" t="s">
        <v>16</v>
      </c>
      <c r="AG75" s="81" t="s">
        <v>17</v>
      </c>
      <c r="AH75" s="82" t="s">
        <v>18</v>
      </c>
      <c r="AI75" s="82" t="s">
        <v>19</v>
      </c>
      <c r="AJ75" s="83" t="s">
        <v>16</v>
      </c>
      <c r="AK75" s="80" t="s">
        <v>194</v>
      </c>
      <c r="AL75" s="77" t="s">
        <v>12</v>
      </c>
      <c r="AM75" s="78" t="s">
        <v>6</v>
      </c>
      <c r="AN75" s="79" t="s">
        <v>13</v>
      </c>
      <c r="AO75" s="79" t="s">
        <v>14</v>
      </c>
      <c r="AP75" s="79" t="s">
        <v>15</v>
      </c>
      <c r="AQ75" s="80" t="s">
        <v>16</v>
      </c>
      <c r="AR75" s="81" t="s">
        <v>17</v>
      </c>
      <c r="AS75" s="82" t="s">
        <v>18</v>
      </c>
      <c r="AT75" s="82" t="s">
        <v>19</v>
      </c>
      <c r="AU75" s="83" t="s">
        <v>16</v>
      </c>
      <c r="AV75" s="201" t="s">
        <v>183</v>
      </c>
      <c r="AW75" s="201" t="s">
        <v>184</v>
      </c>
      <c r="AX75" s="201" t="s">
        <v>185</v>
      </c>
      <c r="AY75" s="194" t="s">
        <v>186</v>
      </c>
      <c r="BC75" s="279"/>
      <c r="BD75" s="279"/>
      <c r="BE75" s="75"/>
      <c r="BF75" s="75"/>
      <c r="BG75" s="75"/>
      <c r="BH75" s="75"/>
      <c r="BI75" s="75"/>
      <c r="BJ75" s="75"/>
      <c r="BK75" s="75"/>
      <c r="BL75" s="279"/>
      <c r="BM75" s="75"/>
      <c r="BN75" s="75"/>
      <c r="BO75" s="75"/>
      <c r="BP75" s="75"/>
      <c r="BQ75" s="75"/>
      <c r="BR75" s="75"/>
      <c r="BS75" s="75"/>
    </row>
    <row r="76" spans="1:71" ht="15" customHeight="1" x14ac:dyDescent="0.25">
      <c r="A76" s="518" t="s">
        <v>195</v>
      </c>
      <c r="B76" s="174" t="s">
        <v>21</v>
      </c>
      <c r="C76" s="87">
        <v>18.82</v>
      </c>
      <c r="D76" s="87">
        <v>19.260000000000002</v>
      </c>
      <c r="E76" s="87">
        <v>18.899999999999999</v>
      </c>
      <c r="F76" s="167">
        <f>AVERAGE(C76:E76)</f>
        <v>18.993333333333332</v>
      </c>
      <c r="G76" s="90">
        <v>6.32</v>
      </c>
      <c r="H76" s="90">
        <v>6.3</v>
      </c>
      <c r="I76" s="90">
        <v>6.37</v>
      </c>
      <c r="J76" s="175">
        <f>AVERAGE(G76:I76)</f>
        <v>6.330000000000001</v>
      </c>
      <c r="K76" s="236">
        <f>PI()*((F76/2)^2)*J76</f>
        <v>1793.4776615882704</v>
      </c>
      <c r="L76" s="518" t="s">
        <v>195</v>
      </c>
      <c r="M76" s="141" t="s">
        <v>21</v>
      </c>
      <c r="N76" s="181">
        <v>18.77</v>
      </c>
      <c r="O76" s="181">
        <v>18.920000000000002</v>
      </c>
      <c r="P76" s="181">
        <v>18.420000000000002</v>
      </c>
      <c r="Q76" s="175">
        <f>AVERAGE(N76:P76)</f>
        <v>18.703333333333333</v>
      </c>
      <c r="R76" s="228">
        <v>6.21</v>
      </c>
      <c r="S76" s="181">
        <v>6.3</v>
      </c>
      <c r="T76" s="181">
        <v>6.53</v>
      </c>
      <c r="U76" s="175">
        <f>AVERAGE(R76:T76)</f>
        <v>6.3466666666666667</v>
      </c>
      <c r="V76" s="239">
        <f>PI()*((Q76/2)^2)*U76</f>
        <v>1743.7073519616151</v>
      </c>
      <c r="W76" s="23">
        <f>((F76-Q76)/F76)*100</f>
        <v>1.5268515268515224</v>
      </c>
      <c r="X76" s="23">
        <f>((J76-U76)/J76)*100</f>
        <v>-0.26329647182726251</v>
      </c>
      <c r="Y76" s="23">
        <f>((K76-V76)/K76)*100</f>
        <v>2.7750727367621408</v>
      </c>
      <c r="AA76" s="495" t="s">
        <v>196</v>
      </c>
      <c r="AB76" s="141" t="s">
        <v>21</v>
      </c>
      <c r="AC76" s="170">
        <v>19.079999999999998</v>
      </c>
      <c r="AD76" s="171">
        <v>19.010000000000002</v>
      </c>
      <c r="AE76" s="171">
        <v>19.100000000000001</v>
      </c>
      <c r="AF76" s="175">
        <f>AVERAGE(AC76:AE76)</f>
        <v>19.063333333333336</v>
      </c>
      <c r="AG76" s="228">
        <v>6.41</v>
      </c>
      <c r="AH76" s="181">
        <v>6.45</v>
      </c>
      <c r="AI76" s="181">
        <v>6.42</v>
      </c>
      <c r="AJ76" s="175">
        <f>AVERAGE(AG76:AI76)</f>
        <v>6.4266666666666667</v>
      </c>
      <c r="AK76" s="236">
        <f>PI()*((AF76/2)^2)*AJ76</f>
        <v>1834.3125603053588</v>
      </c>
      <c r="AL76" s="495" t="s">
        <v>196</v>
      </c>
      <c r="AM76" s="141" t="s">
        <v>21</v>
      </c>
      <c r="AN76" s="181">
        <v>18.46</v>
      </c>
      <c r="AO76" s="181">
        <v>18.54</v>
      </c>
      <c r="AP76" s="181">
        <v>18.41</v>
      </c>
      <c r="AQ76" s="175">
        <f>AVERAGE(AN76:AP76)</f>
        <v>18.47</v>
      </c>
      <c r="AR76" s="228">
        <v>6.22</v>
      </c>
      <c r="AS76" s="181">
        <v>6.22</v>
      </c>
      <c r="AT76" s="181">
        <v>6.21</v>
      </c>
      <c r="AU76" s="175">
        <f>AVERAGE(AR76:AT76)</f>
        <v>6.2166666666666659</v>
      </c>
      <c r="AV76" s="236">
        <f>PI()*((AQ76/2)^2)*AU76</f>
        <v>1665.6404291211277</v>
      </c>
      <c r="AW76" s="23">
        <f>((AF76-AQ76)/AF76)*100</f>
        <v>3.1124322433992155</v>
      </c>
      <c r="AX76" s="23">
        <f>((AJ76-AU76)/AJ76)*100</f>
        <v>3.2676348547717975</v>
      </c>
      <c r="AY76" s="23">
        <f>((AK76-AV76)/AK76)*100</f>
        <v>9.1953865897397673</v>
      </c>
      <c r="BC76" s="279"/>
      <c r="BD76" s="279"/>
      <c r="BE76" s="75"/>
      <c r="BF76" s="75"/>
      <c r="BG76" s="75"/>
      <c r="BH76" s="75"/>
      <c r="BI76" s="75"/>
      <c r="BJ76" s="75"/>
      <c r="BK76" s="75"/>
      <c r="BL76" s="279"/>
      <c r="BM76" s="75"/>
      <c r="BN76" s="75"/>
      <c r="BO76" s="75"/>
      <c r="BP76" s="75"/>
      <c r="BQ76" s="75"/>
      <c r="BR76" s="75"/>
      <c r="BS76" s="75"/>
    </row>
    <row r="77" spans="1:71" x14ac:dyDescent="0.25">
      <c r="A77" s="519"/>
      <c r="B77" s="183" t="s">
        <v>22</v>
      </c>
      <c r="C77" s="151">
        <v>19.11</v>
      </c>
      <c r="D77" s="151">
        <v>19.09</v>
      </c>
      <c r="E77" s="151">
        <v>19</v>
      </c>
      <c r="F77" s="168">
        <f t="shared" ref="F77:F89" si="66">AVERAGE(C77:E77)</f>
        <v>19.066666666666666</v>
      </c>
      <c r="G77" s="94">
        <v>6.75</v>
      </c>
      <c r="H77" s="94">
        <v>6.61</v>
      </c>
      <c r="I77" s="94">
        <v>6.53</v>
      </c>
      <c r="J77" s="168">
        <f t="shared" ref="J77:J89" si="67">AVERAGE(G77:I77)</f>
        <v>6.63</v>
      </c>
      <c r="K77" s="237">
        <f t="shared" ref="K77:K89" si="68">PI()*((F77/2)^2)*J77</f>
        <v>1893.0102168386595</v>
      </c>
      <c r="L77" s="519"/>
      <c r="M77" s="139" t="s">
        <v>22</v>
      </c>
      <c r="N77" s="173">
        <v>18.52</v>
      </c>
      <c r="O77" s="173">
        <v>18.62</v>
      </c>
      <c r="P77" s="173">
        <v>18.739999999999998</v>
      </c>
      <c r="Q77" s="168">
        <f t="shared" ref="Q77:Q89" si="69">AVERAGE(N77:P77)</f>
        <v>18.626666666666665</v>
      </c>
      <c r="R77" s="189">
        <v>6.57</v>
      </c>
      <c r="S77" s="173">
        <v>6.55</v>
      </c>
      <c r="T77" s="173">
        <v>6.5</v>
      </c>
      <c r="U77" s="168">
        <f t="shared" ref="U77:U89" si="70">AVERAGE(R77:T77)</f>
        <v>6.54</v>
      </c>
      <c r="V77" s="240">
        <f t="shared" ref="V77:V82" si="71">PI()*((Q77/2)^2)*U77</f>
        <v>1782.1239844845059</v>
      </c>
      <c r="W77" s="27">
        <f>((F77-Q77)/F77)*100</f>
        <v>2.3076923076923146</v>
      </c>
      <c r="X77" s="27">
        <f>((J77-U77)/J77)*100</f>
        <v>1.3574660633484141</v>
      </c>
      <c r="Y77" s="27">
        <f>((K77-V77)/K77)*100</f>
        <v>5.8576668719376732</v>
      </c>
      <c r="AA77" s="496"/>
      <c r="AB77" s="139" t="s">
        <v>22</v>
      </c>
      <c r="AC77" s="172">
        <v>19.059999999999999</v>
      </c>
      <c r="AD77" s="173">
        <v>19.010000000000002</v>
      </c>
      <c r="AE77" s="173">
        <v>19.079999999999998</v>
      </c>
      <c r="AF77" s="168">
        <f t="shared" ref="AF77:AF89" si="72">AVERAGE(AC77:AE77)</f>
        <v>19.05</v>
      </c>
      <c r="AG77" s="189">
        <v>6.37</v>
      </c>
      <c r="AH77" s="173">
        <v>6.66</v>
      </c>
      <c r="AI77" s="173">
        <v>6.7</v>
      </c>
      <c r="AJ77" s="168">
        <f t="shared" ref="AJ77:AJ89" si="73">AVERAGE(AG77:AI77)</f>
        <v>6.5766666666666671</v>
      </c>
      <c r="AK77" s="237">
        <f t="shared" ref="AK77:AK89" si="74">PI()*((AF77/2)^2)*AJ77</f>
        <v>1874.5009804863057</v>
      </c>
      <c r="AL77" s="496"/>
      <c r="AM77" s="139" t="s">
        <v>22</v>
      </c>
      <c r="AN77" s="173">
        <v>18.52</v>
      </c>
      <c r="AO77" s="173">
        <v>18.46</v>
      </c>
      <c r="AP77" s="173">
        <v>18.37</v>
      </c>
      <c r="AQ77" s="168">
        <f t="shared" ref="AQ77:AQ89" si="75">AVERAGE(AN77:AP77)</f>
        <v>18.450000000000003</v>
      </c>
      <c r="AR77" s="189">
        <v>6.44</v>
      </c>
      <c r="AS77" s="173">
        <v>6.34</v>
      </c>
      <c r="AT77" s="173">
        <v>6.35</v>
      </c>
      <c r="AU77" s="168">
        <f t="shared" ref="AU77:AU89" si="76">AVERAGE(AR77:AT77)</f>
        <v>6.3766666666666678</v>
      </c>
      <c r="AV77" s="237">
        <f t="shared" ref="AV77:AV89" si="77">PI()*((AQ77/2)^2)*AU77</f>
        <v>1704.8113875943891</v>
      </c>
      <c r="AW77" s="27">
        <f>((AF77-AQ77)/AF77)*100</f>
        <v>3.1496062992125875</v>
      </c>
      <c r="AX77" s="27">
        <f>((AJ77-AU77)/AJ77)*100</f>
        <v>3.0410542321337957</v>
      </c>
      <c r="AY77" s="27">
        <f>((AK77-AV77)/AK77)*100</f>
        <v>9.0525208926747904</v>
      </c>
      <c r="BC77" s="279"/>
      <c r="BD77" s="279"/>
      <c r="BE77" s="75"/>
      <c r="BF77" s="75"/>
      <c r="BG77" s="75"/>
      <c r="BH77" s="75"/>
      <c r="BI77" s="75"/>
      <c r="BJ77" s="75"/>
      <c r="BK77" s="75"/>
      <c r="BL77" s="279"/>
      <c r="BM77" s="75"/>
      <c r="BN77" s="75"/>
      <c r="BO77" s="75"/>
      <c r="BP77" s="75"/>
      <c r="BQ77" s="75"/>
      <c r="BR77" s="75"/>
      <c r="BS77" s="75"/>
    </row>
    <row r="78" spans="1:71" x14ac:dyDescent="0.25">
      <c r="A78" s="519"/>
      <c r="B78" s="183" t="s">
        <v>23</v>
      </c>
      <c r="C78" s="151">
        <v>18.690000000000001</v>
      </c>
      <c r="D78" s="151">
        <v>19.11</v>
      </c>
      <c r="E78" s="151">
        <v>18.72</v>
      </c>
      <c r="F78" s="168">
        <f t="shared" si="66"/>
        <v>18.84</v>
      </c>
      <c r="G78" s="94">
        <v>6.34</v>
      </c>
      <c r="H78" s="94">
        <v>6.44</v>
      </c>
      <c r="I78" s="94">
        <v>6.64</v>
      </c>
      <c r="J78" s="168">
        <f t="shared" si="67"/>
        <v>6.4733333333333336</v>
      </c>
      <c r="K78" s="237">
        <f t="shared" si="68"/>
        <v>1804.5945819864744</v>
      </c>
      <c r="L78" s="519"/>
      <c r="M78" s="139" t="s">
        <v>23</v>
      </c>
      <c r="N78" s="173">
        <v>18.61</v>
      </c>
      <c r="O78" s="173">
        <v>18.75</v>
      </c>
      <c r="P78" s="173">
        <v>18.329999999999998</v>
      </c>
      <c r="Q78" s="168">
        <f t="shared" si="69"/>
        <v>18.563333333333333</v>
      </c>
      <c r="R78" s="189">
        <v>6.3</v>
      </c>
      <c r="S78" s="173">
        <v>6.35</v>
      </c>
      <c r="T78" s="173">
        <v>6.47</v>
      </c>
      <c r="U78" s="168">
        <f t="shared" si="70"/>
        <v>6.3733333333333322</v>
      </c>
      <c r="V78" s="240">
        <f t="shared" si="71"/>
        <v>1724.9179473001268</v>
      </c>
      <c r="W78" s="27">
        <f t="shared" ref="W78:W82" si="78">((F78-Q78)/F78)*100</f>
        <v>1.4685067232837965</v>
      </c>
      <c r="X78" s="27">
        <f t="shared" ref="X78:X82" si="79">((J78-U78)/J78)*100</f>
        <v>1.544799176107128</v>
      </c>
      <c r="Y78" s="27">
        <f t="shared" ref="Y78:Y81" si="80">((K78-V78)/K78)*100</f>
        <v>4.4152096809822288</v>
      </c>
      <c r="AA78" s="496"/>
      <c r="AB78" s="139" t="s">
        <v>23</v>
      </c>
      <c r="AC78" s="172">
        <v>18.97</v>
      </c>
      <c r="AD78" s="173">
        <v>19.02</v>
      </c>
      <c r="AE78" s="173">
        <v>19.05</v>
      </c>
      <c r="AF78" s="168">
        <f t="shared" si="72"/>
        <v>19.013333333333332</v>
      </c>
      <c r="AG78" s="189">
        <v>6.62</v>
      </c>
      <c r="AH78" s="173">
        <v>6.64</v>
      </c>
      <c r="AI78" s="173">
        <v>6.65</v>
      </c>
      <c r="AJ78" s="168">
        <f t="shared" si="73"/>
        <v>6.6366666666666667</v>
      </c>
      <c r="AK78" s="237">
        <f t="shared" si="74"/>
        <v>1884.3276068646894</v>
      </c>
      <c r="AL78" s="496"/>
      <c r="AM78" s="139" t="s">
        <v>23</v>
      </c>
      <c r="AN78" s="173">
        <v>18.399999999999999</v>
      </c>
      <c r="AO78" s="173">
        <v>18.420000000000002</v>
      </c>
      <c r="AP78" s="173">
        <v>18.420000000000002</v>
      </c>
      <c r="AQ78" s="168">
        <f t="shared" si="75"/>
        <v>18.413333333333334</v>
      </c>
      <c r="AR78" s="189">
        <v>6.49</v>
      </c>
      <c r="AS78" s="173">
        <v>6.4</v>
      </c>
      <c r="AT78" s="173">
        <v>6.35</v>
      </c>
      <c r="AU78" s="168">
        <f t="shared" si="76"/>
        <v>6.413333333333334</v>
      </c>
      <c r="AV78" s="237">
        <f t="shared" si="77"/>
        <v>1707.8059595004656</v>
      </c>
      <c r="AW78" s="27">
        <f t="shared" ref="AW78:AW82" si="81">((AF78-AQ78)/AF78)*100</f>
        <v>3.1556802244039157</v>
      </c>
      <c r="AX78" s="27">
        <f t="shared" ref="AX78:AX82" si="82">((AJ78-AU78)/AJ78)*100</f>
        <v>3.3651431441486599</v>
      </c>
      <c r="AY78" s="27">
        <f t="shared" ref="AY78:AY80" si="83">((AK78-AV78)/AK78)*100</f>
        <v>9.3678852191703594</v>
      </c>
      <c r="BC78" s="279"/>
      <c r="BD78" s="279"/>
      <c r="BE78" s="75"/>
      <c r="BF78" s="75"/>
      <c r="BG78" s="75"/>
      <c r="BH78" s="75"/>
      <c r="BI78" s="75"/>
      <c r="BJ78" s="75"/>
      <c r="BK78" s="75"/>
      <c r="BL78" s="279"/>
      <c r="BM78" s="75"/>
      <c r="BN78" s="75"/>
      <c r="BO78" s="75"/>
      <c r="BP78" s="75"/>
      <c r="BQ78" s="75"/>
      <c r="BR78" s="75"/>
      <c r="BS78" s="75"/>
    </row>
    <row r="79" spans="1:71" x14ac:dyDescent="0.25">
      <c r="A79" s="519"/>
      <c r="B79" s="183" t="s">
        <v>24</v>
      </c>
      <c r="C79" s="151">
        <v>18.82</v>
      </c>
      <c r="D79" s="151">
        <v>18.95</v>
      </c>
      <c r="E79" s="151">
        <v>18.91</v>
      </c>
      <c r="F79" s="168">
        <f t="shared" si="66"/>
        <v>18.893333333333331</v>
      </c>
      <c r="G79" s="94">
        <v>6.53</v>
      </c>
      <c r="H79" s="94">
        <v>6.27</v>
      </c>
      <c r="I79" s="94">
        <v>6.35</v>
      </c>
      <c r="J79" s="168">
        <f t="shared" si="67"/>
        <v>6.3833333333333329</v>
      </c>
      <c r="K79" s="237">
        <f t="shared" si="68"/>
        <v>1789.5942622310354</v>
      </c>
      <c r="L79" s="519"/>
      <c r="M79" s="139" t="s">
        <v>24</v>
      </c>
      <c r="N79" s="173">
        <v>18.62</v>
      </c>
      <c r="O79" s="173">
        <v>18.52</v>
      </c>
      <c r="P79" s="173">
        <v>18.54</v>
      </c>
      <c r="Q79" s="168">
        <f t="shared" si="69"/>
        <v>18.559999999999999</v>
      </c>
      <c r="R79" s="189">
        <v>6.42</v>
      </c>
      <c r="S79" s="173">
        <v>6.25</v>
      </c>
      <c r="T79" s="173">
        <v>6.03</v>
      </c>
      <c r="U79" s="168">
        <f t="shared" si="70"/>
        <v>6.2333333333333334</v>
      </c>
      <c r="V79" s="240">
        <f t="shared" si="71"/>
        <v>1686.4216809885218</v>
      </c>
      <c r="W79" s="27">
        <f t="shared" si="78"/>
        <v>1.7642907551164371</v>
      </c>
      <c r="X79" s="27">
        <f t="shared" si="79"/>
        <v>2.3498694516971197</v>
      </c>
      <c r="Y79" s="27">
        <f t="shared" si="80"/>
        <v>5.7651381332599572</v>
      </c>
      <c r="AA79" s="496"/>
      <c r="AB79" s="139" t="s">
        <v>24</v>
      </c>
      <c r="AC79" s="172">
        <v>18.97</v>
      </c>
      <c r="AD79" s="173">
        <v>18.920000000000002</v>
      </c>
      <c r="AE79" s="173">
        <v>19.03</v>
      </c>
      <c r="AF79" s="168">
        <f t="shared" si="72"/>
        <v>18.973333333333333</v>
      </c>
      <c r="AG79" s="189">
        <v>6.57</v>
      </c>
      <c r="AH79" s="173">
        <v>6.71</v>
      </c>
      <c r="AI79" s="173">
        <v>6.72</v>
      </c>
      <c r="AJ79" s="168">
        <f t="shared" si="73"/>
        <v>6.666666666666667</v>
      </c>
      <c r="AK79" s="237">
        <f t="shared" si="74"/>
        <v>1884.8895023528667</v>
      </c>
      <c r="AL79" s="496"/>
      <c r="AM79" s="139" t="s">
        <v>24</v>
      </c>
      <c r="AN79" s="173">
        <v>18.399999999999999</v>
      </c>
      <c r="AO79" s="173">
        <v>18.420000000000002</v>
      </c>
      <c r="AP79" s="173">
        <v>18.399999999999999</v>
      </c>
      <c r="AQ79" s="168">
        <f t="shared" si="75"/>
        <v>18.406666666666666</v>
      </c>
      <c r="AR79" s="189">
        <v>6.44</v>
      </c>
      <c r="AS79" s="173">
        <v>6.46</v>
      </c>
      <c r="AT79" s="173">
        <v>6.53</v>
      </c>
      <c r="AU79" s="168">
        <f t="shared" si="76"/>
        <v>6.4766666666666666</v>
      </c>
      <c r="AV79" s="237">
        <f t="shared" si="77"/>
        <v>1723.4223566290248</v>
      </c>
      <c r="AW79" s="27">
        <f t="shared" si="81"/>
        <v>2.9866479269149671</v>
      </c>
      <c r="AX79" s="27">
        <f t="shared" si="82"/>
        <v>2.8500000000000059</v>
      </c>
      <c r="AY79" s="27">
        <f t="shared" si="83"/>
        <v>8.5663984823665249</v>
      </c>
      <c r="BC79" s="279"/>
      <c r="BD79" s="279"/>
      <c r="BE79" s="75"/>
      <c r="BF79" s="75"/>
      <c r="BG79" s="75"/>
      <c r="BH79" s="75"/>
      <c r="BI79" s="75"/>
      <c r="BJ79" s="75"/>
      <c r="BK79" s="75"/>
      <c r="BL79" s="279"/>
      <c r="BM79" s="75"/>
      <c r="BN79" s="75"/>
      <c r="BO79" s="75"/>
      <c r="BP79" s="75"/>
      <c r="BQ79" s="75"/>
      <c r="BR79" s="75"/>
      <c r="BS79" s="75"/>
    </row>
    <row r="80" spans="1:71" x14ac:dyDescent="0.25">
      <c r="A80" s="519"/>
      <c r="B80" s="183" t="s">
        <v>25</v>
      </c>
      <c r="C80" s="151">
        <v>18.75</v>
      </c>
      <c r="D80" s="151">
        <v>19.100000000000001</v>
      </c>
      <c r="E80" s="151">
        <v>18.760000000000002</v>
      </c>
      <c r="F80" s="168">
        <f t="shared" si="66"/>
        <v>18.87</v>
      </c>
      <c r="G80" s="94">
        <v>6.31</v>
      </c>
      <c r="H80" s="94">
        <v>6.32</v>
      </c>
      <c r="I80" s="94">
        <v>6.61</v>
      </c>
      <c r="J80" s="168">
        <f t="shared" si="67"/>
        <v>6.4133333333333331</v>
      </c>
      <c r="K80" s="237">
        <f t="shared" si="68"/>
        <v>1793.5665456220206</v>
      </c>
      <c r="L80" s="519"/>
      <c r="M80" s="139" t="s">
        <v>25</v>
      </c>
      <c r="N80" s="173">
        <v>18.48</v>
      </c>
      <c r="O80" s="173">
        <v>18.850000000000001</v>
      </c>
      <c r="P80" s="173">
        <v>18.559999999999999</v>
      </c>
      <c r="Q80" s="168">
        <f t="shared" si="69"/>
        <v>18.63</v>
      </c>
      <c r="R80" s="189">
        <v>6.37</v>
      </c>
      <c r="S80" s="173">
        <v>6.58</v>
      </c>
      <c r="T80" s="173">
        <v>6.49</v>
      </c>
      <c r="U80" s="168">
        <f t="shared" si="70"/>
        <v>6.4799999999999995</v>
      </c>
      <c r="V80" s="240">
        <f t="shared" si="71"/>
        <v>1766.4062676185652</v>
      </c>
      <c r="W80" s="27">
        <f t="shared" si="78"/>
        <v>1.2718600953895176</v>
      </c>
      <c r="X80" s="27">
        <f t="shared" si="79"/>
        <v>-1.039501039501036</v>
      </c>
      <c r="Y80" s="27">
        <f t="shared" si="80"/>
        <v>1.5143167154713013</v>
      </c>
      <c r="AA80" s="496"/>
      <c r="AB80" s="139" t="s">
        <v>25</v>
      </c>
      <c r="AC80" s="172">
        <v>19</v>
      </c>
      <c r="AD80" s="173">
        <v>19.059999999999999</v>
      </c>
      <c r="AE80" s="173">
        <v>19.010000000000002</v>
      </c>
      <c r="AF80" s="168">
        <f t="shared" si="72"/>
        <v>19.023333333333337</v>
      </c>
      <c r="AG80" s="189">
        <v>6.5</v>
      </c>
      <c r="AH80" s="173">
        <v>6.51</v>
      </c>
      <c r="AI80" s="173">
        <v>6.6</v>
      </c>
      <c r="AJ80" s="168">
        <f t="shared" si="73"/>
        <v>6.5366666666666662</v>
      </c>
      <c r="AK80" s="237">
        <f t="shared" si="74"/>
        <v>1857.8876847993295</v>
      </c>
      <c r="AL80" s="496"/>
      <c r="AM80" s="139" t="s">
        <v>25</v>
      </c>
      <c r="AN80" s="173">
        <v>18.5</v>
      </c>
      <c r="AO80" s="173">
        <v>18.61</v>
      </c>
      <c r="AP80" s="173">
        <v>18.350000000000001</v>
      </c>
      <c r="AQ80" s="168">
        <f t="shared" si="75"/>
        <v>18.486666666666668</v>
      </c>
      <c r="AR80" s="189">
        <v>6.38</v>
      </c>
      <c r="AS80" s="173">
        <v>6.43</v>
      </c>
      <c r="AT80" s="173">
        <v>6.36</v>
      </c>
      <c r="AU80" s="168">
        <f t="shared" si="76"/>
        <v>6.39</v>
      </c>
      <c r="AV80" s="237">
        <f t="shared" si="77"/>
        <v>1715.1731149335624</v>
      </c>
      <c r="AW80" s="27">
        <f t="shared" si="81"/>
        <v>2.8210968985456568</v>
      </c>
      <c r="AX80" s="27">
        <f t="shared" si="82"/>
        <v>2.2437531871494114</v>
      </c>
      <c r="AY80" s="27">
        <f t="shared" si="83"/>
        <v>7.6815499146376922</v>
      </c>
      <c r="BC80" s="279"/>
      <c r="BD80" s="279"/>
      <c r="BE80" s="75"/>
      <c r="BF80" s="75"/>
      <c r="BG80" s="75"/>
      <c r="BH80" s="75"/>
      <c r="BI80" s="75"/>
      <c r="BJ80" s="75"/>
      <c r="BK80" s="75"/>
      <c r="BL80" s="279"/>
      <c r="BM80" s="75"/>
      <c r="BN80" s="75"/>
      <c r="BO80" s="75"/>
      <c r="BP80" s="75"/>
      <c r="BQ80" s="75"/>
      <c r="BR80" s="75"/>
      <c r="BS80" s="75"/>
    </row>
    <row r="81" spans="1:71" x14ac:dyDescent="0.25">
      <c r="A81" s="519"/>
      <c r="B81" s="183" t="s">
        <v>26</v>
      </c>
      <c r="C81" s="151">
        <v>18.940000000000001</v>
      </c>
      <c r="D81" s="151">
        <v>18.71</v>
      </c>
      <c r="E81" s="151">
        <v>18.86</v>
      </c>
      <c r="F81" s="168">
        <f t="shared" si="66"/>
        <v>18.83666666666667</v>
      </c>
      <c r="G81" s="94">
        <v>6.68</v>
      </c>
      <c r="H81" s="94">
        <v>6.78</v>
      </c>
      <c r="I81" s="94">
        <v>6.58</v>
      </c>
      <c r="J81" s="168">
        <f t="shared" si="67"/>
        <v>6.68</v>
      </c>
      <c r="K81" s="237">
        <f t="shared" si="68"/>
        <v>1861.5489002230374</v>
      </c>
      <c r="L81" s="519"/>
      <c r="M81" s="139" t="s">
        <v>26</v>
      </c>
      <c r="N81" s="173">
        <v>18.46</v>
      </c>
      <c r="O81" s="173">
        <v>18.559999999999999</v>
      </c>
      <c r="P81" s="173">
        <v>18.34</v>
      </c>
      <c r="Q81" s="168">
        <f t="shared" si="69"/>
        <v>18.453333333333333</v>
      </c>
      <c r="R81" s="189">
        <v>6.58</v>
      </c>
      <c r="S81" s="173">
        <v>6.42</v>
      </c>
      <c r="T81" s="173">
        <v>6.56</v>
      </c>
      <c r="U81" s="168">
        <f t="shared" si="70"/>
        <v>6.52</v>
      </c>
      <c r="V81" s="240">
        <f t="shared" si="71"/>
        <v>1743.7616838285189</v>
      </c>
      <c r="W81" s="27">
        <f t="shared" si="78"/>
        <v>2.0350380463634918</v>
      </c>
      <c r="X81" s="27">
        <f t="shared" si="79"/>
        <v>2.3952095808383254</v>
      </c>
      <c r="Y81" s="27">
        <f t="shared" si="80"/>
        <v>6.3273769698129385</v>
      </c>
      <c r="AA81" s="496"/>
      <c r="AB81" s="139" t="s">
        <v>26</v>
      </c>
      <c r="AC81" s="172">
        <v>18.989999999999998</v>
      </c>
      <c r="AD81" s="173">
        <v>19.05</v>
      </c>
      <c r="AE81" s="173">
        <v>19</v>
      </c>
      <c r="AF81" s="168">
        <f t="shared" si="72"/>
        <v>19.013333333333332</v>
      </c>
      <c r="AG81" s="189">
        <v>6.45</v>
      </c>
      <c r="AH81" s="173">
        <v>6.46</v>
      </c>
      <c r="AI81" s="173">
        <v>6.48</v>
      </c>
      <c r="AJ81" s="168">
        <f t="shared" si="73"/>
        <v>6.4633333333333338</v>
      </c>
      <c r="AK81" s="237">
        <f t="shared" si="74"/>
        <v>1835.1136261730953</v>
      </c>
      <c r="AL81" s="496"/>
      <c r="AM81" s="139" t="s">
        <v>26</v>
      </c>
      <c r="AN81" s="173">
        <v>18.98</v>
      </c>
      <c r="AO81" s="173">
        <v>18.5</v>
      </c>
      <c r="AP81" s="173">
        <v>18.899999999999999</v>
      </c>
      <c r="AQ81" s="168">
        <f t="shared" si="75"/>
        <v>18.793333333333333</v>
      </c>
      <c r="AR81" s="189">
        <v>6.21</v>
      </c>
      <c r="AS81" s="173">
        <v>6.25</v>
      </c>
      <c r="AT81" s="173">
        <v>6.29</v>
      </c>
      <c r="AU81" s="168">
        <f t="shared" si="76"/>
        <v>6.25</v>
      </c>
      <c r="AV81" s="237">
        <f t="shared" si="77"/>
        <v>1733.7143039884636</v>
      </c>
      <c r="AW81" s="27">
        <f t="shared" si="81"/>
        <v>1.1570827489481006</v>
      </c>
      <c r="AX81" s="27">
        <f t="shared" si="82"/>
        <v>3.3006704486848961</v>
      </c>
      <c r="AY81" s="27">
        <f>((AK81-AV81)/AK81)*100</f>
        <v>5.5255064721026343</v>
      </c>
      <c r="BC81" s="280"/>
      <c r="BD81" s="280"/>
      <c r="BE81" s="75"/>
      <c r="BF81" s="75"/>
      <c r="BG81" s="75"/>
      <c r="BH81" s="75"/>
      <c r="BI81" s="75"/>
      <c r="BJ81" s="75"/>
      <c r="BK81" s="75"/>
      <c r="BL81" s="280"/>
      <c r="BM81" s="75"/>
      <c r="BN81" s="75"/>
      <c r="BO81" s="75"/>
      <c r="BP81" s="75"/>
      <c r="BQ81" s="75"/>
      <c r="BR81" s="75"/>
      <c r="BS81" s="75"/>
    </row>
    <row r="82" spans="1:71" ht="15.75" thickBot="1" x14ac:dyDescent="0.3">
      <c r="A82" s="520"/>
      <c r="B82" s="184" t="s">
        <v>27</v>
      </c>
      <c r="C82" s="152">
        <v>18.87</v>
      </c>
      <c r="D82" s="152">
        <v>19.11</v>
      </c>
      <c r="E82" s="152">
        <v>18.98</v>
      </c>
      <c r="F82" s="169">
        <f t="shared" si="66"/>
        <v>18.986666666666668</v>
      </c>
      <c r="G82" s="97">
        <v>6.29</v>
      </c>
      <c r="H82" s="97">
        <v>6.57</v>
      </c>
      <c r="I82" s="97">
        <v>6.41</v>
      </c>
      <c r="J82" s="180">
        <f t="shared" si="67"/>
        <v>6.4233333333333329</v>
      </c>
      <c r="K82" s="238">
        <f t="shared" si="68"/>
        <v>1818.6444145135433</v>
      </c>
      <c r="L82" s="520"/>
      <c r="M82" s="140" t="s">
        <v>27</v>
      </c>
      <c r="N82" s="179">
        <v>18.57</v>
      </c>
      <c r="O82" s="179">
        <v>18.920000000000002</v>
      </c>
      <c r="P82" s="179">
        <v>18.5</v>
      </c>
      <c r="Q82" s="180">
        <f t="shared" si="69"/>
        <v>18.663333333333334</v>
      </c>
      <c r="R82" s="190">
        <v>6.34</v>
      </c>
      <c r="S82" s="179">
        <v>6.35</v>
      </c>
      <c r="T82" s="179">
        <v>6.7</v>
      </c>
      <c r="U82" s="180">
        <f t="shared" si="70"/>
        <v>6.4633333333333338</v>
      </c>
      <c r="V82" s="241">
        <f t="shared" si="71"/>
        <v>1768.1734342847167</v>
      </c>
      <c r="W82" s="27">
        <f t="shared" si="78"/>
        <v>1.7029494382022514</v>
      </c>
      <c r="X82" s="27">
        <f t="shared" si="79"/>
        <v>-0.62272963155164907</v>
      </c>
      <c r="Y82" s="61">
        <f>((K82-V82)/K82)*100</f>
        <v>2.7751978246020559</v>
      </c>
      <c r="AA82" s="497"/>
      <c r="AB82" s="140" t="s">
        <v>27</v>
      </c>
      <c r="AC82" s="178">
        <v>18.920000000000002</v>
      </c>
      <c r="AD82" s="179">
        <v>19.07</v>
      </c>
      <c r="AE82" s="179">
        <v>19</v>
      </c>
      <c r="AF82" s="180">
        <f t="shared" si="72"/>
        <v>18.996666666666666</v>
      </c>
      <c r="AG82" s="190">
        <v>6.58</v>
      </c>
      <c r="AH82" s="179">
        <v>6.8</v>
      </c>
      <c r="AI82" s="179">
        <v>6.52</v>
      </c>
      <c r="AJ82" s="180">
        <f t="shared" si="73"/>
        <v>6.6333333333333329</v>
      </c>
      <c r="AK82" s="238">
        <f t="shared" si="74"/>
        <v>1880.0807709068836</v>
      </c>
      <c r="AL82" s="497"/>
      <c r="AM82" s="140" t="s">
        <v>27</v>
      </c>
      <c r="AN82" s="179">
        <v>18.59</v>
      </c>
      <c r="AO82" s="179">
        <v>18.440000000000001</v>
      </c>
      <c r="AP82" s="179">
        <v>18.47</v>
      </c>
      <c r="AQ82" s="180">
        <f t="shared" si="75"/>
        <v>18.5</v>
      </c>
      <c r="AR82" s="190">
        <v>6.44</v>
      </c>
      <c r="AS82" s="179">
        <v>6.52</v>
      </c>
      <c r="AT82" s="179">
        <v>6.34</v>
      </c>
      <c r="AU82" s="180">
        <f t="shared" si="76"/>
        <v>6.4333333333333336</v>
      </c>
      <c r="AV82" s="238">
        <f t="shared" si="77"/>
        <v>1729.2962211531967</v>
      </c>
      <c r="AW82" s="27">
        <f t="shared" si="81"/>
        <v>2.6144937708369862</v>
      </c>
      <c r="AX82" s="27">
        <f t="shared" si="82"/>
        <v>3.0150753768844116</v>
      </c>
      <c r="AY82" s="61">
        <f>((AK82-AV82)/AK82)*100</f>
        <v>8.0201102041458459</v>
      </c>
      <c r="BC82" s="280"/>
      <c r="BD82" s="280"/>
      <c r="BE82" s="75"/>
      <c r="BF82" s="75"/>
      <c r="BG82" s="75"/>
      <c r="BH82" s="75"/>
      <c r="BI82" s="75"/>
      <c r="BJ82" s="75"/>
      <c r="BK82" s="75"/>
      <c r="BL82" s="280"/>
      <c r="BM82" s="75"/>
      <c r="BN82" s="75"/>
      <c r="BO82" s="75"/>
      <c r="BP82" s="75"/>
      <c r="BQ82" s="75"/>
      <c r="BR82" s="75"/>
      <c r="BS82" s="75"/>
    </row>
    <row r="83" spans="1:71" ht="15" customHeight="1" x14ac:dyDescent="0.25">
      <c r="A83" s="521" t="s">
        <v>197</v>
      </c>
      <c r="B83" s="144" t="s">
        <v>21</v>
      </c>
      <c r="C83" s="87">
        <v>18.87</v>
      </c>
      <c r="D83" s="87">
        <v>18.829999999999998</v>
      </c>
      <c r="E83" s="87">
        <v>19.02</v>
      </c>
      <c r="F83" s="167">
        <f t="shared" si="66"/>
        <v>18.906666666666666</v>
      </c>
      <c r="G83" s="94">
        <v>6.63</v>
      </c>
      <c r="H83" s="94">
        <v>6.63</v>
      </c>
      <c r="I83" s="94">
        <v>6.63</v>
      </c>
      <c r="J83" s="175">
        <f t="shared" si="67"/>
        <v>6.63</v>
      </c>
      <c r="K83" s="236">
        <f>PI()*((F83/2)^2)*J83</f>
        <v>1861.3727200560891</v>
      </c>
      <c r="L83" s="521" t="s">
        <v>197</v>
      </c>
      <c r="M83" s="137" t="s">
        <v>21</v>
      </c>
      <c r="N83" s="173">
        <v>18.34</v>
      </c>
      <c r="O83" s="173">
        <v>18.2</v>
      </c>
      <c r="P83" s="173">
        <v>18.350000000000001</v>
      </c>
      <c r="Q83" s="175">
        <f t="shared" si="69"/>
        <v>18.296666666666667</v>
      </c>
      <c r="R83" s="189">
        <v>6.36</v>
      </c>
      <c r="S83" s="173">
        <v>6.35</v>
      </c>
      <c r="T83" s="173">
        <v>6.33</v>
      </c>
      <c r="U83" s="175">
        <f t="shared" si="70"/>
        <v>6.3466666666666667</v>
      </c>
      <c r="V83" s="239">
        <f>PI()*((Q83/2)^2)*U83</f>
        <v>1668.7048293234723</v>
      </c>
      <c r="W83" s="23">
        <f>((F83-Q83)/F83)*100</f>
        <v>3.2263751763046513</v>
      </c>
      <c r="X83" s="23">
        <f>((J83-U83)/J83)*100</f>
        <v>4.2735042735042716</v>
      </c>
      <c r="Y83" s="23">
        <f>((K83-V83)/K83)*100</f>
        <v>10.350849599150196</v>
      </c>
      <c r="AA83" s="498" t="s">
        <v>198</v>
      </c>
      <c r="AB83" s="137" t="s">
        <v>21</v>
      </c>
      <c r="AC83" s="172">
        <v>18.87</v>
      </c>
      <c r="AD83" s="173">
        <v>18.899999999999999</v>
      </c>
      <c r="AE83" s="173">
        <v>18.920000000000002</v>
      </c>
      <c r="AF83" s="175">
        <f t="shared" si="72"/>
        <v>18.896666666666665</v>
      </c>
      <c r="AG83" s="189">
        <v>6.43</v>
      </c>
      <c r="AH83" s="173">
        <v>6.4</v>
      </c>
      <c r="AI83" s="173">
        <v>6.44</v>
      </c>
      <c r="AJ83" s="175">
        <f t="shared" si="73"/>
        <v>6.4233333333333329</v>
      </c>
      <c r="AK83" s="236">
        <f>PI()*((AF83/2)^2)*AJ83</f>
        <v>1801.4439159187907</v>
      </c>
      <c r="AL83" s="498" t="s">
        <v>198</v>
      </c>
      <c r="AM83" s="137" t="s">
        <v>21</v>
      </c>
      <c r="AN83" s="173">
        <v>18.100000000000001</v>
      </c>
      <c r="AO83" s="173">
        <v>18.149999999999999</v>
      </c>
      <c r="AP83" s="173">
        <v>18.14</v>
      </c>
      <c r="AQ83" s="175">
        <f t="shared" si="75"/>
        <v>18.13</v>
      </c>
      <c r="AR83" s="189">
        <v>6.26</v>
      </c>
      <c r="AS83" s="173">
        <v>6.22</v>
      </c>
      <c r="AT83" s="173">
        <v>6.58</v>
      </c>
      <c r="AU83" s="175">
        <f t="shared" si="76"/>
        <v>6.3533333333333344</v>
      </c>
      <c r="AV83" s="236">
        <f>PI()*((AQ83/2)^2)*AU83</f>
        <v>1640.1634554695754</v>
      </c>
      <c r="AW83" s="23">
        <f>((AF83-AQ83)/AF83)*100</f>
        <v>4.0571529370259256</v>
      </c>
      <c r="AX83" s="23">
        <f>((AJ83-AU83)/AJ83)*100</f>
        <v>1.0897768552153375</v>
      </c>
      <c r="AY83" s="23">
        <f>((AK83-AV83)/AK83)*100</f>
        <v>8.9528438284439957</v>
      </c>
      <c r="BC83" s="280"/>
      <c r="BD83" s="280"/>
      <c r="BE83" s="75"/>
      <c r="BF83" s="75"/>
      <c r="BG83" s="75"/>
      <c r="BH83" s="75"/>
      <c r="BI83" s="75"/>
      <c r="BJ83" s="75"/>
      <c r="BK83" s="75"/>
      <c r="BL83" s="280"/>
      <c r="BM83" s="75"/>
      <c r="BN83" s="75"/>
      <c r="BO83" s="75"/>
      <c r="BP83" s="75"/>
      <c r="BQ83" s="75"/>
      <c r="BR83" s="75"/>
      <c r="BS83" s="75"/>
    </row>
    <row r="84" spans="1:71" x14ac:dyDescent="0.25">
      <c r="A84" s="521"/>
      <c r="B84" s="166" t="s">
        <v>22</v>
      </c>
      <c r="C84" s="151">
        <v>18.87</v>
      </c>
      <c r="D84" s="151">
        <v>18.87</v>
      </c>
      <c r="E84" s="151">
        <v>18.829999999999998</v>
      </c>
      <c r="F84" s="168">
        <f t="shared" si="66"/>
        <v>18.856666666666666</v>
      </c>
      <c r="G84" s="94">
        <v>6.56</v>
      </c>
      <c r="H84" s="94">
        <v>6.32</v>
      </c>
      <c r="I84" s="94">
        <v>6.45</v>
      </c>
      <c r="J84" s="168">
        <f t="shared" si="67"/>
        <v>6.4433333333333325</v>
      </c>
      <c r="K84" s="237">
        <f t="shared" si="68"/>
        <v>1799.4108246337094</v>
      </c>
      <c r="L84" s="521"/>
      <c r="M84" s="137" t="s">
        <v>22</v>
      </c>
      <c r="N84" s="173">
        <v>18.09</v>
      </c>
      <c r="O84" s="173">
        <v>18.170000000000002</v>
      </c>
      <c r="P84" s="173">
        <v>18.29</v>
      </c>
      <c r="Q84" s="168">
        <f t="shared" si="69"/>
        <v>18.183333333333334</v>
      </c>
      <c r="R84" s="189">
        <v>6.23</v>
      </c>
      <c r="S84" s="173">
        <v>6.33</v>
      </c>
      <c r="T84" s="173">
        <v>6.15</v>
      </c>
      <c r="U84" s="168">
        <f t="shared" si="70"/>
        <v>6.2366666666666672</v>
      </c>
      <c r="V84" s="240">
        <f t="shared" ref="V84:V89" si="84">PI()*((Q84/2)^2)*U84</f>
        <v>1619.5315561968416</v>
      </c>
      <c r="W84" s="27">
        <f>((F84-Q84)/F84)*100</f>
        <v>3.5707972423545979</v>
      </c>
      <c r="X84" s="27">
        <f>((J84-U84)/J84)*100</f>
        <v>3.2074495602689899</v>
      </c>
      <c r="Y84" s="27">
        <f>((K84-V84)/K84)*100</f>
        <v>9.9965647629959218</v>
      </c>
      <c r="AA84" s="498"/>
      <c r="AB84" s="137" t="s">
        <v>22</v>
      </c>
      <c r="AC84" s="172">
        <v>19.899999999999999</v>
      </c>
      <c r="AD84" s="173">
        <v>18.77</v>
      </c>
      <c r="AE84" s="173">
        <v>18.95</v>
      </c>
      <c r="AF84" s="168">
        <f t="shared" si="72"/>
        <v>19.206666666666667</v>
      </c>
      <c r="AG84" s="189">
        <v>6.47</v>
      </c>
      <c r="AH84" s="173">
        <v>6.52</v>
      </c>
      <c r="AI84" s="173">
        <v>6.39</v>
      </c>
      <c r="AJ84" s="168">
        <f t="shared" si="73"/>
        <v>6.46</v>
      </c>
      <c r="AK84" s="237">
        <f t="shared" si="74"/>
        <v>1871.6575816114757</v>
      </c>
      <c r="AL84" s="498"/>
      <c r="AM84" s="137" t="s">
        <v>22</v>
      </c>
      <c r="AN84" s="173">
        <v>17.989999999999998</v>
      </c>
      <c r="AO84" s="173">
        <v>18.190000000000001</v>
      </c>
      <c r="AP84" s="173">
        <v>17.96</v>
      </c>
      <c r="AQ84" s="168">
        <f t="shared" si="75"/>
        <v>18.046666666666667</v>
      </c>
      <c r="AR84" s="189">
        <v>6.27</v>
      </c>
      <c r="AS84" s="173">
        <v>6.33</v>
      </c>
      <c r="AT84" s="173">
        <v>6.34</v>
      </c>
      <c r="AU84" s="168">
        <f t="shared" si="76"/>
        <v>6.3133333333333326</v>
      </c>
      <c r="AV84" s="237">
        <f t="shared" si="77"/>
        <v>1614.8886967414442</v>
      </c>
      <c r="AW84" s="27">
        <f>((AF84-AQ84)/AF84)*100</f>
        <v>6.0395695938910112</v>
      </c>
      <c r="AX84" s="27">
        <f>((AJ84-AU84)/AJ84)*100</f>
        <v>2.2703818369453157</v>
      </c>
      <c r="AY84" s="27">
        <f>((AK84-AV84)/AK84)*100</f>
        <v>13.718795969557448</v>
      </c>
      <c r="BC84" s="280"/>
      <c r="BD84" s="280"/>
      <c r="BE84" s="75"/>
      <c r="BF84" s="75"/>
      <c r="BG84" s="75"/>
      <c r="BH84" s="75"/>
      <c r="BI84" s="75"/>
      <c r="BJ84" s="75"/>
      <c r="BK84" s="75"/>
      <c r="BL84" s="280"/>
      <c r="BM84" s="75"/>
      <c r="BN84" s="75"/>
      <c r="BO84" s="75"/>
      <c r="BP84" s="75"/>
      <c r="BQ84" s="75"/>
      <c r="BR84" s="75"/>
      <c r="BS84" s="75"/>
    </row>
    <row r="85" spans="1:71" x14ac:dyDescent="0.25">
      <c r="A85" s="521"/>
      <c r="B85" s="166" t="s">
        <v>23</v>
      </c>
      <c r="C85" s="151">
        <v>18.91</v>
      </c>
      <c r="D85" s="151">
        <v>18.600000000000001</v>
      </c>
      <c r="E85" s="151">
        <v>18.96</v>
      </c>
      <c r="F85" s="168">
        <f t="shared" si="66"/>
        <v>18.823333333333334</v>
      </c>
      <c r="G85" s="94">
        <v>6.65</v>
      </c>
      <c r="H85" s="94">
        <v>6.71</v>
      </c>
      <c r="I85" s="94">
        <v>6.67</v>
      </c>
      <c r="J85" s="168">
        <f t="shared" si="67"/>
        <v>6.6766666666666667</v>
      </c>
      <c r="K85" s="237">
        <f t="shared" si="68"/>
        <v>1857.9868758749772</v>
      </c>
      <c r="L85" s="521"/>
      <c r="M85" s="137" t="s">
        <v>23</v>
      </c>
      <c r="N85" s="173">
        <v>18.28</v>
      </c>
      <c r="O85" s="173">
        <v>17.82</v>
      </c>
      <c r="P85" s="173">
        <v>18.27</v>
      </c>
      <c r="Q85" s="168">
        <f t="shared" si="69"/>
        <v>18.123333333333335</v>
      </c>
      <c r="R85" s="189">
        <v>6.38</v>
      </c>
      <c r="S85" s="173">
        <v>6.4</v>
      </c>
      <c r="T85" s="173">
        <v>6.45</v>
      </c>
      <c r="U85" s="168">
        <f t="shared" si="70"/>
        <v>6.41</v>
      </c>
      <c r="V85" s="240">
        <f t="shared" si="84"/>
        <v>1653.5756464115725</v>
      </c>
      <c r="W85" s="27">
        <f t="shared" ref="W85:W89" si="85">((F85-Q85)/F85)*100</f>
        <v>3.7187887373826771</v>
      </c>
      <c r="X85" s="27">
        <f t="shared" ref="X85:X89" si="86">((J85-U85)/J85)*100</f>
        <v>3.9940089865202184</v>
      </c>
      <c r="Y85" s="27">
        <f t="shared" ref="Y85:Y88" si="87">((K85-V85)/K85)*100</f>
        <v>11.001758522494502</v>
      </c>
      <c r="AA85" s="498"/>
      <c r="AB85" s="137" t="s">
        <v>23</v>
      </c>
      <c r="AC85" s="172">
        <v>19.88</v>
      </c>
      <c r="AD85" s="173">
        <v>18.87</v>
      </c>
      <c r="AE85" s="173">
        <v>18.91</v>
      </c>
      <c r="AF85" s="168">
        <f t="shared" si="72"/>
        <v>19.22</v>
      </c>
      <c r="AG85" s="189">
        <v>6.49</v>
      </c>
      <c r="AH85" s="173">
        <v>6.53</v>
      </c>
      <c r="AI85" s="173">
        <v>6.51</v>
      </c>
      <c r="AJ85" s="168">
        <f t="shared" si="73"/>
        <v>6.5100000000000007</v>
      </c>
      <c r="AK85" s="237">
        <f t="shared" si="74"/>
        <v>1888.7637396623707</v>
      </c>
      <c r="AL85" s="498"/>
      <c r="AM85" s="137" t="s">
        <v>23</v>
      </c>
      <c r="AN85" s="173">
        <v>18.12</v>
      </c>
      <c r="AO85" s="173">
        <v>18.100000000000001</v>
      </c>
      <c r="AP85" s="173">
        <v>18.02</v>
      </c>
      <c r="AQ85" s="168">
        <f t="shared" si="75"/>
        <v>18.079999999999998</v>
      </c>
      <c r="AR85" s="189">
        <v>6.41</v>
      </c>
      <c r="AS85" s="173">
        <v>6.36</v>
      </c>
      <c r="AT85" s="173">
        <v>6.38</v>
      </c>
      <c r="AU85" s="168">
        <f t="shared" si="76"/>
        <v>6.3833333333333329</v>
      </c>
      <c r="AV85" s="237">
        <f t="shared" si="77"/>
        <v>1638.8313275074693</v>
      </c>
      <c r="AW85" s="27">
        <f t="shared" ref="AW85:AW89" si="88">((AF85-AQ85)/AF85)*100</f>
        <v>5.9313215400624379</v>
      </c>
      <c r="AX85" s="27">
        <f t="shared" ref="AX85:AX89" si="89">((AJ85-AU85)/AJ85)*100</f>
        <v>1.9457245263697052</v>
      </c>
      <c r="AY85" s="27">
        <f t="shared" ref="AY85:AY88" si="90">((AK85-AV85)/AK85)*100</f>
        <v>13.232592669296928</v>
      </c>
      <c r="BC85" s="280"/>
      <c r="BD85" s="280"/>
      <c r="BE85" s="75"/>
      <c r="BF85" s="75"/>
      <c r="BG85" s="75"/>
      <c r="BH85" s="75"/>
      <c r="BI85" s="75"/>
      <c r="BJ85" s="75"/>
      <c r="BK85" s="75"/>
      <c r="BL85" s="280"/>
      <c r="BM85" s="75"/>
      <c r="BN85" s="75"/>
      <c r="BO85" s="75"/>
      <c r="BP85" s="75"/>
      <c r="BQ85" s="75"/>
      <c r="BR85" s="75"/>
      <c r="BS85" s="75"/>
    </row>
    <row r="86" spans="1:71" x14ac:dyDescent="0.25">
      <c r="A86" s="521"/>
      <c r="B86" s="166" t="s">
        <v>24</v>
      </c>
      <c r="C86" s="151">
        <v>18.920000000000002</v>
      </c>
      <c r="D86" s="151">
        <v>18.73</v>
      </c>
      <c r="E86" s="151">
        <v>18.91</v>
      </c>
      <c r="F86" s="168">
        <f t="shared" si="66"/>
        <v>18.853333333333335</v>
      </c>
      <c r="G86" s="94">
        <v>6.54</v>
      </c>
      <c r="H86" s="94">
        <v>6.6</v>
      </c>
      <c r="I86" s="94">
        <v>6.58</v>
      </c>
      <c r="J86" s="168">
        <f t="shared" si="67"/>
        <v>6.5733333333333333</v>
      </c>
      <c r="K86" s="237">
        <f t="shared" si="68"/>
        <v>1835.0665944366767</v>
      </c>
      <c r="L86" s="521"/>
      <c r="M86" s="137" t="s">
        <v>24</v>
      </c>
      <c r="N86" s="173">
        <v>17.989999999999998</v>
      </c>
      <c r="O86" s="173">
        <v>18.079999999999998</v>
      </c>
      <c r="P86" s="173">
        <v>18.149999999999999</v>
      </c>
      <c r="Q86" s="168">
        <f t="shared" si="69"/>
        <v>18.073333333333331</v>
      </c>
      <c r="R86" s="189">
        <v>6.31</v>
      </c>
      <c r="S86" s="173">
        <v>6.32</v>
      </c>
      <c r="T86" s="173">
        <v>6.34</v>
      </c>
      <c r="U86" s="168">
        <f t="shared" si="70"/>
        <v>6.3233333333333333</v>
      </c>
      <c r="V86" s="240">
        <f t="shared" si="84"/>
        <v>1622.2301718653484</v>
      </c>
      <c r="W86" s="27">
        <f t="shared" si="85"/>
        <v>4.1371994342291618</v>
      </c>
      <c r="X86" s="27">
        <f t="shared" si="86"/>
        <v>3.8032454361054771</v>
      </c>
      <c r="Y86" s="27">
        <f t="shared" si="87"/>
        <v>11.598294209952865</v>
      </c>
      <c r="AA86" s="498"/>
      <c r="AB86" s="137" t="s">
        <v>24</v>
      </c>
      <c r="AC86" s="172">
        <v>19.88</v>
      </c>
      <c r="AD86" s="173">
        <v>18.850000000000001</v>
      </c>
      <c r="AE86" s="173">
        <v>18.95</v>
      </c>
      <c r="AF86" s="168">
        <f t="shared" si="72"/>
        <v>19.22666666666667</v>
      </c>
      <c r="AG86" s="189">
        <v>6.39</v>
      </c>
      <c r="AH86" s="173">
        <v>6.44</v>
      </c>
      <c r="AI86" s="173">
        <v>6.45</v>
      </c>
      <c r="AJ86" s="168">
        <f t="shared" si="73"/>
        <v>6.4266666666666667</v>
      </c>
      <c r="AK86" s="237">
        <f t="shared" si="74"/>
        <v>1865.8797447536833</v>
      </c>
      <c r="AL86" s="498"/>
      <c r="AM86" s="137" t="s">
        <v>24</v>
      </c>
      <c r="AN86" s="173">
        <v>18.25</v>
      </c>
      <c r="AO86" s="173">
        <v>18.91</v>
      </c>
      <c r="AP86" s="173">
        <v>18.27</v>
      </c>
      <c r="AQ86" s="168">
        <f t="shared" si="75"/>
        <v>18.476666666666663</v>
      </c>
      <c r="AR86" s="189">
        <v>6.29</v>
      </c>
      <c r="AS86" s="173">
        <v>6.34</v>
      </c>
      <c r="AT86" s="173">
        <v>6.29</v>
      </c>
      <c r="AU86" s="168">
        <f t="shared" si="76"/>
        <v>6.3066666666666658</v>
      </c>
      <c r="AV86" s="237">
        <f t="shared" si="77"/>
        <v>1690.9742975259005</v>
      </c>
      <c r="AW86" s="27">
        <f t="shared" si="88"/>
        <v>3.9008321775312429</v>
      </c>
      <c r="AX86" s="27">
        <f t="shared" si="89"/>
        <v>1.8672199170124637</v>
      </c>
      <c r="AY86" s="27">
        <f t="shared" si="90"/>
        <v>9.3738863782388222</v>
      </c>
      <c r="BC86" s="280"/>
      <c r="BD86" s="280"/>
      <c r="BE86" s="75"/>
      <c r="BF86" s="75"/>
      <c r="BG86" s="75"/>
      <c r="BH86" s="75"/>
      <c r="BI86" s="75"/>
      <c r="BJ86" s="75"/>
      <c r="BK86" s="75"/>
      <c r="BL86" s="280"/>
      <c r="BM86" s="75"/>
      <c r="BN86" s="75"/>
      <c r="BO86" s="75"/>
      <c r="BP86" s="75"/>
      <c r="BQ86" s="75"/>
      <c r="BR86" s="75"/>
      <c r="BS86" s="75"/>
    </row>
    <row r="87" spans="1:71" x14ac:dyDescent="0.25">
      <c r="A87" s="521"/>
      <c r="B87" s="166" t="s">
        <v>25</v>
      </c>
      <c r="C87" s="151">
        <v>18.8</v>
      </c>
      <c r="D87" s="151">
        <v>18.82</v>
      </c>
      <c r="E87" s="151">
        <v>18.88</v>
      </c>
      <c r="F87" s="168">
        <f t="shared" si="66"/>
        <v>18.833333333333332</v>
      </c>
      <c r="G87" s="94">
        <v>6.59</v>
      </c>
      <c r="H87" s="94">
        <v>6.66</v>
      </c>
      <c r="I87" s="94">
        <v>6.6</v>
      </c>
      <c r="J87" s="168">
        <f t="shared" si="67"/>
        <v>6.6166666666666671</v>
      </c>
      <c r="K87" s="237">
        <f t="shared" si="68"/>
        <v>1843.2469499646022</v>
      </c>
      <c r="L87" s="521"/>
      <c r="M87" s="137" t="s">
        <v>25</v>
      </c>
      <c r="N87" s="173">
        <v>17.899999999999999</v>
      </c>
      <c r="O87" s="173">
        <v>18.059999999999999</v>
      </c>
      <c r="P87" s="173">
        <v>17.89</v>
      </c>
      <c r="Q87" s="168">
        <f t="shared" si="69"/>
        <v>17.95</v>
      </c>
      <c r="R87" s="189">
        <v>6.46</v>
      </c>
      <c r="S87" s="173">
        <v>6.42</v>
      </c>
      <c r="T87" s="173">
        <v>6.39</v>
      </c>
      <c r="U87" s="168">
        <f t="shared" si="70"/>
        <v>6.4233333333333329</v>
      </c>
      <c r="V87" s="240">
        <f t="shared" si="84"/>
        <v>1625.4710803565392</v>
      </c>
      <c r="W87" s="27">
        <f t="shared" si="85"/>
        <v>4.6902654867256617</v>
      </c>
      <c r="X87" s="27">
        <f t="shared" si="86"/>
        <v>2.9219143576826334</v>
      </c>
      <c r="Y87" s="27">
        <f t="shared" si="87"/>
        <v>11.814796146129261</v>
      </c>
      <c r="AA87" s="498"/>
      <c r="AB87" s="137" t="s">
        <v>25</v>
      </c>
      <c r="AC87" s="172">
        <v>19.010000000000002</v>
      </c>
      <c r="AD87" s="173">
        <v>18.87</v>
      </c>
      <c r="AE87" s="173">
        <v>18.989999999999998</v>
      </c>
      <c r="AF87" s="168">
        <f t="shared" si="72"/>
        <v>18.956666666666667</v>
      </c>
      <c r="AG87" s="189">
        <v>6.61</v>
      </c>
      <c r="AH87" s="173">
        <v>6.71</v>
      </c>
      <c r="AI87" s="173">
        <v>6.62</v>
      </c>
      <c r="AJ87" s="168">
        <f t="shared" si="73"/>
        <v>6.6466666666666674</v>
      </c>
      <c r="AK87" s="237">
        <f t="shared" si="74"/>
        <v>1875.9347469701806</v>
      </c>
      <c r="AL87" s="498"/>
      <c r="AM87" s="137" t="s">
        <v>25</v>
      </c>
      <c r="AN87" s="173">
        <v>18.3</v>
      </c>
      <c r="AO87" s="173">
        <v>17.97</v>
      </c>
      <c r="AP87" s="173">
        <v>18.34</v>
      </c>
      <c r="AQ87" s="168">
        <f t="shared" si="75"/>
        <v>18.203333333333333</v>
      </c>
      <c r="AR87" s="189">
        <v>6.45</v>
      </c>
      <c r="AS87" s="173">
        <v>6.44</v>
      </c>
      <c r="AT87" s="173">
        <v>6.52</v>
      </c>
      <c r="AU87" s="168">
        <f t="shared" si="76"/>
        <v>6.47</v>
      </c>
      <c r="AV87" s="237">
        <f t="shared" si="77"/>
        <v>1683.8213260188163</v>
      </c>
      <c r="AW87" s="27">
        <f t="shared" si="88"/>
        <v>3.9739757341304758</v>
      </c>
      <c r="AX87" s="27">
        <f t="shared" si="89"/>
        <v>2.65797392176531</v>
      </c>
      <c r="AY87" s="27">
        <f t="shared" si="90"/>
        <v>10.240943682164128</v>
      </c>
      <c r="BC87" s="280"/>
      <c r="BD87" s="280"/>
      <c r="BE87" s="75"/>
      <c r="BF87" s="75"/>
      <c r="BG87" s="75"/>
      <c r="BH87" s="75"/>
      <c r="BI87" s="75"/>
      <c r="BJ87" s="75"/>
      <c r="BK87" s="75"/>
      <c r="BL87" s="280"/>
      <c r="BM87" s="75"/>
      <c r="BN87" s="75"/>
      <c r="BO87" s="75"/>
      <c r="BP87" s="75"/>
      <c r="BQ87" s="75"/>
      <c r="BR87" s="75"/>
      <c r="BS87" s="75"/>
    </row>
    <row r="88" spans="1:71" ht="15.75" x14ac:dyDescent="0.25">
      <c r="A88" s="521"/>
      <c r="B88" s="166" t="s">
        <v>26</v>
      </c>
      <c r="C88" s="151">
        <v>18.940000000000001</v>
      </c>
      <c r="D88" s="151">
        <v>18.75</v>
      </c>
      <c r="E88" s="151">
        <v>18.78</v>
      </c>
      <c r="F88" s="168">
        <f t="shared" si="66"/>
        <v>18.823333333333334</v>
      </c>
      <c r="G88" s="94">
        <v>6.59</v>
      </c>
      <c r="H88" s="94">
        <v>6.65</v>
      </c>
      <c r="I88" s="94">
        <v>6.74</v>
      </c>
      <c r="J88" s="168">
        <f t="shared" si="67"/>
        <v>6.66</v>
      </c>
      <c r="K88" s="237">
        <f t="shared" si="68"/>
        <v>1853.3488657005514</v>
      </c>
      <c r="L88" s="521"/>
      <c r="M88" s="137" t="s">
        <v>26</v>
      </c>
      <c r="N88" s="173">
        <v>18.21</v>
      </c>
      <c r="O88" s="173">
        <v>18.02</v>
      </c>
      <c r="P88" s="173">
        <v>18.39</v>
      </c>
      <c r="Q88" s="168">
        <f t="shared" si="69"/>
        <v>18.206666666666667</v>
      </c>
      <c r="R88" s="189">
        <v>6.45</v>
      </c>
      <c r="S88" s="173">
        <v>6.47</v>
      </c>
      <c r="T88" s="173">
        <v>6.39</v>
      </c>
      <c r="U88" s="168">
        <f t="shared" si="70"/>
        <v>6.4366666666666665</v>
      </c>
      <c r="V88" s="240">
        <f t="shared" si="84"/>
        <v>1675.7598568217491</v>
      </c>
      <c r="W88" s="27">
        <f t="shared" si="85"/>
        <v>3.2760757924561741</v>
      </c>
      <c r="X88" s="27">
        <f t="shared" si="86"/>
        <v>3.3533533533533575</v>
      </c>
      <c r="Y88" s="27">
        <f t="shared" si="87"/>
        <v>9.5820604617617473</v>
      </c>
      <c r="AA88" s="498"/>
      <c r="AB88" s="137" t="s">
        <v>26</v>
      </c>
      <c r="AC88" s="172">
        <v>18.84</v>
      </c>
      <c r="AD88" s="173">
        <v>19.16</v>
      </c>
      <c r="AE88" s="173">
        <v>18.71</v>
      </c>
      <c r="AF88" s="168">
        <f t="shared" si="72"/>
        <v>18.903333333333332</v>
      </c>
      <c r="AG88" s="189">
        <v>6.52</v>
      </c>
      <c r="AH88" s="173">
        <v>6.42</v>
      </c>
      <c r="AI88" s="173">
        <v>6.41</v>
      </c>
      <c r="AJ88" s="168">
        <f t="shared" si="73"/>
        <v>6.45</v>
      </c>
      <c r="AK88" s="237">
        <f t="shared" si="74"/>
        <v>1810.1992521337174</v>
      </c>
      <c r="AL88" s="498"/>
      <c r="AM88" s="137" t="s">
        <v>26</v>
      </c>
      <c r="AN88" s="173">
        <v>17.96</v>
      </c>
      <c r="AO88" s="173">
        <v>18.28</v>
      </c>
      <c r="AP88" s="173">
        <v>18.03</v>
      </c>
      <c r="AQ88" s="168">
        <f t="shared" si="75"/>
        <v>18.09</v>
      </c>
      <c r="AR88" s="189">
        <v>6.36</v>
      </c>
      <c r="AS88" s="173">
        <v>6.38</v>
      </c>
      <c r="AT88" s="173">
        <v>6.39</v>
      </c>
      <c r="AU88" s="168">
        <f t="shared" si="76"/>
        <v>6.376666666666666</v>
      </c>
      <c r="AV88" s="237">
        <f t="shared" si="77"/>
        <v>1638.9312283212582</v>
      </c>
      <c r="AW88" s="27">
        <f t="shared" si="88"/>
        <v>4.3025921354258472</v>
      </c>
      <c r="AX88" s="27">
        <f t="shared" si="89"/>
        <v>1.1369509043927772</v>
      </c>
      <c r="AY88" s="27">
        <f t="shared" si="90"/>
        <v>9.4612802215326415</v>
      </c>
      <c r="BC88" s="126"/>
      <c r="BD88" s="126"/>
      <c r="BE88" s="126"/>
      <c r="BF88" s="126"/>
      <c r="BG88" s="126"/>
      <c r="BH88" s="126"/>
      <c r="BI88" s="126"/>
      <c r="BJ88" s="126"/>
      <c r="BK88" s="126"/>
      <c r="BL88" s="126"/>
      <c r="BM88" s="126"/>
      <c r="BN88" s="126"/>
      <c r="BO88" s="126"/>
      <c r="BP88" s="126"/>
      <c r="BQ88" s="126"/>
      <c r="BR88" s="126"/>
      <c r="BS88" s="126"/>
    </row>
    <row r="89" spans="1:71" ht="15.75" thickBot="1" x14ac:dyDescent="0.3">
      <c r="A89" s="522"/>
      <c r="B89" s="185" t="s">
        <v>27</v>
      </c>
      <c r="C89" s="152">
        <v>18.739999999999998</v>
      </c>
      <c r="D89" s="152">
        <v>18.95</v>
      </c>
      <c r="E89" s="152">
        <v>18.75</v>
      </c>
      <c r="F89" s="169">
        <f t="shared" si="66"/>
        <v>18.813333333333333</v>
      </c>
      <c r="G89" s="97">
        <v>6.5</v>
      </c>
      <c r="H89" s="97">
        <v>6.7</v>
      </c>
      <c r="I89" s="97">
        <v>6.74</v>
      </c>
      <c r="J89" s="180">
        <f t="shared" si="67"/>
        <v>6.6466666666666656</v>
      </c>
      <c r="K89" s="238">
        <f t="shared" si="68"/>
        <v>1847.6737182563586</v>
      </c>
      <c r="L89" s="522"/>
      <c r="M89" s="138" t="s">
        <v>27</v>
      </c>
      <c r="N89" s="179">
        <v>18.100000000000001</v>
      </c>
      <c r="O89" s="179">
        <v>18.3</v>
      </c>
      <c r="P89" s="179">
        <v>18.09</v>
      </c>
      <c r="Q89" s="180">
        <f t="shared" si="69"/>
        <v>18.163333333333338</v>
      </c>
      <c r="R89" s="190">
        <v>6.27</v>
      </c>
      <c r="S89" s="179">
        <v>6.43</v>
      </c>
      <c r="T89" s="179">
        <v>6.35</v>
      </c>
      <c r="U89" s="180">
        <f t="shared" si="70"/>
        <v>6.3499999999999988</v>
      </c>
      <c r="V89" s="241">
        <f t="shared" si="84"/>
        <v>1645.3364275020504</v>
      </c>
      <c r="W89" s="27">
        <f t="shared" si="85"/>
        <v>3.4549964564138649</v>
      </c>
      <c r="X89" s="27">
        <f t="shared" si="86"/>
        <v>4.4633901705115377</v>
      </c>
      <c r="Y89" s="61">
        <f>((K89-V89)/K89)*100</f>
        <v>10.950921082822623</v>
      </c>
      <c r="AA89" s="499"/>
      <c r="AB89" s="138" t="s">
        <v>27</v>
      </c>
      <c r="AC89" s="178">
        <v>18.829999999999998</v>
      </c>
      <c r="AD89" s="179">
        <v>18.75</v>
      </c>
      <c r="AE89" s="179">
        <v>18.77</v>
      </c>
      <c r="AF89" s="180">
        <f t="shared" si="72"/>
        <v>18.783333333333331</v>
      </c>
      <c r="AG89" s="190">
        <v>6.4</v>
      </c>
      <c r="AH89" s="179">
        <v>6.46</v>
      </c>
      <c r="AI89" s="179">
        <v>6.45</v>
      </c>
      <c r="AJ89" s="180">
        <f t="shared" si="73"/>
        <v>6.4366666666666665</v>
      </c>
      <c r="AK89" s="238">
        <f t="shared" si="74"/>
        <v>1783.5949406186146</v>
      </c>
      <c r="AL89" s="499"/>
      <c r="AM89" s="138" t="s">
        <v>27</v>
      </c>
      <c r="AN89" s="179">
        <v>18.190000000000001</v>
      </c>
      <c r="AO89" s="179">
        <v>17.989999999999998</v>
      </c>
      <c r="AP89" s="179">
        <v>18.260000000000002</v>
      </c>
      <c r="AQ89" s="180">
        <f t="shared" si="75"/>
        <v>18.146666666666665</v>
      </c>
      <c r="AR89" s="190">
        <v>6.29</v>
      </c>
      <c r="AS89" s="179">
        <v>6.27</v>
      </c>
      <c r="AT89" s="179">
        <v>6.32</v>
      </c>
      <c r="AU89" s="180">
        <f t="shared" si="76"/>
        <v>6.293333333333333</v>
      </c>
      <c r="AV89" s="238">
        <f t="shared" si="77"/>
        <v>1627.662434113023</v>
      </c>
      <c r="AW89" s="27">
        <f t="shared" si="88"/>
        <v>3.3895297249334524</v>
      </c>
      <c r="AX89" s="27">
        <f t="shared" si="89"/>
        <v>2.2268254790264144</v>
      </c>
      <c r="AY89" s="61">
        <f>((AK89-AV89)/AK89)*100</f>
        <v>8.7425963684057457</v>
      </c>
      <c r="BC89" s="75"/>
      <c r="BD89" s="75"/>
      <c r="BE89" s="75"/>
      <c r="BF89" s="75"/>
      <c r="BG89" s="75"/>
      <c r="BH89" s="75"/>
      <c r="BI89" s="75"/>
      <c r="BJ89" s="75"/>
      <c r="BK89" s="75"/>
      <c r="BL89" s="75"/>
      <c r="BM89" s="75"/>
      <c r="BN89" s="75"/>
      <c r="BO89" s="75"/>
      <c r="BP89" s="75"/>
      <c r="BQ89" s="75"/>
      <c r="BR89" s="75"/>
      <c r="BS89" s="75"/>
    </row>
    <row r="90" spans="1:71" ht="16.5" thickBot="1" x14ac:dyDescent="0.3">
      <c r="A90" s="72" t="s">
        <v>202</v>
      </c>
      <c r="B90" s="182" t="s">
        <v>4</v>
      </c>
      <c r="C90" s="182"/>
      <c r="D90" s="182"/>
      <c r="E90" s="182"/>
      <c r="F90" s="182"/>
      <c r="G90" s="73"/>
      <c r="H90" s="73"/>
      <c r="I90" s="73"/>
      <c r="J90" s="74"/>
      <c r="K90" s="204"/>
      <c r="L90" s="72" t="s">
        <v>122</v>
      </c>
      <c r="M90" s="76" t="s">
        <v>5</v>
      </c>
      <c r="N90" s="73"/>
      <c r="O90" s="73"/>
      <c r="P90" s="73"/>
      <c r="Q90" s="73"/>
      <c r="R90" s="73"/>
      <c r="S90" s="73"/>
      <c r="T90" s="73"/>
      <c r="U90" s="74"/>
      <c r="V90" s="204"/>
      <c r="W90" s="204"/>
      <c r="X90" s="204"/>
      <c r="Y90" s="243"/>
      <c r="AA90" s="72" t="s">
        <v>203</v>
      </c>
      <c r="AB90" s="73" t="s">
        <v>4</v>
      </c>
      <c r="AC90" s="73"/>
      <c r="AD90" s="73"/>
      <c r="AE90" s="73"/>
      <c r="AF90" s="73"/>
      <c r="AG90" s="73"/>
      <c r="AH90" s="73"/>
      <c r="AI90" s="73"/>
      <c r="AJ90" s="74"/>
      <c r="AK90" s="204"/>
      <c r="AL90" s="72" t="s">
        <v>123</v>
      </c>
      <c r="AM90" s="76" t="s">
        <v>5</v>
      </c>
      <c r="AN90" s="73"/>
      <c r="AO90" s="73"/>
      <c r="AP90" s="73"/>
      <c r="AQ90" s="73"/>
      <c r="AR90" s="73"/>
      <c r="AS90" s="73"/>
      <c r="AT90" s="73"/>
      <c r="AU90" s="74"/>
      <c r="AV90" s="204"/>
      <c r="AW90" s="204"/>
      <c r="AX90" s="204"/>
      <c r="AY90" s="243"/>
      <c r="BC90" s="279"/>
      <c r="BD90" s="279"/>
      <c r="BE90" s="75"/>
      <c r="BF90" s="75"/>
      <c r="BG90" s="75"/>
      <c r="BH90" s="75"/>
      <c r="BI90" s="75"/>
      <c r="BJ90" s="75"/>
      <c r="BK90" s="75"/>
      <c r="BL90" s="279"/>
      <c r="BM90" s="75"/>
      <c r="BN90" s="75"/>
      <c r="BO90" s="75"/>
      <c r="BP90" s="75"/>
      <c r="BQ90" s="75"/>
      <c r="BR90" s="75"/>
      <c r="BS90" s="75"/>
    </row>
    <row r="91" spans="1:71" ht="15.75" thickBot="1" x14ac:dyDescent="0.3">
      <c r="A91" s="77" t="s">
        <v>12</v>
      </c>
      <c r="B91" s="78" t="s">
        <v>6</v>
      </c>
      <c r="C91" s="79" t="s">
        <v>13</v>
      </c>
      <c r="D91" s="79" t="s">
        <v>14</v>
      </c>
      <c r="E91" s="79" t="s">
        <v>15</v>
      </c>
      <c r="F91" s="80" t="s">
        <v>16</v>
      </c>
      <c r="G91" s="81" t="s">
        <v>17</v>
      </c>
      <c r="H91" s="82" t="s">
        <v>18</v>
      </c>
      <c r="I91" s="82" t="s">
        <v>19</v>
      </c>
      <c r="J91" s="83" t="s">
        <v>16</v>
      </c>
      <c r="K91" s="201" t="s">
        <v>183</v>
      </c>
      <c r="L91" s="77" t="s">
        <v>12</v>
      </c>
      <c r="M91" s="78" t="s">
        <v>6</v>
      </c>
      <c r="N91" s="79" t="s">
        <v>13</v>
      </c>
      <c r="O91" s="79" t="s">
        <v>14</v>
      </c>
      <c r="P91" s="79" t="s">
        <v>15</v>
      </c>
      <c r="Q91" s="80" t="s">
        <v>16</v>
      </c>
      <c r="R91" s="81" t="s">
        <v>17</v>
      </c>
      <c r="S91" s="82" t="s">
        <v>18</v>
      </c>
      <c r="T91" s="82" t="s">
        <v>19</v>
      </c>
      <c r="U91" s="83" t="s">
        <v>16</v>
      </c>
      <c r="V91" s="84" t="s">
        <v>183</v>
      </c>
      <c r="W91" s="201" t="s">
        <v>184</v>
      </c>
      <c r="X91" s="201" t="s">
        <v>185</v>
      </c>
      <c r="Y91" s="194" t="s">
        <v>186</v>
      </c>
      <c r="AA91" s="77" t="s">
        <v>12</v>
      </c>
      <c r="AB91" s="78" t="s">
        <v>6</v>
      </c>
      <c r="AC91" s="79" t="s">
        <v>13</v>
      </c>
      <c r="AD91" s="79" t="s">
        <v>14</v>
      </c>
      <c r="AE91" s="79" t="s">
        <v>15</v>
      </c>
      <c r="AF91" s="80" t="s">
        <v>16</v>
      </c>
      <c r="AG91" s="81" t="s">
        <v>17</v>
      </c>
      <c r="AH91" s="82" t="s">
        <v>18</v>
      </c>
      <c r="AI91" s="82" t="s">
        <v>19</v>
      </c>
      <c r="AJ91" s="83" t="s">
        <v>16</v>
      </c>
      <c r="AK91" s="201" t="s">
        <v>183</v>
      </c>
      <c r="AL91" s="77" t="s">
        <v>12</v>
      </c>
      <c r="AM91" s="78" t="s">
        <v>6</v>
      </c>
      <c r="AN91" s="79" t="s">
        <v>13</v>
      </c>
      <c r="AO91" s="79" t="s">
        <v>14</v>
      </c>
      <c r="AP91" s="79" t="s">
        <v>15</v>
      </c>
      <c r="AQ91" s="80" t="s">
        <v>16</v>
      </c>
      <c r="AR91" s="81" t="s">
        <v>17</v>
      </c>
      <c r="AS91" s="82" t="s">
        <v>18</v>
      </c>
      <c r="AT91" s="82" t="s">
        <v>19</v>
      </c>
      <c r="AU91" s="83" t="s">
        <v>16</v>
      </c>
      <c r="AV91" s="84" t="s">
        <v>183</v>
      </c>
      <c r="AW91" s="201" t="s">
        <v>184</v>
      </c>
      <c r="AX91" s="201" t="s">
        <v>185</v>
      </c>
      <c r="AY91" s="194" t="s">
        <v>186</v>
      </c>
      <c r="BC91" s="279"/>
      <c r="BD91" s="279"/>
      <c r="BE91" s="75"/>
      <c r="BF91" s="75"/>
      <c r="BG91" s="75"/>
      <c r="BH91" s="75"/>
      <c r="BI91" s="75"/>
      <c r="BJ91" s="75"/>
      <c r="BK91" s="75"/>
      <c r="BL91" s="279"/>
      <c r="BM91" s="75"/>
      <c r="BN91" s="75"/>
      <c r="BO91" s="75"/>
      <c r="BP91" s="75"/>
      <c r="BQ91" s="75"/>
      <c r="BR91" s="75"/>
      <c r="BS91" s="75"/>
    </row>
    <row r="92" spans="1:71" ht="15" customHeight="1" x14ac:dyDescent="0.25">
      <c r="A92" s="518" t="s">
        <v>195</v>
      </c>
      <c r="B92" s="174" t="s">
        <v>21</v>
      </c>
      <c r="C92" s="170">
        <v>19.07</v>
      </c>
      <c r="D92" s="170">
        <v>19.05</v>
      </c>
      <c r="E92" s="170">
        <v>19.13</v>
      </c>
      <c r="F92" s="167">
        <f>AVERAGE(C92:E92)</f>
        <v>19.083333333333332</v>
      </c>
      <c r="G92" s="181">
        <v>6.23</v>
      </c>
      <c r="H92" s="181">
        <v>6.3</v>
      </c>
      <c r="I92" s="181">
        <v>6.25</v>
      </c>
      <c r="J92" s="175">
        <f>AVERAGE(G92:I92)</f>
        <v>6.2600000000000007</v>
      </c>
      <c r="K92" s="236">
        <f>PI()*((F92/2)^2)*J92</f>
        <v>1790.4932461312649</v>
      </c>
      <c r="L92" s="518" t="s">
        <v>195</v>
      </c>
      <c r="M92" s="141" t="s">
        <v>21</v>
      </c>
      <c r="N92" s="181">
        <v>18.41</v>
      </c>
      <c r="O92" s="181">
        <v>18.350000000000001</v>
      </c>
      <c r="P92" s="181">
        <v>18.5</v>
      </c>
      <c r="Q92" s="175">
        <f>AVERAGE(N92:P92)</f>
        <v>18.420000000000002</v>
      </c>
      <c r="R92" s="228">
        <v>5.93</v>
      </c>
      <c r="S92" s="181">
        <v>5.96</v>
      </c>
      <c r="T92" s="181">
        <v>5.98</v>
      </c>
      <c r="U92" s="175">
        <f>AVERAGE(R92:T92)</f>
        <v>5.956666666666667</v>
      </c>
      <c r="V92" s="239">
        <f>PI()*((Q92/2)^2)*U92</f>
        <v>1587.3490297698768</v>
      </c>
      <c r="W92" s="23">
        <f>((F92-Q92)/F92)*100</f>
        <v>3.4759825327510772</v>
      </c>
      <c r="X92" s="23">
        <f>((J92-U92)/J92)*100</f>
        <v>4.8455804046858413</v>
      </c>
      <c r="Y92" s="23">
        <f>((K92-V92)/K92)*100</f>
        <v>11.345712518063033</v>
      </c>
      <c r="AA92" s="495" t="s">
        <v>196</v>
      </c>
      <c r="AB92" s="141" t="s">
        <v>21</v>
      </c>
      <c r="AC92" s="170">
        <v>19.190000000000001</v>
      </c>
      <c r="AD92" s="171">
        <v>19.059999999999999</v>
      </c>
      <c r="AE92" s="171">
        <v>19.16</v>
      </c>
      <c r="AF92" s="175">
        <f>AVERAGE(AC92:AE92)</f>
        <v>19.136666666666667</v>
      </c>
      <c r="AG92" s="186">
        <v>6.47</v>
      </c>
      <c r="AH92" s="171">
        <v>6.48</v>
      </c>
      <c r="AI92" s="171">
        <v>6.54</v>
      </c>
      <c r="AJ92" s="232">
        <f>AVERAGE(AG92:AI92)</f>
        <v>6.4966666666666661</v>
      </c>
      <c r="AK92" s="236">
        <f>PI()*((AF92/2)^2)*AJ92</f>
        <v>1868.5858253117558</v>
      </c>
      <c r="AL92" s="495" t="s">
        <v>196</v>
      </c>
      <c r="AM92" s="141" t="s">
        <v>21</v>
      </c>
      <c r="AN92" s="181">
        <v>18.13</v>
      </c>
      <c r="AO92" s="181">
        <v>17.98</v>
      </c>
      <c r="AP92" s="181">
        <v>18.170000000000002</v>
      </c>
      <c r="AQ92" s="175">
        <f>AVERAGE(AN92:AP92)</f>
        <v>18.093333333333334</v>
      </c>
      <c r="AR92" s="228">
        <v>6.09</v>
      </c>
      <c r="AS92" s="181">
        <v>6.16</v>
      </c>
      <c r="AT92" s="181">
        <v>6.16</v>
      </c>
      <c r="AU92" s="175">
        <f>AVERAGE(AR92:AT92)</f>
        <v>6.1366666666666667</v>
      </c>
      <c r="AV92" s="239">
        <f>PI()*((AQ92/2)^2)*AU92</f>
        <v>1577.8277273056678</v>
      </c>
      <c r="AW92" s="23">
        <f>((AF92-AQ92)/AF92)*100</f>
        <v>5.4520118446263695</v>
      </c>
      <c r="AX92" s="23">
        <f>((AJ92-AU92)/AJ92)*100</f>
        <v>5.5413032324268769</v>
      </c>
      <c r="AY92" s="23">
        <f>((AK92-AV92)/AK92)*100</f>
        <v>15.56032878273481</v>
      </c>
      <c r="BC92" s="279"/>
      <c r="BD92" s="279"/>
      <c r="BE92" s="75"/>
      <c r="BF92" s="75"/>
      <c r="BG92" s="75"/>
      <c r="BH92" s="75"/>
      <c r="BI92" s="75"/>
      <c r="BJ92" s="75"/>
      <c r="BK92" s="75"/>
      <c r="BL92" s="279"/>
      <c r="BM92" s="75"/>
      <c r="BN92" s="75"/>
      <c r="BO92" s="75"/>
      <c r="BP92" s="75"/>
      <c r="BQ92" s="75"/>
      <c r="BR92" s="75"/>
      <c r="BS92" s="75"/>
    </row>
    <row r="93" spans="1:71" x14ac:dyDescent="0.25">
      <c r="A93" s="519"/>
      <c r="B93" s="183" t="s">
        <v>22</v>
      </c>
      <c r="C93" s="187">
        <v>19.100000000000001</v>
      </c>
      <c r="D93" s="187">
        <v>19.07</v>
      </c>
      <c r="E93" s="187">
        <v>18.96</v>
      </c>
      <c r="F93" s="168">
        <f t="shared" ref="F93:F105" si="91">AVERAGE(C93:E93)</f>
        <v>19.043333333333333</v>
      </c>
      <c r="G93" s="173">
        <v>6.34</v>
      </c>
      <c r="H93" s="173">
        <v>6.32</v>
      </c>
      <c r="I93" s="173">
        <v>6.33</v>
      </c>
      <c r="J93" s="168">
        <f t="shared" ref="J93:J105" si="92">AVERAGE(G93:I93)</f>
        <v>6.330000000000001</v>
      </c>
      <c r="K93" s="237">
        <f t="shared" ref="K93:K105" si="93">PI()*((F93/2)^2)*J93</f>
        <v>1802.9327598451378</v>
      </c>
      <c r="L93" s="519"/>
      <c r="M93" s="139" t="s">
        <v>22</v>
      </c>
      <c r="N93" s="173">
        <v>18.399999999999999</v>
      </c>
      <c r="O93" s="173">
        <v>18.309999999999999</v>
      </c>
      <c r="P93" s="173">
        <v>18.36</v>
      </c>
      <c r="Q93" s="168">
        <f t="shared" ref="Q93:Q105" si="94">AVERAGE(N93:P93)</f>
        <v>18.356666666666666</v>
      </c>
      <c r="R93" s="189">
        <v>6.06</v>
      </c>
      <c r="S93" s="173">
        <v>6.04</v>
      </c>
      <c r="T93" s="173">
        <v>5.99</v>
      </c>
      <c r="U93" s="168">
        <f t="shared" ref="U93:U105" si="95">AVERAGE(R93:T93)</f>
        <v>6.03</v>
      </c>
      <c r="V93" s="240">
        <f t="shared" ref="V93:V98" si="96">PI()*((Q93/2)^2)*U93</f>
        <v>1595.860175252916</v>
      </c>
      <c r="W93" s="27">
        <f>((F93-Q93)/F93)*100</f>
        <v>3.6058113075442018</v>
      </c>
      <c r="X93" s="27">
        <f>((J93-U93)/J93)*100</f>
        <v>4.739336492891006</v>
      </c>
      <c r="Y93" s="27">
        <f>((K93-V93)/K93)*100</f>
        <v>11.485319319951135</v>
      </c>
      <c r="AA93" s="496"/>
      <c r="AB93" s="139" t="s">
        <v>22</v>
      </c>
      <c r="AC93" s="172">
        <v>19.170000000000002</v>
      </c>
      <c r="AD93" s="173">
        <v>19.02</v>
      </c>
      <c r="AE93" s="173">
        <v>19.100000000000001</v>
      </c>
      <c r="AF93" s="168">
        <f t="shared" ref="AF93:AF105" si="97">AVERAGE(AC93:AE93)</f>
        <v>19.096666666666668</v>
      </c>
      <c r="AG93" s="189">
        <v>6.29</v>
      </c>
      <c r="AH93" s="173">
        <v>6.26</v>
      </c>
      <c r="AI93" s="173">
        <v>6.39</v>
      </c>
      <c r="AJ93" s="233">
        <f t="shared" ref="AJ93:AJ105" si="98">AVERAGE(AG93:AI93)</f>
        <v>6.3133333333333335</v>
      </c>
      <c r="AK93" s="237">
        <f t="shared" ref="AK93:AK105" si="99">PI()*((AF93/2)^2)*AJ93</f>
        <v>1808.271911773367</v>
      </c>
      <c r="AL93" s="496"/>
      <c r="AM93" s="139" t="s">
        <v>22</v>
      </c>
      <c r="AN93" s="173">
        <v>18.12</v>
      </c>
      <c r="AO93" s="173">
        <v>17.91</v>
      </c>
      <c r="AP93" s="173">
        <v>18.09</v>
      </c>
      <c r="AQ93" s="168">
        <f t="shared" ref="AQ93:AQ105" si="100">AVERAGE(AN93:AP93)</f>
        <v>18.040000000000003</v>
      </c>
      <c r="AR93" s="189">
        <v>5.89</v>
      </c>
      <c r="AS93" s="173">
        <v>5.91</v>
      </c>
      <c r="AT93" s="173">
        <v>5.86</v>
      </c>
      <c r="AU93" s="168">
        <f t="shared" ref="AU93:AU105" si="101">AVERAGE(AR93:AT93)</f>
        <v>5.8866666666666667</v>
      </c>
      <c r="AV93" s="240">
        <f t="shared" ref="AV93:AV105" si="102">PI()*((AQ93/2)^2)*AU93</f>
        <v>1504.6392696396749</v>
      </c>
      <c r="AW93" s="27">
        <f>((AF93-AQ93)/AF93)*100</f>
        <v>5.5332518764182135</v>
      </c>
      <c r="AX93" s="27">
        <f>((AJ93-AU93)/AJ93)*100</f>
        <v>6.7581837381203806</v>
      </c>
      <c r="AY93" s="27">
        <f>((AK93-AV93)/AK93)*100</f>
        <v>16.791315518246392</v>
      </c>
      <c r="BC93" s="279"/>
      <c r="BD93" s="279"/>
      <c r="BE93" s="75"/>
      <c r="BF93" s="75"/>
      <c r="BG93" s="75"/>
      <c r="BH93" s="75"/>
      <c r="BI93" s="75"/>
      <c r="BJ93" s="75"/>
      <c r="BK93" s="75"/>
      <c r="BL93" s="279"/>
      <c r="BM93" s="75"/>
      <c r="BN93" s="75"/>
      <c r="BO93" s="75"/>
      <c r="BP93" s="75"/>
      <c r="BQ93" s="75"/>
      <c r="BR93" s="75"/>
      <c r="BS93" s="75"/>
    </row>
    <row r="94" spans="1:71" x14ac:dyDescent="0.25">
      <c r="A94" s="519"/>
      <c r="B94" s="183" t="s">
        <v>23</v>
      </c>
      <c r="C94" s="187">
        <v>19.100000000000001</v>
      </c>
      <c r="D94" s="187">
        <v>19.02</v>
      </c>
      <c r="E94" s="187">
        <v>19.03</v>
      </c>
      <c r="F94" s="168">
        <f t="shared" si="91"/>
        <v>19.05</v>
      </c>
      <c r="G94" s="173">
        <v>6.2</v>
      </c>
      <c r="H94" s="173">
        <v>6.37</v>
      </c>
      <c r="I94" s="173">
        <v>6.39</v>
      </c>
      <c r="J94" s="168">
        <f t="shared" si="92"/>
        <v>6.32</v>
      </c>
      <c r="K94" s="237">
        <f t="shared" si="93"/>
        <v>1801.3450881916044</v>
      </c>
      <c r="L94" s="519"/>
      <c r="M94" s="139" t="s">
        <v>23</v>
      </c>
      <c r="N94" s="173">
        <v>18.34</v>
      </c>
      <c r="O94" s="173">
        <v>18.149999999999999</v>
      </c>
      <c r="P94" s="173">
        <v>18.16</v>
      </c>
      <c r="Q94" s="168">
        <f t="shared" si="94"/>
        <v>18.216666666666665</v>
      </c>
      <c r="R94" s="189">
        <v>6.16</v>
      </c>
      <c r="S94" s="173">
        <v>6.08</v>
      </c>
      <c r="T94" s="173">
        <v>6.04</v>
      </c>
      <c r="U94" s="168">
        <f t="shared" si="95"/>
        <v>6.0933333333333337</v>
      </c>
      <c r="V94" s="240">
        <f t="shared" si="96"/>
        <v>1588.1175357059308</v>
      </c>
      <c r="W94" s="27">
        <f t="shared" ref="W94:W98" si="103">((F94-Q94)/F94)*100</f>
        <v>4.3744531933508437</v>
      </c>
      <c r="X94" s="27">
        <f t="shared" ref="X94:X98" si="104">((J94-U94)/J94)*100</f>
        <v>3.586497890295357</v>
      </c>
      <c r="Y94" s="27">
        <f t="shared" ref="Y94:Y97" si="105">((K94-V94)/K94)*100</f>
        <v>11.837129591850486</v>
      </c>
      <c r="AA94" s="496"/>
      <c r="AB94" s="139" t="s">
        <v>23</v>
      </c>
      <c r="AC94" s="172">
        <v>19.16</v>
      </c>
      <c r="AD94" s="173">
        <v>19.05</v>
      </c>
      <c r="AE94" s="173">
        <v>19.27</v>
      </c>
      <c r="AF94" s="168">
        <f t="shared" si="97"/>
        <v>19.16</v>
      </c>
      <c r="AG94" s="189">
        <v>6.6</v>
      </c>
      <c r="AH94" s="173">
        <v>6.61</v>
      </c>
      <c r="AI94" s="173">
        <v>6.61</v>
      </c>
      <c r="AJ94" s="233">
        <f t="shared" si="98"/>
        <v>6.6066666666666665</v>
      </c>
      <c r="AK94" s="237">
        <f t="shared" si="99"/>
        <v>1904.8609829120132</v>
      </c>
      <c r="AL94" s="496"/>
      <c r="AM94" s="139" t="s">
        <v>23</v>
      </c>
      <c r="AN94" s="173">
        <v>17.989999999999998</v>
      </c>
      <c r="AO94" s="173">
        <v>17.75</v>
      </c>
      <c r="AP94" s="173">
        <v>17.920000000000002</v>
      </c>
      <c r="AQ94" s="168">
        <f t="shared" si="100"/>
        <v>17.886666666666667</v>
      </c>
      <c r="AR94" s="189">
        <v>6.13</v>
      </c>
      <c r="AS94" s="173">
        <v>6.13</v>
      </c>
      <c r="AT94" s="173">
        <v>6.19</v>
      </c>
      <c r="AU94" s="168">
        <f t="shared" si="101"/>
        <v>6.1499999999999995</v>
      </c>
      <c r="AV94" s="240">
        <f t="shared" si="102"/>
        <v>1545.3392108887074</v>
      </c>
      <c r="AW94" s="27">
        <f t="shared" ref="AW94:AW98" si="106">((AF94-AQ94)/AF94)*100</f>
        <v>6.6457898399443289</v>
      </c>
      <c r="AX94" s="27">
        <f t="shared" ref="AX94:AX98" si="107">((AJ94-AU94)/AJ94)*100</f>
        <v>6.912209889001014</v>
      </c>
      <c r="AY94" s="27">
        <f t="shared" ref="AY94:AY97" si="108">((AK94-AV94)/AK94)*100</f>
        <v>18.873911285310442</v>
      </c>
      <c r="BC94" s="279"/>
      <c r="BD94" s="279"/>
      <c r="BE94" s="75"/>
      <c r="BF94" s="75"/>
      <c r="BG94" s="75"/>
      <c r="BH94" s="75"/>
      <c r="BI94" s="75"/>
      <c r="BJ94" s="75"/>
      <c r="BK94" s="75"/>
      <c r="BL94" s="279"/>
      <c r="BM94" s="75"/>
      <c r="BN94" s="75"/>
      <c r="BO94" s="75"/>
      <c r="BP94" s="75"/>
      <c r="BQ94" s="75"/>
      <c r="BR94" s="75"/>
      <c r="BS94" s="75"/>
    </row>
    <row r="95" spans="1:71" x14ac:dyDescent="0.25">
      <c r="A95" s="519"/>
      <c r="B95" s="183" t="s">
        <v>24</v>
      </c>
      <c r="C95" s="187">
        <v>19.02</v>
      </c>
      <c r="D95" s="187">
        <v>19.03</v>
      </c>
      <c r="E95" s="187">
        <v>19.010000000000002</v>
      </c>
      <c r="F95" s="168">
        <f t="shared" si="91"/>
        <v>19.02</v>
      </c>
      <c r="G95" s="173">
        <v>6.45</v>
      </c>
      <c r="H95" s="173">
        <v>6.72</v>
      </c>
      <c r="I95" s="173">
        <v>6.23</v>
      </c>
      <c r="J95" s="168">
        <f t="shared" si="92"/>
        <v>6.4666666666666659</v>
      </c>
      <c r="K95" s="237">
        <f t="shared" si="93"/>
        <v>1837.3478342495227</v>
      </c>
      <c r="L95" s="519"/>
      <c r="M95" s="139" t="s">
        <v>24</v>
      </c>
      <c r="N95" s="173">
        <v>18.440000000000001</v>
      </c>
      <c r="O95" s="173">
        <v>18.079999999999998</v>
      </c>
      <c r="P95" s="173">
        <v>18.39</v>
      </c>
      <c r="Q95" s="168">
        <f t="shared" si="94"/>
        <v>18.303333333333331</v>
      </c>
      <c r="R95" s="189">
        <v>6.35</v>
      </c>
      <c r="S95" s="173">
        <v>6.21</v>
      </c>
      <c r="T95" s="173">
        <v>6.38</v>
      </c>
      <c r="U95" s="168">
        <f t="shared" si="95"/>
        <v>6.3133333333333326</v>
      </c>
      <c r="V95" s="240">
        <f t="shared" si="96"/>
        <v>1661.150492505908</v>
      </c>
      <c r="W95" s="27">
        <f t="shared" si="103"/>
        <v>3.7679635471433679</v>
      </c>
      <c r="X95" s="27">
        <f t="shared" si="104"/>
        <v>2.3711340206185572</v>
      </c>
      <c r="Y95" s="27">
        <f t="shared" si="105"/>
        <v>9.589765120091359</v>
      </c>
      <c r="AA95" s="496"/>
      <c r="AB95" s="139" t="s">
        <v>24</v>
      </c>
      <c r="AC95" s="172">
        <v>19.170000000000002</v>
      </c>
      <c r="AD95" s="173">
        <v>19.14</v>
      </c>
      <c r="AE95" s="173">
        <v>19.27</v>
      </c>
      <c r="AF95" s="168">
        <f t="shared" si="97"/>
        <v>19.193333333333332</v>
      </c>
      <c r="AG95" s="189">
        <v>6.5</v>
      </c>
      <c r="AH95" s="173">
        <v>6.55</v>
      </c>
      <c r="AI95" s="173">
        <v>6.55</v>
      </c>
      <c r="AJ95" s="233">
        <f t="shared" si="98"/>
        <v>6.5333333333333341</v>
      </c>
      <c r="AK95" s="237">
        <f t="shared" si="99"/>
        <v>1890.2772592863921</v>
      </c>
      <c r="AL95" s="496"/>
      <c r="AM95" s="139" t="s">
        <v>24</v>
      </c>
      <c r="AN95" s="173">
        <v>18.04</v>
      </c>
      <c r="AO95" s="173">
        <v>17.91</v>
      </c>
      <c r="AP95" s="173">
        <v>17.95</v>
      </c>
      <c r="AQ95" s="168">
        <f t="shared" si="100"/>
        <v>17.966666666666669</v>
      </c>
      <c r="AR95" s="189">
        <v>6.07</v>
      </c>
      <c r="AS95" s="173">
        <v>6.09</v>
      </c>
      <c r="AT95" s="173">
        <v>6.16</v>
      </c>
      <c r="AU95" s="168">
        <f t="shared" si="101"/>
        <v>6.1066666666666665</v>
      </c>
      <c r="AV95" s="240">
        <f t="shared" si="102"/>
        <v>1548.2073215022617</v>
      </c>
      <c r="AW95" s="27">
        <f t="shared" si="106"/>
        <v>6.3911080236192932</v>
      </c>
      <c r="AX95" s="27">
        <f t="shared" si="107"/>
        <v>6.5306122448979735</v>
      </c>
      <c r="AY95" s="27">
        <f t="shared" si="108"/>
        <v>18.096283817817653</v>
      </c>
      <c r="BC95" s="279"/>
      <c r="BD95" s="279"/>
      <c r="BE95" s="75"/>
      <c r="BF95" s="75"/>
      <c r="BG95" s="75"/>
      <c r="BH95" s="75"/>
      <c r="BI95" s="75"/>
      <c r="BJ95" s="75"/>
      <c r="BK95" s="75"/>
      <c r="BL95" s="279"/>
      <c r="BM95" s="75"/>
      <c r="BN95" s="75"/>
      <c r="BO95" s="75"/>
      <c r="BP95" s="75"/>
      <c r="BQ95" s="75"/>
      <c r="BR95" s="75"/>
      <c r="BS95" s="75"/>
    </row>
    <row r="96" spans="1:71" x14ac:dyDescent="0.25">
      <c r="A96" s="519"/>
      <c r="B96" s="183" t="s">
        <v>25</v>
      </c>
      <c r="C96" s="187">
        <v>19.07</v>
      </c>
      <c r="D96" s="187">
        <v>19.12</v>
      </c>
      <c r="E96" s="187">
        <v>19.02</v>
      </c>
      <c r="F96" s="168">
        <f t="shared" si="91"/>
        <v>19.069999999999997</v>
      </c>
      <c r="G96" s="173">
        <v>6.42</v>
      </c>
      <c r="H96" s="173">
        <v>6.32</v>
      </c>
      <c r="I96" s="173">
        <v>6.5</v>
      </c>
      <c r="J96" s="168">
        <f t="shared" si="92"/>
        <v>6.413333333333334</v>
      </c>
      <c r="K96" s="237">
        <f t="shared" si="93"/>
        <v>1831.7874550609079</v>
      </c>
      <c r="L96" s="519"/>
      <c r="M96" s="139" t="s">
        <v>25</v>
      </c>
      <c r="N96" s="173">
        <v>18.25</v>
      </c>
      <c r="O96" s="173">
        <v>18.309999999999999</v>
      </c>
      <c r="P96" s="173">
        <v>18.309999999999999</v>
      </c>
      <c r="Q96" s="168">
        <f t="shared" si="94"/>
        <v>18.290000000000003</v>
      </c>
      <c r="R96" s="189">
        <v>6.16</v>
      </c>
      <c r="S96" s="173">
        <v>6.05</v>
      </c>
      <c r="T96" s="173">
        <v>6.06</v>
      </c>
      <c r="U96" s="168">
        <f t="shared" si="95"/>
        <v>6.09</v>
      </c>
      <c r="V96" s="240">
        <f t="shared" si="96"/>
        <v>1600.0537977508027</v>
      </c>
      <c r="W96" s="27">
        <f t="shared" si="103"/>
        <v>4.0901940220240913</v>
      </c>
      <c r="X96" s="27">
        <f t="shared" si="104"/>
        <v>5.0415800415800538</v>
      </c>
      <c r="Y96" s="27">
        <f t="shared" si="105"/>
        <v>12.650684808975281</v>
      </c>
      <c r="AA96" s="496"/>
      <c r="AB96" s="139" t="s">
        <v>25</v>
      </c>
      <c r="AC96" s="172">
        <v>19.2</v>
      </c>
      <c r="AD96" s="173">
        <v>19.12</v>
      </c>
      <c r="AE96" s="173">
        <v>19.12</v>
      </c>
      <c r="AF96" s="168">
        <f t="shared" si="97"/>
        <v>19.146666666666665</v>
      </c>
      <c r="AG96" s="189">
        <v>6.39</v>
      </c>
      <c r="AH96" s="173">
        <v>6.39</v>
      </c>
      <c r="AI96" s="173">
        <v>6.44</v>
      </c>
      <c r="AJ96" s="233">
        <f t="shared" si="98"/>
        <v>6.4066666666666663</v>
      </c>
      <c r="AK96" s="237">
        <f t="shared" si="99"/>
        <v>1844.6261583578128</v>
      </c>
      <c r="AL96" s="496"/>
      <c r="AM96" s="139" t="s">
        <v>25</v>
      </c>
      <c r="AN96" s="173">
        <v>18.03</v>
      </c>
      <c r="AO96" s="173">
        <v>17.93</v>
      </c>
      <c r="AP96" s="173">
        <v>17.940000000000001</v>
      </c>
      <c r="AQ96" s="168">
        <f t="shared" si="100"/>
        <v>17.966666666666669</v>
      </c>
      <c r="AR96" s="189">
        <v>6.08</v>
      </c>
      <c r="AS96" s="173">
        <v>5.99</v>
      </c>
      <c r="AT96" s="173">
        <v>6.02</v>
      </c>
      <c r="AU96" s="168">
        <f t="shared" si="101"/>
        <v>6.03</v>
      </c>
      <c r="AV96" s="240">
        <f t="shared" si="102"/>
        <v>1528.7702208502139</v>
      </c>
      <c r="AW96" s="27">
        <f t="shared" si="106"/>
        <v>6.1629526462395345</v>
      </c>
      <c r="AX96" s="27">
        <f t="shared" si="107"/>
        <v>5.8792924037460885</v>
      </c>
      <c r="AY96" s="27">
        <f t="shared" si="108"/>
        <v>17.123032549250581</v>
      </c>
      <c r="BC96" s="279"/>
      <c r="BD96" s="279"/>
      <c r="BE96" s="75"/>
      <c r="BF96" s="75"/>
      <c r="BG96" s="75"/>
      <c r="BH96" s="75"/>
      <c r="BI96" s="75"/>
      <c r="BJ96" s="75"/>
      <c r="BK96" s="75"/>
      <c r="BL96" s="279"/>
      <c r="BM96" s="75"/>
      <c r="BN96" s="75"/>
      <c r="BO96" s="75"/>
      <c r="BP96" s="75"/>
      <c r="BQ96" s="75"/>
      <c r="BR96" s="75"/>
      <c r="BS96" s="75"/>
    </row>
    <row r="97" spans="1:71" x14ac:dyDescent="0.25">
      <c r="A97" s="519"/>
      <c r="B97" s="183" t="s">
        <v>26</v>
      </c>
      <c r="C97" s="187">
        <v>19.5</v>
      </c>
      <c r="D97" s="187">
        <v>19.149999999999999</v>
      </c>
      <c r="E97" s="187">
        <v>19.079999999999998</v>
      </c>
      <c r="F97" s="168">
        <f t="shared" si="91"/>
        <v>19.243333333333332</v>
      </c>
      <c r="G97" s="173">
        <v>6.53</v>
      </c>
      <c r="H97" s="173">
        <v>6.45</v>
      </c>
      <c r="I97" s="173">
        <v>6.44</v>
      </c>
      <c r="J97" s="168">
        <f t="shared" si="92"/>
        <v>6.4733333333333336</v>
      </c>
      <c r="K97" s="237">
        <f t="shared" si="93"/>
        <v>1882.6884477946007</v>
      </c>
      <c r="L97" s="519"/>
      <c r="M97" s="139" t="s">
        <v>26</v>
      </c>
      <c r="N97" s="173">
        <v>18.420000000000002</v>
      </c>
      <c r="O97" s="173">
        <v>18.52</v>
      </c>
      <c r="P97" s="173">
        <v>18.36</v>
      </c>
      <c r="Q97" s="168">
        <f t="shared" si="94"/>
        <v>18.433333333333334</v>
      </c>
      <c r="R97" s="189">
        <v>6.24</v>
      </c>
      <c r="S97" s="173">
        <v>6.23</v>
      </c>
      <c r="T97" s="173">
        <v>6.3</v>
      </c>
      <c r="U97" s="168">
        <f t="shared" si="95"/>
        <v>6.2566666666666668</v>
      </c>
      <c r="V97" s="240">
        <f t="shared" si="96"/>
        <v>1669.7084784663705</v>
      </c>
      <c r="W97" s="27">
        <f t="shared" si="103"/>
        <v>4.2092499566949524</v>
      </c>
      <c r="X97" s="27">
        <f t="shared" si="104"/>
        <v>3.3470648815653981</v>
      </c>
      <c r="Y97" s="27">
        <f t="shared" si="105"/>
        <v>11.312544546481764</v>
      </c>
      <c r="AA97" s="496"/>
      <c r="AB97" s="139" t="s">
        <v>26</v>
      </c>
      <c r="AC97" s="172">
        <v>19.07</v>
      </c>
      <c r="AD97" s="173">
        <v>19.11</v>
      </c>
      <c r="AE97" s="173">
        <v>19.05</v>
      </c>
      <c r="AF97" s="168">
        <f t="shared" si="97"/>
        <v>19.076666666666668</v>
      </c>
      <c r="AG97" s="189">
        <v>6.45</v>
      </c>
      <c r="AH97" s="173">
        <v>6.48</v>
      </c>
      <c r="AI97" s="173">
        <v>6.55</v>
      </c>
      <c r="AJ97" s="233">
        <f t="shared" si="98"/>
        <v>6.4933333333333332</v>
      </c>
      <c r="AK97" s="237">
        <f t="shared" si="99"/>
        <v>1855.9341436726022</v>
      </c>
      <c r="AL97" s="496"/>
      <c r="AM97" s="139" t="s">
        <v>26</v>
      </c>
      <c r="AN97" s="173">
        <v>18.11</v>
      </c>
      <c r="AO97" s="173">
        <v>18.05</v>
      </c>
      <c r="AP97" s="173">
        <v>18.09</v>
      </c>
      <c r="AQ97" s="168">
        <f t="shared" si="100"/>
        <v>18.083333333333332</v>
      </c>
      <c r="AR97" s="189">
        <v>6.16</v>
      </c>
      <c r="AS97" s="173">
        <v>6.09</v>
      </c>
      <c r="AT97" s="173">
        <v>6.02</v>
      </c>
      <c r="AU97" s="168">
        <f t="shared" si="101"/>
        <v>6.09</v>
      </c>
      <c r="AV97" s="240">
        <f t="shared" si="102"/>
        <v>1564.098680331907</v>
      </c>
      <c r="AW97" s="27">
        <f t="shared" si="106"/>
        <v>5.2070592346671454</v>
      </c>
      <c r="AX97" s="27">
        <f t="shared" si="107"/>
        <v>6.2114989733059547</v>
      </c>
      <c r="AY97" s="27">
        <f t="shared" si="108"/>
        <v>15.724451448648857</v>
      </c>
      <c r="BC97" s="280"/>
      <c r="BD97" s="280"/>
      <c r="BE97" s="75"/>
      <c r="BF97" s="75"/>
      <c r="BG97" s="75"/>
      <c r="BH97" s="75"/>
      <c r="BI97" s="75"/>
      <c r="BJ97" s="75"/>
      <c r="BK97" s="75"/>
      <c r="BL97" s="280"/>
      <c r="BM97" s="75"/>
      <c r="BN97" s="75"/>
      <c r="BO97" s="75"/>
      <c r="BP97" s="75"/>
      <c r="BQ97" s="75"/>
      <c r="BR97" s="75"/>
      <c r="BS97" s="75"/>
    </row>
    <row r="98" spans="1:71" ht="15.75" thickBot="1" x14ac:dyDescent="0.3">
      <c r="A98" s="520"/>
      <c r="B98" s="184" t="s">
        <v>27</v>
      </c>
      <c r="C98" s="188">
        <v>19.12</v>
      </c>
      <c r="D98" s="188">
        <v>19.07</v>
      </c>
      <c r="E98" s="188">
        <v>19.22</v>
      </c>
      <c r="F98" s="169">
        <f t="shared" si="91"/>
        <v>19.136666666666667</v>
      </c>
      <c r="G98" s="179">
        <v>6.38</v>
      </c>
      <c r="H98" s="179">
        <v>6.39</v>
      </c>
      <c r="I98" s="179">
        <v>6.44</v>
      </c>
      <c r="J98" s="180">
        <f t="shared" si="92"/>
        <v>6.4033333333333333</v>
      </c>
      <c r="K98" s="238">
        <f t="shared" si="93"/>
        <v>1841.7410828239524</v>
      </c>
      <c r="L98" s="520"/>
      <c r="M98" s="140" t="s">
        <v>27</v>
      </c>
      <c r="N98" s="179">
        <v>18.690000000000001</v>
      </c>
      <c r="O98" s="179">
        <v>18.47</v>
      </c>
      <c r="P98" s="179">
        <v>18.53</v>
      </c>
      <c r="Q98" s="180">
        <f t="shared" si="94"/>
        <v>18.563333333333333</v>
      </c>
      <c r="R98" s="190">
        <v>6.09</v>
      </c>
      <c r="S98" s="179">
        <v>6.13</v>
      </c>
      <c r="T98" s="179">
        <v>6.14</v>
      </c>
      <c r="U98" s="180">
        <f t="shared" si="95"/>
        <v>6.12</v>
      </c>
      <c r="V98" s="241">
        <f t="shared" si="96"/>
        <v>1656.3542632024235</v>
      </c>
      <c r="W98" s="27">
        <f t="shared" si="103"/>
        <v>2.9959937293154546</v>
      </c>
      <c r="X98" s="27">
        <f t="shared" si="104"/>
        <v>4.4247787610619449</v>
      </c>
      <c r="Y98" s="61">
        <f>((K98-V98)/K98)*100</f>
        <v>10.065845918866851</v>
      </c>
      <c r="AA98" s="497"/>
      <c r="AB98" s="143" t="s">
        <v>27</v>
      </c>
      <c r="AC98" s="229">
        <v>19.18</v>
      </c>
      <c r="AD98" s="230">
        <v>19.11</v>
      </c>
      <c r="AE98" s="230">
        <v>19.260000000000002</v>
      </c>
      <c r="AF98" s="180">
        <f t="shared" si="97"/>
        <v>19.183333333333334</v>
      </c>
      <c r="AG98" s="190">
        <v>6.52</v>
      </c>
      <c r="AH98" s="179">
        <v>6.52</v>
      </c>
      <c r="AI98" s="179">
        <v>6.58</v>
      </c>
      <c r="AJ98" s="234">
        <f t="shared" si="98"/>
        <v>6.5399999999999991</v>
      </c>
      <c r="AK98" s="238">
        <f t="shared" si="99"/>
        <v>1890.23489461857</v>
      </c>
      <c r="AL98" s="497"/>
      <c r="AM98" s="143" t="s">
        <v>27</v>
      </c>
      <c r="AN98" s="230">
        <v>18.21</v>
      </c>
      <c r="AO98" s="230">
        <v>18.14</v>
      </c>
      <c r="AP98" s="230">
        <v>18.350000000000001</v>
      </c>
      <c r="AQ98" s="180">
        <f t="shared" si="100"/>
        <v>18.233333333333334</v>
      </c>
      <c r="AR98" s="190">
        <v>6.19</v>
      </c>
      <c r="AS98" s="179">
        <v>6.19</v>
      </c>
      <c r="AT98" s="179">
        <v>6.17</v>
      </c>
      <c r="AU98" s="180">
        <f t="shared" si="101"/>
        <v>6.1833333333333336</v>
      </c>
      <c r="AV98" s="241">
        <f t="shared" si="102"/>
        <v>1614.5246639945785</v>
      </c>
      <c r="AW98" s="27">
        <f t="shared" si="106"/>
        <v>4.952215464813202</v>
      </c>
      <c r="AX98" s="27">
        <f t="shared" si="107"/>
        <v>5.4536187563710339</v>
      </c>
      <c r="AY98" s="61">
        <f>((AK98-AV98)/AK98)*100</f>
        <v>14.586030096520201</v>
      </c>
      <c r="BC98" s="280"/>
      <c r="BD98" s="280"/>
      <c r="BE98" s="75"/>
      <c r="BF98" s="75"/>
      <c r="BG98" s="75"/>
      <c r="BH98" s="75"/>
      <c r="BI98" s="75"/>
      <c r="BJ98" s="75"/>
      <c r="BK98" s="75"/>
      <c r="BL98" s="280"/>
      <c r="BM98" s="75"/>
      <c r="BN98" s="75"/>
      <c r="BO98" s="75"/>
      <c r="BP98" s="75"/>
      <c r="BQ98" s="75"/>
      <c r="BR98" s="75"/>
      <c r="BS98" s="75"/>
    </row>
    <row r="99" spans="1:71" ht="15" customHeight="1" x14ac:dyDescent="0.25">
      <c r="A99" s="521" t="s">
        <v>197</v>
      </c>
      <c r="B99" s="144" t="s">
        <v>21</v>
      </c>
      <c r="C99" s="170">
        <v>19.010000000000002</v>
      </c>
      <c r="D99" s="170">
        <v>18.96</v>
      </c>
      <c r="E99" s="170">
        <v>18.89</v>
      </c>
      <c r="F99" s="167">
        <f t="shared" si="91"/>
        <v>18.953333333333333</v>
      </c>
      <c r="G99" s="173">
        <v>6.27</v>
      </c>
      <c r="H99" s="173">
        <v>6.46</v>
      </c>
      <c r="I99" s="173">
        <v>6.34</v>
      </c>
      <c r="J99" s="175">
        <f t="shared" si="92"/>
        <v>6.3566666666666665</v>
      </c>
      <c r="K99" s="236">
        <f>PI()*((F99/2)^2)*J99</f>
        <v>1793.4551519605518</v>
      </c>
      <c r="L99" s="521" t="s">
        <v>197</v>
      </c>
      <c r="M99" s="137" t="s">
        <v>21</v>
      </c>
      <c r="N99" s="173">
        <v>17.760000000000002</v>
      </c>
      <c r="O99" s="173">
        <v>17.8</v>
      </c>
      <c r="P99" s="173">
        <v>17.64</v>
      </c>
      <c r="Q99" s="175">
        <f t="shared" si="94"/>
        <v>17.733333333333334</v>
      </c>
      <c r="R99" s="189">
        <v>5.85</v>
      </c>
      <c r="S99" s="173">
        <v>6.08</v>
      </c>
      <c r="T99" s="173">
        <v>6.06</v>
      </c>
      <c r="U99" s="175">
        <f t="shared" si="95"/>
        <v>5.9966666666666661</v>
      </c>
      <c r="V99" s="239">
        <f>PI()*((Q99/2)^2)*U99</f>
        <v>1481.0869152056353</v>
      </c>
      <c r="W99" s="23">
        <f>((F99-Q99)/F99)*100</f>
        <v>6.4368624692226453</v>
      </c>
      <c r="X99" s="23">
        <f>((J99-U99)/J99)*100</f>
        <v>5.6633455689564816</v>
      </c>
      <c r="Y99" s="23">
        <f>((K99-V99)/K99)*100</f>
        <v>17.41712004414746</v>
      </c>
      <c r="AA99" s="498" t="s">
        <v>198</v>
      </c>
      <c r="AB99" s="144" t="s">
        <v>21</v>
      </c>
      <c r="AC99" s="170">
        <v>18.91</v>
      </c>
      <c r="AD99" s="171">
        <v>19.02</v>
      </c>
      <c r="AE99" s="171">
        <v>18.91</v>
      </c>
      <c r="AF99" s="175">
        <f t="shared" si="97"/>
        <v>18.946666666666669</v>
      </c>
      <c r="AG99" s="189">
        <v>6.59</v>
      </c>
      <c r="AH99" s="173">
        <v>6.56</v>
      </c>
      <c r="AI99" s="173">
        <v>6.54</v>
      </c>
      <c r="AJ99" s="235">
        <f t="shared" si="98"/>
        <v>6.5633333333333326</v>
      </c>
      <c r="AK99" s="236">
        <f>PI()*((AF99/2)^2)*AJ99</f>
        <v>1850.46115102524</v>
      </c>
      <c r="AL99" s="498" t="s">
        <v>198</v>
      </c>
      <c r="AM99" s="144" t="s">
        <v>21</v>
      </c>
      <c r="AN99" s="171">
        <v>18</v>
      </c>
      <c r="AO99" s="171">
        <v>17.91</v>
      </c>
      <c r="AP99" s="171">
        <v>17.86</v>
      </c>
      <c r="AQ99" s="175">
        <f t="shared" si="100"/>
        <v>17.923333333333332</v>
      </c>
      <c r="AR99" s="189">
        <v>6.34</v>
      </c>
      <c r="AS99" s="173">
        <v>6.35</v>
      </c>
      <c r="AT99" s="173">
        <v>6.37</v>
      </c>
      <c r="AU99" s="175">
        <f t="shared" si="101"/>
        <v>6.3533333333333326</v>
      </c>
      <c r="AV99" s="239">
        <f>PI()*((AQ99/2)^2)*AU99</f>
        <v>1602.9836270173423</v>
      </c>
      <c r="AW99" s="23">
        <f>((AF99-AQ99)/AF99)*100</f>
        <v>5.4011259676284489</v>
      </c>
      <c r="AX99" s="23">
        <f>((AJ99-AU99)/AJ99)*100</f>
        <v>3.1995937023869985</v>
      </c>
      <c r="AY99" s="23">
        <f>((AK99-AV99)/AK99)*100</f>
        <v>13.373829754317395</v>
      </c>
      <c r="BC99" s="280"/>
      <c r="BD99" s="280"/>
      <c r="BE99" s="75"/>
      <c r="BF99" s="75"/>
      <c r="BG99" s="75"/>
      <c r="BH99" s="75"/>
      <c r="BI99" s="75"/>
      <c r="BJ99" s="75"/>
      <c r="BK99" s="75"/>
      <c r="BL99" s="280"/>
      <c r="BM99" s="75"/>
      <c r="BN99" s="75"/>
      <c r="BO99" s="75"/>
      <c r="BP99" s="75"/>
      <c r="BQ99" s="75"/>
      <c r="BR99" s="75"/>
      <c r="BS99" s="75"/>
    </row>
    <row r="100" spans="1:71" x14ac:dyDescent="0.25">
      <c r="A100" s="521"/>
      <c r="B100" s="166" t="s">
        <v>22</v>
      </c>
      <c r="C100" s="187">
        <v>19.079999999999998</v>
      </c>
      <c r="D100" s="187">
        <v>19.05</v>
      </c>
      <c r="E100" s="187">
        <v>19.059999999999999</v>
      </c>
      <c r="F100" s="168">
        <f t="shared" si="91"/>
        <v>19.063333333333333</v>
      </c>
      <c r="G100" s="173">
        <v>6.44</v>
      </c>
      <c r="H100" s="173">
        <v>6.5</v>
      </c>
      <c r="I100" s="173">
        <v>6.51</v>
      </c>
      <c r="J100" s="168">
        <f t="shared" si="92"/>
        <v>6.4833333333333343</v>
      </c>
      <c r="K100" s="237">
        <f t="shared" si="93"/>
        <v>1850.4864781088806</v>
      </c>
      <c r="L100" s="521"/>
      <c r="M100" s="137" t="s">
        <v>22</v>
      </c>
      <c r="N100" s="173">
        <v>17.760000000000002</v>
      </c>
      <c r="O100" s="173">
        <v>17.77</v>
      </c>
      <c r="P100" s="173">
        <v>17.73</v>
      </c>
      <c r="Q100" s="168">
        <f t="shared" si="94"/>
        <v>17.753333333333334</v>
      </c>
      <c r="R100" s="189">
        <v>6.08</v>
      </c>
      <c r="S100" s="173">
        <v>6.19</v>
      </c>
      <c r="T100" s="173">
        <v>6.19</v>
      </c>
      <c r="U100" s="168">
        <f t="shared" si="95"/>
        <v>6.1533333333333333</v>
      </c>
      <c r="V100" s="240">
        <f t="shared" ref="V100:V105" si="109">PI()*((Q100/2)^2)*U100</f>
        <v>1523.2112481642653</v>
      </c>
      <c r="W100" s="27">
        <f>((F100-Q100)/F100)*100</f>
        <v>6.8718307396397904</v>
      </c>
      <c r="X100" s="27">
        <f>((J100-U100)/J100)*100</f>
        <v>5.0899742930591403</v>
      </c>
      <c r="Y100" s="27">
        <f>((K100-V100)/K100)*100</f>
        <v>17.685902264958827</v>
      </c>
      <c r="AA100" s="498"/>
      <c r="AB100" s="137" t="s">
        <v>22</v>
      </c>
      <c r="AC100" s="172">
        <v>19.04</v>
      </c>
      <c r="AD100" s="173">
        <v>19.059999999999999</v>
      </c>
      <c r="AE100" s="173">
        <v>18.87</v>
      </c>
      <c r="AF100" s="168">
        <f t="shared" si="97"/>
        <v>18.989999999999998</v>
      </c>
      <c r="AG100" s="189">
        <v>6.46</v>
      </c>
      <c r="AH100" s="173">
        <v>6.55</v>
      </c>
      <c r="AI100" s="173">
        <v>6.52</v>
      </c>
      <c r="AJ100" s="233">
        <f t="shared" si="98"/>
        <v>6.5100000000000007</v>
      </c>
      <c r="AK100" s="237">
        <f t="shared" si="99"/>
        <v>1843.8296710995689</v>
      </c>
      <c r="AL100" s="498"/>
      <c r="AM100" s="137" t="s">
        <v>22</v>
      </c>
      <c r="AN100" s="173">
        <v>17.77</v>
      </c>
      <c r="AO100" s="173">
        <v>18.09</v>
      </c>
      <c r="AP100" s="173">
        <v>17.8</v>
      </c>
      <c r="AQ100" s="168">
        <f t="shared" si="100"/>
        <v>17.886666666666667</v>
      </c>
      <c r="AR100" s="189">
        <v>6.33</v>
      </c>
      <c r="AS100" s="173">
        <v>6.23</v>
      </c>
      <c r="AT100" s="173">
        <v>6.29</v>
      </c>
      <c r="AU100" s="168">
        <f t="shared" si="101"/>
        <v>6.2833333333333341</v>
      </c>
      <c r="AV100" s="240">
        <f t="shared" si="102"/>
        <v>1578.842500013666</v>
      </c>
      <c r="AW100" s="27">
        <f>((AF100-AQ100)/AF100)*100</f>
        <v>5.8100754783219157</v>
      </c>
      <c r="AX100" s="27">
        <f>((AJ100-AU100)/AJ100)*100</f>
        <v>3.4818228366615447</v>
      </c>
      <c r="AY100" s="27">
        <f>((AK100-AV100)/AK100)*100</f>
        <v>14.37156453436817</v>
      </c>
      <c r="BC100" s="280"/>
      <c r="BD100" s="280"/>
      <c r="BE100" s="75"/>
      <c r="BF100" s="75"/>
      <c r="BG100" s="75"/>
      <c r="BH100" s="75"/>
      <c r="BI100" s="75"/>
      <c r="BJ100" s="75"/>
      <c r="BK100" s="75"/>
      <c r="BL100" s="280"/>
      <c r="BM100" s="75"/>
      <c r="BN100" s="75"/>
      <c r="BO100" s="75"/>
      <c r="BP100" s="75"/>
      <c r="BQ100" s="75"/>
      <c r="BR100" s="75"/>
      <c r="BS100" s="75"/>
    </row>
    <row r="101" spans="1:71" x14ac:dyDescent="0.25">
      <c r="A101" s="521"/>
      <c r="B101" s="166" t="s">
        <v>23</v>
      </c>
      <c r="C101" s="187">
        <v>19</v>
      </c>
      <c r="D101" s="187">
        <v>18.940000000000001</v>
      </c>
      <c r="E101" s="187">
        <v>19.03</v>
      </c>
      <c r="F101" s="168">
        <f t="shared" si="91"/>
        <v>18.989999999999998</v>
      </c>
      <c r="G101" s="173">
        <v>6.5</v>
      </c>
      <c r="H101" s="173">
        <v>6.41</v>
      </c>
      <c r="I101" s="173">
        <v>6.42</v>
      </c>
      <c r="J101" s="168">
        <f t="shared" si="92"/>
        <v>6.4433333333333325</v>
      </c>
      <c r="K101" s="237">
        <f t="shared" si="93"/>
        <v>1824.9476468179548</v>
      </c>
      <c r="L101" s="521"/>
      <c r="M101" s="137" t="s">
        <v>23</v>
      </c>
      <c r="N101" s="173">
        <v>17.739999999999998</v>
      </c>
      <c r="O101" s="173">
        <v>17.71</v>
      </c>
      <c r="P101" s="173">
        <v>17.7</v>
      </c>
      <c r="Q101" s="168">
        <f t="shared" si="94"/>
        <v>17.716666666666669</v>
      </c>
      <c r="R101" s="189">
        <v>6.13</v>
      </c>
      <c r="S101" s="173">
        <v>6.08</v>
      </c>
      <c r="T101" s="173">
        <v>6</v>
      </c>
      <c r="U101" s="168">
        <f t="shared" si="95"/>
        <v>6.07</v>
      </c>
      <c r="V101" s="240">
        <f t="shared" si="109"/>
        <v>1496.3824317186202</v>
      </c>
      <c r="W101" s="27">
        <f t="shared" ref="W101:W105" si="110">((F101-Q101)/F101)*100</f>
        <v>6.7052834825346492</v>
      </c>
      <c r="X101" s="27">
        <f t="shared" ref="X101:X105" si="111">((J101-U101)/J101)*100</f>
        <v>5.7941024314536822</v>
      </c>
      <c r="Y101" s="27">
        <f t="shared" ref="Y101:Y104" si="112">((K101-V101)/K101)*100</f>
        <v>18.004089907578056</v>
      </c>
      <c r="AA101" s="498"/>
      <c r="AB101" s="137" t="s">
        <v>23</v>
      </c>
      <c r="AC101" s="172">
        <v>18.850000000000001</v>
      </c>
      <c r="AD101" s="173">
        <v>19.05</v>
      </c>
      <c r="AE101" s="173">
        <v>19.07</v>
      </c>
      <c r="AF101" s="168">
        <f t="shared" si="97"/>
        <v>18.990000000000002</v>
      </c>
      <c r="AG101" s="189">
        <v>6.47</v>
      </c>
      <c r="AH101" s="173">
        <v>6.43</v>
      </c>
      <c r="AI101" s="173">
        <v>6.4</v>
      </c>
      <c r="AJ101" s="233">
        <f t="shared" si="98"/>
        <v>6.4333333333333327</v>
      </c>
      <c r="AK101" s="237">
        <f t="shared" si="99"/>
        <v>1822.1153431757136</v>
      </c>
      <c r="AL101" s="498"/>
      <c r="AM101" s="137" t="s">
        <v>23</v>
      </c>
      <c r="AN101" s="173">
        <v>18.100000000000001</v>
      </c>
      <c r="AO101" s="173">
        <v>17.850000000000001</v>
      </c>
      <c r="AP101" s="173">
        <v>18.11</v>
      </c>
      <c r="AQ101" s="168">
        <f t="shared" si="100"/>
        <v>18.02</v>
      </c>
      <c r="AR101" s="189">
        <v>6.27</v>
      </c>
      <c r="AS101" s="173">
        <v>6.24</v>
      </c>
      <c r="AT101" s="173">
        <v>6.2</v>
      </c>
      <c r="AU101" s="168">
        <f t="shared" si="101"/>
        <v>6.2366666666666672</v>
      </c>
      <c r="AV101" s="240">
        <f t="shared" si="102"/>
        <v>1590.567072033494</v>
      </c>
      <c r="AW101" s="27">
        <f t="shared" ref="AW101:AW105" si="113">((AF101-AQ101)/AF101)*100</f>
        <v>5.1079515534491957</v>
      </c>
      <c r="AX101" s="27">
        <f t="shared" ref="AX101:AX105" si="114">((AJ101-AU101)/AJ101)*100</f>
        <v>3.0569948186528308</v>
      </c>
      <c r="AY101" s="27">
        <f t="shared" ref="AY101:AY104" si="115">((AK101-AV101)/AK101)*100</f>
        <v>12.707662663037599</v>
      </c>
      <c r="BC101" s="280"/>
      <c r="BD101" s="280"/>
      <c r="BE101" s="75"/>
      <c r="BF101" s="75"/>
      <c r="BG101" s="75"/>
      <c r="BH101" s="75"/>
      <c r="BI101" s="75"/>
      <c r="BJ101" s="75"/>
      <c r="BK101" s="75"/>
      <c r="BL101" s="280"/>
      <c r="BM101" s="75"/>
      <c r="BN101" s="75"/>
      <c r="BO101" s="75"/>
      <c r="BP101" s="75"/>
      <c r="BQ101" s="75"/>
      <c r="BR101" s="75"/>
      <c r="BS101" s="75"/>
    </row>
    <row r="102" spans="1:71" x14ac:dyDescent="0.25">
      <c r="A102" s="521"/>
      <c r="B102" s="166" t="s">
        <v>24</v>
      </c>
      <c r="C102" s="187">
        <v>19.010000000000002</v>
      </c>
      <c r="D102" s="187">
        <v>18.8</v>
      </c>
      <c r="E102" s="187">
        <v>19.010000000000002</v>
      </c>
      <c r="F102" s="168">
        <f t="shared" si="91"/>
        <v>18.940000000000001</v>
      </c>
      <c r="G102" s="173">
        <v>6.63</v>
      </c>
      <c r="H102" s="173">
        <v>6.56</v>
      </c>
      <c r="I102" s="173">
        <v>6.42</v>
      </c>
      <c r="J102" s="168">
        <f t="shared" si="92"/>
        <v>6.5366666666666662</v>
      </c>
      <c r="K102" s="237">
        <f t="shared" si="93"/>
        <v>1841.6460660231874</v>
      </c>
      <c r="L102" s="521"/>
      <c r="M102" s="137" t="s">
        <v>24</v>
      </c>
      <c r="N102" s="173">
        <v>17.760000000000002</v>
      </c>
      <c r="O102" s="173">
        <v>17.45</v>
      </c>
      <c r="P102" s="173">
        <v>17.82</v>
      </c>
      <c r="Q102" s="168">
        <f t="shared" si="94"/>
        <v>17.676666666666666</v>
      </c>
      <c r="R102" s="189">
        <v>6.25</v>
      </c>
      <c r="S102" s="173">
        <v>6.18</v>
      </c>
      <c r="T102" s="173">
        <v>6.2</v>
      </c>
      <c r="U102" s="168">
        <f t="shared" si="95"/>
        <v>6.21</v>
      </c>
      <c r="V102" s="240">
        <f t="shared" si="109"/>
        <v>1523.9903826609543</v>
      </c>
      <c r="W102" s="27">
        <f t="shared" si="110"/>
        <v>6.6701865540302814</v>
      </c>
      <c r="X102" s="27">
        <f t="shared" si="111"/>
        <v>4.9974502804691419</v>
      </c>
      <c r="Y102" s="27">
        <f t="shared" si="112"/>
        <v>17.248465338846145</v>
      </c>
      <c r="AA102" s="498"/>
      <c r="AB102" s="137" t="s">
        <v>24</v>
      </c>
      <c r="AC102" s="172">
        <v>19.21</v>
      </c>
      <c r="AD102" s="173">
        <v>19.059999999999999</v>
      </c>
      <c r="AE102" s="173">
        <v>18.920000000000002</v>
      </c>
      <c r="AF102" s="168">
        <f t="shared" si="97"/>
        <v>19.063333333333333</v>
      </c>
      <c r="AG102" s="189">
        <v>6.39</v>
      </c>
      <c r="AH102" s="173">
        <v>6.33</v>
      </c>
      <c r="AI102" s="173">
        <v>6.36</v>
      </c>
      <c r="AJ102" s="233">
        <f t="shared" si="98"/>
        <v>6.3599999999999994</v>
      </c>
      <c r="AK102" s="237">
        <f t="shared" si="99"/>
        <v>1815.2844217129787</v>
      </c>
      <c r="AL102" s="498"/>
      <c r="AM102" s="137" t="s">
        <v>24</v>
      </c>
      <c r="AN102" s="173">
        <v>17.8</v>
      </c>
      <c r="AO102" s="173">
        <v>17.98</v>
      </c>
      <c r="AP102" s="173">
        <v>17.809999999999999</v>
      </c>
      <c r="AQ102" s="168">
        <f t="shared" si="100"/>
        <v>17.863333333333333</v>
      </c>
      <c r="AR102" s="189">
        <v>6.14</v>
      </c>
      <c r="AS102" s="173">
        <v>6.17</v>
      </c>
      <c r="AT102" s="173">
        <v>6.18</v>
      </c>
      <c r="AU102" s="168">
        <f t="shared" si="101"/>
        <v>6.1633333333333331</v>
      </c>
      <c r="AV102" s="240">
        <f t="shared" si="102"/>
        <v>1544.6516136752975</v>
      </c>
      <c r="AW102" s="27">
        <f t="shared" si="113"/>
        <v>6.2948067844028639</v>
      </c>
      <c r="AX102" s="27">
        <f t="shared" si="114"/>
        <v>3.0922431865828042</v>
      </c>
      <c r="AY102" s="27">
        <f t="shared" si="115"/>
        <v>14.908562250663762</v>
      </c>
      <c r="BC102" s="280"/>
      <c r="BD102" s="280"/>
      <c r="BE102" s="75"/>
      <c r="BF102" s="75"/>
      <c r="BG102" s="75"/>
      <c r="BH102" s="75"/>
      <c r="BI102" s="75"/>
      <c r="BJ102" s="75"/>
      <c r="BK102" s="75"/>
      <c r="BL102" s="280"/>
      <c r="BM102" s="75"/>
      <c r="BN102" s="75"/>
      <c r="BO102" s="75"/>
      <c r="BP102" s="75"/>
      <c r="BQ102" s="75"/>
      <c r="BR102" s="75"/>
      <c r="BS102" s="75"/>
    </row>
    <row r="103" spans="1:71" x14ac:dyDescent="0.25">
      <c r="A103" s="521"/>
      <c r="B103" s="166" t="s">
        <v>25</v>
      </c>
      <c r="C103" s="187">
        <v>19.02</v>
      </c>
      <c r="D103" s="187">
        <v>19.03</v>
      </c>
      <c r="E103" s="187">
        <v>19.05</v>
      </c>
      <c r="F103" s="168">
        <f t="shared" si="91"/>
        <v>19.033333333333331</v>
      </c>
      <c r="G103" s="173">
        <v>6.55</v>
      </c>
      <c r="H103" s="173">
        <v>6.45</v>
      </c>
      <c r="I103" s="173">
        <v>6.56</v>
      </c>
      <c r="J103" s="168">
        <f t="shared" si="92"/>
        <v>6.52</v>
      </c>
      <c r="K103" s="237">
        <f t="shared" si="93"/>
        <v>1855.099396557315</v>
      </c>
      <c r="L103" s="521"/>
      <c r="M103" s="137" t="s">
        <v>25</v>
      </c>
      <c r="N103" s="173">
        <v>17.54</v>
      </c>
      <c r="O103" s="173">
        <v>17.739999999999998</v>
      </c>
      <c r="P103" s="173">
        <v>17.79</v>
      </c>
      <c r="Q103" s="168">
        <f t="shared" si="94"/>
        <v>17.690000000000001</v>
      </c>
      <c r="R103" s="189">
        <v>6.22</v>
      </c>
      <c r="S103" s="173">
        <v>6.17</v>
      </c>
      <c r="T103" s="173">
        <v>6.08</v>
      </c>
      <c r="U103" s="168">
        <f t="shared" si="95"/>
        <v>6.1566666666666663</v>
      </c>
      <c r="V103" s="240">
        <f t="shared" si="109"/>
        <v>1513.1820745226805</v>
      </c>
      <c r="W103" s="27">
        <f t="shared" si="110"/>
        <v>7.0577933450087409</v>
      </c>
      <c r="X103" s="27">
        <f t="shared" si="111"/>
        <v>5.5725971370143146</v>
      </c>
      <c r="Y103" s="27">
        <f t="shared" si="112"/>
        <v>18.431213048161361</v>
      </c>
      <c r="AA103" s="498"/>
      <c r="AB103" s="137" t="s">
        <v>25</v>
      </c>
      <c r="AC103" s="172">
        <v>19.02</v>
      </c>
      <c r="AD103" s="173">
        <v>18.95</v>
      </c>
      <c r="AE103" s="173">
        <v>18.87</v>
      </c>
      <c r="AF103" s="168">
        <f t="shared" si="97"/>
        <v>18.946666666666669</v>
      </c>
      <c r="AG103" s="189">
        <v>6.59</v>
      </c>
      <c r="AH103" s="173">
        <v>6.55</v>
      </c>
      <c r="AI103" s="173">
        <v>6.47</v>
      </c>
      <c r="AJ103" s="233">
        <f t="shared" si="98"/>
        <v>6.5366666666666662</v>
      </c>
      <c r="AK103" s="237">
        <f t="shared" si="99"/>
        <v>1842.9427715391041</v>
      </c>
      <c r="AL103" s="498"/>
      <c r="AM103" s="137" t="s">
        <v>25</v>
      </c>
      <c r="AN103" s="173">
        <v>17.86</v>
      </c>
      <c r="AO103" s="173">
        <v>17.88</v>
      </c>
      <c r="AP103" s="173">
        <v>17.809999999999999</v>
      </c>
      <c r="AQ103" s="168">
        <f t="shared" si="100"/>
        <v>17.849999999999998</v>
      </c>
      <c r="AR103" s="189">
        <v>6.28</v>
      </c>
      <c r="AS103" s="173">
        <v>6.33</v>
      </c>
      <c r="AT103" s="173">
        <v>6.4</v>
      </c>
      <c r="AU103" s="168">
        <f t="shared" si="101"/>
        <v>6.336666666666666</v>
      </c>
      <c r="AV103" s="240">
        <f t="shared" si="102"/>
        <v>1585.7224850960451</v>
      </c>
      <c r="AW103" s="27">
        <f t="shared" si="113"/>
        <v>5.7881773399015009</v>
      </c>
      <c r="AX103" s="27">
        <f t="shared" si="114"/>
        <v>3.0596634370219302</v>
      </c>
      <c r="AY103" s="27">
        <f t="shared" si="115"/>
        <v>13.957041445635642</v>
      </c>
      <c r="BC103" s="280"/>
      <c r="BD103" s="280"/>
      <c r="BE103" s="75"/>
      <c r="BF103" s="75"/>
      <c r="BG103" s="75"/>
      <c r="BH103" s="75"/>
      <c r="BI103" s="75"/>
      <c r="BJ103" s="75"/>
      <c r="BK103" s="75"/>
      <c r="BL103" s="280"/>
      <c r="BM103" s="75"/>
      <c r="BN103" s="75"/>
      <c r="BO103" s="75"/>
      <c r="BP103" s="75"/>
      <c r="BQ103" s="75"/>
      <c r="BR103" s="75"/>
      <c r="BS103" s="75"/>
    </row>
    <row r="104" spans="1:71" x14ac:dyDescent="0.25">
      <c r="A104" s="521"/>
      <c r="B104" s="166" t="s">
        <v>26</v>
      </c>
      <c r="C104" s="187">
        <v>19.059999999999999</v>
      </c>
      <c r="D104" s="187">
        <v>19.04</v>
      </c>
      <c r="E104" s="187">
        <v>19.02</v>
      </c>
      <c r="F104" s="168">
        <f t="shared" si="91"/>
        <v>19.039999999999996</v>
      </c>
      <c r="G104" s="173">
        <v>6.43</v>
      </c>
      <c r="H104" s="173">
        <v>6.29</v>
      </c>
      <c r="I104" s="173">
        <v>6.39</v>
      </c>
      <c r="J104" s="168">
        <f t="shared" si="92"/>
        <v>6.37</v>
      </c>
      <c r="K104" s="237">
        <f t="shared" si="93"/>
        <v>1813.69059855923</v>
      </c>
      <c r="L104" s="521"/>
      <c r="M104" s="137" t="s">
        <v>26</v>
      </c>
      <c r="N104" s="173">
        <v>17.760000000000002</v>
      </c>
      <c r="O104" s="173">
        <v>17.54</v>
      </c>
      <c r="P104" s="173">
        <v>17.809999999999999</v>
      </c>
      <c r="Q104" s="168">
        <f t="shared" si="94"/>
        <v>17.703333333333333</v>
      </c>
      <c r="R104" s="189">
        <v>5.95</v>
      </c>
      <c r="S104" s="173">
        <v>5.83</v>
      </c>
      <c r="T104" s="173">
        <v>6.16</v>
      </c>
      <c r="U104" s="168">
        <f t="shared" si="95"/>
        <v>5.98</v>
      </c>
      <c r="V104" s="240">
        <f t="shared" si="109"/>
        <v>1471.9774563978681</v>
      </c>
      <c r="W104" s="27">
        <f t="shared" si="110"/>
        <v>7.0203081232492792</v>
      </c>
      <c r="X104" s="27">
        <f t="shared" si="111"/>
        <v>6.122448979591832</v>
      </c>
      <c r="Y104" s="27">
        <f t="shared" si="112"/>
        <v>18.840762720654446</v>
      </c>
      <c r="AA104" s="498"/>
      <c r="AB104" s="137" t="s">
        <v>26</v>
      </c>
      <c r="AC104" s="172">
        <v>18.98</v>
      </c>
      <c r="AD104" s="173">
        <v>19.04</v>
      </c>
      <c r="AE104" s="173">
        <v>18.91</v>
      </c>
      <c r="AF104" s="168">
        <f t="shared" si="97"/>
        <v>18.976666666666663</v>
      </c>
      <c r="AG104" s="189">
        <v>6.56</v>
      </c>
      <c r="AH104" s="173">
        <v>6.53</v>
      </c>
      <c r="AI104" s="173">
        <v>6.51</v>
      </c>
      <c r="AJ104" s="233">
        <f t="shared" si="98"/>
        <v>6.5333333333333341</v>
      </c>
      <c r="AK104" s="237">
        <f t="shared" si="99"/>
        <v>1847.8408177079184</v>
      </c>
      <c r="AL104" s="498"/>
      <c r="AM104" s="137" t="s">
        <v>26</v>
      </c>
      <c r="AN104" s="173">
        <v>17.86</v>
      </c>
      <c r="AO104" s="173">
        <v>18.16</v>
      </c>
      <c r="AP104" s="173">
        <v>17.829999999999998</v>
      </c>
      <c r="AQ104" s="168">
        <f t="shared" si="100"/>
        <v>17.95</v>
      </c>
      <c r="AR104" s="189">
        <v>6.3</v>
      </c>
      <c r="AS104" s="173">
        <v>6.31</v>
      </c>
      <c r="AT104" s="173">
        <v>6.3</v>
      </c>
      <c r="AU104" s="168">
        <f t="shared" si="101"/>
        <v>6.3033333333333337</v>
      </c>
      <c r="AV104" s="240">
        <f t="shared" si="102"/>
        <v>1595.1042101474914</v>
      </c>
      <c r="AW104" s="27">
        <f t="shared" si="113"/>
        <v>5.4101528192516986</v>
      </c>
      <c r="AX104" s="27">
        <f t="shared" si="114"/>
        <v>3.5204081632653121</v>
      </c>
      <c r="AY104" s="27">
        <f t="shared" si="115"/>
        <v>13.677401491429562</v>
      </c>
    </row>
    <row r="105" spans="1:71" ht="15.75" thickBot="1" x14ac:dyDescent="0.3">
      <c r="A105" s="522"/>
      <c r="B105" s="185" t="s">
        <v>27</v>
      </c>
      <c r="C105" s="188">
        <v>18.940000000000001</v>
      </c>
      <c r="D105" s="188">
        <v>19.04</v>
      </c>
      <c r="E105" s="188">
        <v>18.79</v>
      </c>
      <c r="F105" s="169">
        <f t="shared" si="91"/>
        <v>18.923333333333336</v>
      </c>
      <c r="G105" s="179">
        <v>6.3</v>
      </c>
      <c r="H105" s="179">
        <v>6.26</v>
      </c>
      <c r="I105" s="179">
        <v>6.34</v>
      </c>
      <c r="J105" s="180">
        <f t="shared" si="92"/>
        <v>6.3</v>
      </c>
      <c r="K105" s="238">
        <f t="shared" si="93"/>
        <v>1771.8449284178107</v>
      </c>
      <c r="L105" s="522"/>
      <c r="M105" s="138" t="s">
        <v>27</v>
      </c>
      <c r="N105" s="179">
        <v>17.68</v>
      </c>
      <c r="O105" s="179">
        <v>17.68</v>
      </c>
      <c r="P105" s="179">
        <v>17.68</v>
      </c>
      <c r="Q105" s="180">
        <f t="shared" si="94"/>
        <v>17.68</v>
      </c>
      <c r="R105" s="190">
        <v>5.95</v>
      </c>
      <c r="S105" s="179">
        <v>5.91</v>
      </c>
      <c r="T105" s="179">
        <v>5.96</v>
      </c>
      <c r="U105" s="180">
        <f t="shared" si="95"/>
        <v>5.94</v>
      </c>
      <c r="V105" s="241">
        <f t="shared" si="109"/>
        <v>1458.2797586499773</v>
      </c>
      <c r="W105" s="27">
        <f t="shared" si="110"/>
        <v>6.5703716751805654</v>
      </c>
      <c r="X105" s="27">
        <f t="shared" si="111"/>
        <v>5.7142857142857046</v>
      </c>
      <c r="Y105" s="61">
        <f>((K105-V105)/K105)*100</f>
        <v>17.697100053097479</v>
      </c>
      <c r="AA105" s="499"/>
      <c r="AB105" s="138" t="s">
        <v>27</v>
      </c>
      <c r="AC105" s="178">
        <v>19.05</v>
      </c>
      <c r="AD105" s="179">
        <v>18.149999999999999</v>
      </c>
      <c r="AE105" s="179">
        <v>18.98</v>
      </c>
      <c r="AF105" s="180">
        <f t="shared" si="97"/>
        <v>18.72666666666667</v>
      </c>
      <c r="AG105" s="190">
        <v>6.66</v>
      </c>
      <c r="AH105" s="179">
        <v>6.63</v>
      </c>
      <c r="AI105" s="179">
        <v>6.59</v>
      </c>
      <c r="AJ105" s="234">
        <f t="shared" si="98"/>
        <v>6.626666666666666</v>
      </c>
      <c r="AK105" s="238">
        <f t="shared" si="99"/>
        <v>1825.1811170394456</v>
      </c>
      <c r="AL105" s="499"/>
      <c r="AM105" s="138" t="s">
        <v>27</v>
      </c>
      <c r="AN105" s="179">
        <v>17.91</v>
      </c>
      <c r="AO105" s="179">
        <v>18.02</v>
      </c>
      <c r="AP105" s="179">
        <v>18.04</v>
      </c>
      <c r="AQ105" s="180">
        <f t="shared" si="100"/>
        <v>17.989999999999998</v>
      </c>
      <c r="AR105" s="190">
        <v>6.4</v>
      </c>
      <c r="AS105" s="179">
        <v>6.38</v>
      </c>
      <c r="AT105" s="179">
        <v>6.43</v>
      </c>
      <c r="AU105" s="180">
        <f t="shared" si="101"/>
        <v>6.4033333333333333</v>
      </c>
      <c r="AV105" s="241">
        <f t="shared" si="102"/>
        <v>1627.6398647077779</v>
      </c>
      <c r="AW105" s="27">
        <f t="shared" si="113"/>
        <v>3.9337842648629668</v>
      </c>
      <c r="AX105" s="27">
        <f t="shared" si="114"/>
        <v>3.3702213279677977</v>
      </c>
      <c r="AY105" s="61">
        <f>((AK105-AV105)/AK105)*100</f>
        <v>10.823104101147592</v>
      </c>
    </row>
    <row r="106" spans="1:71" x14ac:dyDescent="0.25">
      <c r="A106" s="122"/>
      <c r="B106" s="64"/>
      <c r="C106" s="75"/>
      <c r="D106" s="75"/>
      <c r="E106" s="75"/>
      <c r="F106" s="125"/>
      <c r="G106" s="75"/>
      <c r="H106" s="75"/>
      <c r="I106" s="75"/>
      <c r="J106" s="75"/>
      <c r="K106" s="75"/>
      <c r="L106" s="75"/>
      <c r="M106" s="122"/>
      <c r="N106" s="64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C106" s="66"/>
      <c r="AD106" s="99"/>
      <c r="AE106" s="92"/>
      <c r="AF106" s="92"/>
      <c r="AG106" s="92"/>
      <c r="AH106" s="92"/>
      <c r="AI106" s="92"/>
      <c r="AJ106" s="92"/>
      <c r="AK106" s="92"/>
      <c r="AL106" s="92"/>
      <c r="AM106" s="92"/>
      <c r="AO106" s="66"/>
      <c r="AP106" s="99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</row>
    <row r="107" spans="1:71" ht="15.75" thickBot="1" x14ac:dyDescent="0.3">
      <c r="A107" s="142"/>
      <c r="B107" s="67"/>
      <c r="C107" s="75"/>
      <c r="D107" s="75"/>
      <c r="E107" s="75"/>
      <c r="F107" s="125"/>
      <c r="G107" s="75"/>
      <c r="H107" s="75"/>
      <c r="I107" s="75"/>
      <c r="J107" s="75"/>
      <c r="K107" s="75"/>
      <c r="L107" s="75"/>
      <c r="M107" s="142"/>
      <c r="N107" s="67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C107" s="66"/>
      <c r="AD107" s="99"/>
      <c r="AE107" s="92"/>
      <c r="AF107" s="92"/>
      <c r="AG107" s="92"/>
      <c r="AH107" s="92"/>
      <c r="AI107" s="92"/>
      <c r="AJ107" s="92"/>
      <c r="AK107" s="92"/>
      <c r="AL107" s="92"/>
      <c r="AM107" s="92"/>
      <c r="AO107" s="66"/>
      <c r="AP107" s="99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</row>
    <row r="108" spans="1:71" ht="16.5" thickBot="1" x14ac:dyDescent="0.3">
      <c r="A108" s="72" t="s">
        <v>204</v>
      </c>
      <c r="B108" s="523" t="s">
        <v>4</v>
      </c>
      <c r="C108" s="523"/>
      <c r="D108" s="523"/>
      <c r="E108" s="523"/>
      <c r="F108" s="523"/>
      <c r="G108" s="523"/>
      <c r="H108" s="523"/>
      <c r="I108" s="523"/>
      <c r="J108" s="524"/>
      <c r="K108" s="204"/>
      <c r="L108" s="72" t="s">
        <v>124</v>
      </c>
      <c r="M108" s="525" t="s">
        <v>205</v>
      </c>
      <c r="N108" s="526"/>
      <c r="O108" s="526"/>
      <c r="P108" s="526"/>
      <c r="Q108" s="526"/>
      <c r="R108" s="526"/>
      <c r="S108" s="526"/>
      <c r="T108" s="526"/>
      <c r="U108" s="527"/>
      <c r="V108" s="204"/>
      <c r="W108" s="204"/>
      <c r="X108" s="204"/>
      <c r="Y108" s="243"/>
      <c r="AA108" s="72" t="s">
        <v>206</v>
      </c>
      <c r="AB108" s="523" t="s">
        <v>4</v>
      </c>
      <c r="AC108" s="523"/>
      <c r="AD108" s="523"/>
      <c r="AE108" s="523"/>
      <c r="AF108" s="523"/>
      <c r="AG108" s="523"/>
      <c r="AH108" s="523"/>
      <c r="AI108" s="523"/>
      <c r="AJ108" s="524"/>
      <c r="AK108" s="204"/>
      <c r="AL108" s="72" t="s">
        <v>125</v>
      </c>
      <c r="AM108" s="525" t="s">
        <v>205</v>
      </c>
      <c r="AN108" s="526"/>
      <c r="AO108" s="526"/>
      <c r="AP108" s="526"/>
      <c r="AQ108" s="526"/>
      <c r="AR108" s="526"/>
      <c r="AS108" s="526"/>
      <c r="AT108" s="526"/>
      <c r="AU108" s="527"/>
      <c r="AV108" s="204"/>
      <c r="AW108" s="204"/>
      <c r="AX108" s="204"/>
      <c r="AY108" s="243"/>
      <c r="AZ108" s="126"/>
      <c r="BA108" s="126"/>
      <c r="BB108" s="126"/>
      <c r="BC108" s="126"/>
      <c r="BD108" s="126"/>
      <c r="BE108" s="126"/>
      <c r="BF108" s="126"/>
      <c r="BG108" s="126"/>
      <c r="BH108" s="126"/>
      <c r="BI108" s="124"/>
      <c r="BJ108" s="126"/>
      <c r="BK108" s="126"/>
      <c r="BL108" s="126"/>
      <c r="BM108" s="126"/>
      <c r="BN108" s="126"/>
      <c r="BO108" s="126"/>
      <c r="BP108" s="126"/>
      <c r="BQ108" s="126"/>
    </row>
    <row r="109" spans="1:71" ht="15.75" thickBot="1" x14ac:dyDescent="0.3">
      <c r="A109" s="77" t="s">
        <v>12</v>
      </c>
      <c r="B109" s="78" t="s">
        <v>6</v>
      </c>
      <c r="C109" s="79" t="s">
        <v>13</v>
      </c>
      <c r="D109" s="79" t="s">
        <v>14</v>
      </c>
      <c r="E109" s="79" t="s">
        <v>15</v>
      </c>
      <c r="F109" s="80" t="s">
        <v>16</v>
      </c>
      <c r="G109" s="81" t="s">
        <v>17</v>
      </c>
      <c r="H109" s="82" t="s">
        <v>18</v>
      </c>
      <c r="I109" s="82" t="s">
        <v>19</v>
      </c>
      <c r="J109" s="83" t="s">
        <v>16</v>
      </c>
      <c r="K109" s="201" t="s">
        <v>183</v>
      </c>
      <c r="L109" s="84" t="s">
        <v>12</v>
      </c>
      <c r="M109" s="78" t="s">
        <v>6</v>
      </c>
      <c r="N109" s="79" t="s">
        <v>13</v>
      </c>
      <c r="O109" s="79" t="s">
        <v>14</v>
      </c>
      <c r="P109" s="79" t="s">
        <v>15</v>
      </c>
      <c r="Q109" s="80" t="s">
        <v>16</v>
      </c>
      <c r="R109" s="81" t="s">
        <v>17</v>
      </c>
      <c r="S109" s="82" t="s">
        <v>18</v>
      </c>
      <c r="T109" s="82" t="s">
        <v>19</v>
      </c>
      <c r="U109" s="83" t="s">
        <v>16</v>
      </c>
      <c r="V109" s="84" t="s">
        <v>183</v>
      </c>
      <c r="W109" s="201" t="s">
        <v>184</v>
      </c>
      <c r="X109" s="201" t="s">
        <v>185</v>
      </c>
      <c r="Y109" s="194" t="s">
        <v>186</v>
      </c>
      <c r="AA109" s="77" t="s">
        <v>12</v>
      </c>
      <c r="AB109" s="78" t="s">
        <v>6</v>
      </c>
      <c r="AC109" s="79" t="s">
        <v>13</v>
      </c>
      <c r="AD109" s="79" t="s">
        <v>14</v>
      </c>
      <c r="AE109" s="79" t="s">
        <v>15</v>
      </c>
      <c r="AF109" s="80" t="s">
        <v>16</v>
      </c>
      <c r="AG109" s="81" t="s">
        <v>17</v>
      </c>
      <c r="AH109" s="82" t="s">
        <v>18</v>
      </c>
      <c r="AI109" s="82" t="s">
        <v>19</v>
      </c>
      <c r="AJ109" s="83" t="s">
        <v>16</v>
      </c>
      <c r="AK109" s="80" t="s">
        <v>16</v>
      </c>
      <c r="AL109" s="84" t="s">
        <v>12</v>
      </c>
      <c r="AM109" s="78" t="s">
        <v>6</v>
      </c>
      <c r="AN109" s="79" t="s">
        <v>13</v>
      </c>
      <c r="AO109" s="79" t="s">
        <v>14</v>
      </c>
      <c r="AP109" s="79" t="s">
        <v>15</v>
      </c>
      <c r="AQ109" s="80" t="s">
        <v>16</v>
      </c>
      <c r="AR109" s="81" t="s">
        <v>17</v>
      </c>
      <c r="AS109" s="82" t="s">
        <v>18</v>
      </c>
      <c r="AT109" s="82" t="s">
        <v>19</v>
      </c>
      <c r="AU109" s="80" t="s">
        <v>16</v>
      </c>
      <c r="AV109" s="201" t="s">
        <v>183</v>
      </c>
      <c r="AW109" s="201" t="s">
        <v>184</v>
      </c>
      <c r="AX109" s="201" t="s">
        <v>185</v>
      </c>
      <c r="AY109" s="194" t="s">
        <v>186</v>
      </c>
      <c r="AZ109" s="75"/>
      <c r="BA109" s="75"/>
      <c r="BB109" s="75"/>
      <c r="BC109" s="75"/>
      <c r="BD109" s="75"/>
      <c r="BE109" s="75"/>
      <c r="BF109" s="75"/>
      <c r="BG109" s="75"/>
      <c r="BH109" s="75"/>
      <c r="BI109" s="75"/>
      <c r="BJ109" s="75"/>
      <c r="BK109" s="75"/>
      <c r="BL109" s="75"/>
      <c r="BM109" s="75"/>
      <c r="BN109" s="75"/>
      <c r="BO109" s="75"/>
      <c r="BP109" s="75"/>
      <c r="BQ109" s="75"/>
    </row>
    <row r="110" spans="1:71" ht="15" customHeight="1" x14ac:dyDescent="0.25">
      <c r="A110" s="518" t="s">
        <v>207</v>
      </c>
      <c r="B110" s="174" t="s">
        <v>21</v>
      </c>
      <c r="C110" s="170">
        <v>19.25</v>
      </c>
      <c r="D110" s="170">
        <v>19.170000000000002</v>
      </c>
      <c r="E110" s="170">
        <v>19.03</v>
      </c>
      <c r="F110" s="167">
        <f>AVERAGE(C110:E110)</f>
        <v>19.150000000000002</v>
      </c>
      <c r="G110" s="181">
        <v>6.53</v>
      </c>
      <c r="H110" s="181">
        <v>6.48</v>
      </c>
      <c r="I110" s="181">
        <v>6.64</v>
      </c>
      <c r="J110" s="175">
        <f>AVERAGE(G110:I110)</f>
        <v>6.5500000000000007</v>
      </c>
      <c r="K110" s="236">
        <f>PI()*((F110/2)^2)*J110</f>
        <v>1886.5518157462113</v>
      </c>
      <c r="L110" s="518" t="s">
        <v>207</v>
      </c>
      <c r="M110" s="141" t="s">
        <v>21</v>
      </c>
      <c r="N110" s="181">
        <v>18.899999999999999</v>
      </c>
      <c r="O110" s="181">
        <v>18.96</v>
      </c>
      <c r="P110" s="181">
        <v>18.88</v>
      </c>
      <c r="Q110" s="175">
        <f>AVERAGE(N110:P110)</f>
        <v>18.91333333333333</v>
      </c>
      <c r="R110" s="228">
        <v>6.39</v>
      </c>
      <c r="S110" s="181">
        <v>6.5</v>
      </c>
      <c r="T110" s="181">
        <v>6.4</v>
      </c>
      <c r="U110" s="175">
        <f>AVERAGE(R110:T110)</f>
        <v>6.43</v>
      </c>
      <c r="V110" s="239">
        <f>PI()*((Q110/2)^2)*U110</f>
        <v>1806.4960145339642</v>
      </c>
      <c r="W110" s="23">
        <f>((F110-Q110)/F110)*100</f>
        <v>1.2358572671888859</v>
      </c>
      <c r="X110" s="23">
        <f>((J110-U110)/J110)*100</f>
        <v>1.8320610687023051</v>
      </c>
      <c r="Y110" s="23">
        <f>((K110-V110)/K110)*100</f>
        <v>4.2434986701163941</v>
      </c>
      <c r="AA110" s="495" t="s">
        <v>208</v>
      </c>
      <c r="AB110" s="141" t="s">
        <v>21</v>
      </c>
      <c r="AC110" s="170">
        <v>19.04</v>
      </c>
      <c r="AD110" s="171">
        <v>19.13</v>
      </c>
      <c r="AE110" s="171">
        <v>19.16</v>
      </c>
      <c r="AF110" s="175">
        <f>AVERAGE(AC110:AE110)</f>
        <v>19.11</v>
      </c>
      <c r="AG110" s="228">
        <v>6.35</v>
      </c>
      <c r="AH110" s="181">
        <v>6.34</v>
      </c>
      <c r="AI110" s="181">
        <v>6.41</v>
      </c>
      <c r="AJ110" s="175">
        <f>AVERAGE(AG110:AI110)</f>
        <v>6.3666666666666671</v>
      </c>
      <c r="AK110" s="236">
        <f>PI()*((AF110/2)^2)*AJ110</f>
        <v>1826.095002793538</v>
      </c>
      <c r="AL110" s="495" t="s">
        <v>208</v>
      </c>
      <c r="AM110" s="141" t="s">
        <v>21</v>
      </c>
      <c r="AN110" s="181">
        <v>18.55</v>
      </c>
      <c r="AO110" s="181">
        <v>18.64</v>
      </c>
      <c r="AP110" s="181">
        <v>18.47</v>
      </c>
      <c r="AQ110" s="175">
        <f>AVERAGE(AN110:AP110)</f>
        <v>18.553333333333331</v>
      </c>
      <c r="AR110" s="228">
        <v>6.16</v>
      </c>
      <c r="AS110" s="181">
        <v>6.15</v>
      </c>
      <c r="AT110" s="181">
        <v>6.32</v>
      </c>
      <c r="AU110" s="175">
        <f>AVERAGE(AR110:AT110)</f>
        <v>6.2100000000000009</v>
      </c>
      <c r="AV110" s="236">
        <f>PI()*((AQ110/2)^2)*AU110</f>
        <v>1678.9021145621389</v>
      </c>
      <c r="AW110" s="23">
        <f>((AF110-AQ110)/AF110)*100</f>
        <v>2.9129600558172082</v>
      </c>
      <c r="AX110" s="23">
        <f>((AJ110-AU110)/AJ110)*100</f>
        <v>2.4607329842931875</v>
      </c>
      <c r="AY110" s="23">
        <f>((AK110-AV110)/AK110)*100</f>
        <v>8.0605274099225515</v>
      </c>
      <c r="AZ110" s="67"/>
      <c r="BA110" s="75"/>
      <c r="BB110" s="75"/>
      <c r="BC110" s="75"/>
      <c r="BD110" s="75"/>
      <c r="BE110" s="125"/>
      <c r="BF110" s="75"/>
      <c r="BG110" s="75"/>
      <c r="BH110" s="75"/>
      <c r="BI110" s="142"/>
      <c r="BJ110" s="67"/>
      <c r="BK110" s="75"/>
      <c r="BL110" s="75"/>
      <c r="BM110" s="75"/>
      <c r="BN110" s="75"/>
      <c r="BO110" s="75"/>
      <c r="BP110" s="75"/>
      <c r="BQ110" s="75"/>
    </row>
    <row r="111" spans="1:71" x14ac:dyDescent="0.25">
      <c r="A111" s="519"/>
      <c r="B111" s="183" t="s">
        <v>22</v>
      </c>
      <c r="C111" s="187">
        <v>19.05</v>
      </c>
      <c r="D111" s="187">
        <v>19.309999999999999</v>
      </c>
      <c r="E111" s="187">
        <v>19.170000000000002</v>
      </c>
      <c r="F111" s="168">
        <f t="shared" ref="F111:F123" si="116">AVERAGE(C111:E111)</f>
        <v>19.176666666666666</v>
      </c>
      <c r="G111" s="173">
        <v>6.29</v>
      </c>
      <c r="H111" s="173">
        <v>6.29</v>
      </c>
      <c r="I111" s="173">
        <v>6.32</v>
      </c>
      <c r="J111" s="168">
        <f t="shared" ref="J111:J123" si="117">AVERAGE(G111:I111)</f>
        <v>6.3</v>
      </c>
      <c r="K111" s="237">
        <f t="shared" ref="K111:K122" si="118">PI()*((F111/2)^2)*J111</f>
        <v>1819.6031057784166</v>
      </c>
      <c r="L111" s="519"/>
      <c r="M111" s="139" t="s">
        <v>22</v>
      </c>
      <c r="N111" s="173">
        <v>18.7</v>
      </c>
      <c r="O111" s="173">
        <v>18.86</v>
      </c>
      <c r="P111" s="173">
        <v>18.71</v>
      </c>
      <c r="Q111" s="168">
        <f t="shared" ref="Q111:Q123" si="119">AVERAGE(N111:P111)</f>
        <v>18.756666666666668</v>
      </c>
      <c r="R111" s="189">
        <v>6.08</v>
      </c>
      <c r="S111" s="173">
        <v>6.06</v>
      </c>
      <c r="T111" s="173">
        <v>6.1</v>
      </c>
      <c r="U111" s="168">
        <f t="shared" ref="U111:U123" si="120">AVERAGE(R111:T111)</f>
        <v>6.080000000000001</v>
      </c>
      <c r="V111" s="240">
        <f t="shared" ref="V111:V116" si="121">PI()*((Q111/2)^2)*U111</f>
        <v>1679.9825917024473</v>
      </c>
      <c r="W111" s="27">
        <f>((F111-Q111)/F111)*100</f>
        <v>2.1901616547887963</v>
      </c>
      <c r="X111" s="27">
        <f>((J111-U111)/J111)*100</f>
        <v>3.4920634920634743</v>
      </c>
      <c r="Y111" s="27">
        <f>((K111-V111)/K111)*100</f>
        <v>7.6731301256072788</v>
      </c>
      <c r="AA111" s="496"/>
      <c r="AB111" s="139" t="s">
        <v>22</v>
      </c>
      <c r="AC111" s="172">
        <v>19.02</v>
      </c>
      <c r="AD111" s="173">
        <v>19.16</v>
      </c>
      <c r="AE111" s="173">
        <v>19.05</v>
      </c>
      <c r="AF111" s="168">
        <f t="shared" ref="AF111:AF116" si="122">AVERAGE(AC111:AE111)</f>
        <v>19.076666666666668</v>
      </c>
      <c r="AG111" s="189">
        <v>6.58</v>
      </c>
      <c r="AH111" s="173">
        <v>6.65</v>
      </c>
      <c r="AI111" s="173">
        <v>6.59</v>
      </c>
      <c r="AJ111" s="168">
        <f t="shared" ref="AJ111:AJ116" si="123">AVERAGE(AG111:AI111)</f>
        <v>6.6066666666666665</v>
      </c>
      <c r="AK111" s="237">
        <f t="shared" ref="AK111:AK123" si="124">PI()*((AF111/2)^2)*AJ111</f>
        <v>1888.3272447428633</v>
      </c>
      <c r="AL111" s="496"/>
      <c r="AM111" s="139" t="s">
        <v>22</v>
      </c>
      <c r="AN111" s="173">
        <v>18.55</v>
      </c>
      <c r="AO111" s="173">
        <v>18.329999999999998</v>
      </c>
      <c r="AP111" s="173">
        <v>18.600000000000001</v>
      </c>
      <c r="AQ111" s="168">
        <f t="shared" ref="AQ111:AQ116" si="125">AVERAGE(AN111:AP111)</f>
        <v>18.493333333333332</v>
      </c>
      <c r="AR111" s="189">
        <v>6.32</v>
      </c>
      <c r="AS111" s="173">
        <v>6.39</v>
      </c>
      <c r="AT111" s="173">
        <v>6.46</v>
      </c>
      <c r="AU111" s="168">
        <f t="shared" ref="AU111:AU116" si="126">AVERAGE(AR111:AT111)</f>
        <v>6.3900000000000006</v>
      </c>
      <c r="AV111" s="237">
        <f t="shared" ref="AV111:AV123" si="127">PI()*((AQ111/2)^2)*AU111</f>
        <v>1716.4103903594744</v>
      </c>
      <c r="AW111" s="27">
        <f>((AF111-AQ111)/AF111)*100</f>
        <v>3.0578367988817177</v>
      </c>
      <c r="AX111" s="27">
        <f>((AJ111-AU111)/AJ111)*100</f>
        <v>3.2795156407668906</v>
      </c>
      <c r="AY111" s="27">
        <f>((AK111-AV111)/AK111)*100</f>
        <v>9.1041875745853105</v>
      </c>
      <c r="AZ111" s="67"/>
      <c r="BA111" s="75"/>
      <c r="BB111" s="75"/>
      <c r="BC111" s="75"/>
      <c r="BD111" s="75"/>
      <c r="BE111" s="125"/>
      <c r="BF111" s="75"/>
      <c r="BG111" s="75"/>
      <c r="BH111" s="75"/>
      <c r="BI111" s="142"/>
      <c r="BJ111" s="67"/>
      <c r="BK111" s="75"/>
      <c r="BL111" s="75"/>
      <c r="BM111" s="75"/>
      <c r="BN111" s="75"/>
      <c r="BO111" s="75"/>
      <c r="BP111" s="75"/>
      <c r="BQ111" s="75"/>
    </row>
    <row r="112" spans="1:71" x14ac:dyDescent="0.25">
      <c r="A112" s="519"/>
      <c r="B112" s="183" t="s">
        <v>23</v>
      </c>
      <c r="C112" s="187">
        <v>18.87</v>
      </c>
      <c r="D112" s="187">
        <v>19.16</v>
      </c>
      <c r="E112" s="187">
        <v>18.850000000000001</v>
      </c>
      <c r="F112" s="168">
        <f t="shared" si="116"/>
        <v>18.96</v>
      </c>
      <c r="G112" s="173">
        <v>6.44</v>
      </c>
      <c r="H112" s="173">
        <v>6.41</v>
      </c>
      <c r="I112" s="173">
        <v>6.67</v>
      </c>
      <c r="J112" s="168">
        <f t="shared" si="117"/>
        <v>6.5066666666666677</v>
      </c>
      <c r="K112" s="237">
        <f t="shared" si="118"/>
        <v>1837.0674659547465</v>
      </c>
      <c r="L112" s="519"/>
      <c r="M112" s="139" t="s">
        <v>23</v>
      </c>
      <c r="N112" s="173">
        <v>18.82</v>
      </c>
      <c r="O112" s="173">
        <v>18.64</v>
      </c>
      <c r="P112" s="173">
        <v>18.88</v>
      </c>
      <c r="Q112" s="168">
        <f t="shared" si="119"/>
        <v>18.78</v>
      </c>
      <c r="R112" s="189">
        <v>6.23</v>
      </c>
      <c r="S112" s="173">
        <v>6.25</v>
      </c>
      <c r="T112" s="173">
        <v>6.26</v>
      </c>
      <c r="U112" s="168">
        <f t="shared" si="120"/>
        <v>6.246666666666667</v>
      </c>
      <c r="V112" s="240">
        <f t="shared" si="121"/>
        <v>1730.3317990003654</v>
      </c>
      <c r="W112" s="27">
        <f t="shared" ref="W112:W116" si="128">((F112-Q112)/F112)*100</f>
        <v>0.94936708860759345</v>
      </c>
      <c r="X112" s="27">
        <f t="shared" ref="X112:X116" si="129">((J112-U112)/J112)*100</f>
        <v>3.9959016393442721</v>
      </c>
      <c r="Y112" s="27">
        <f t="shared" ref="Y112:Y115" si="130">((K112-V112)/K112)*100</f>
        <v>5.8101114375192093</v>
      </c>
      <c r="AA112" s="496"/>
      <c r="AB112" s="139" t="s">
        <v>23</v>
      </c>
      <c r="AC112" s="172">
        <v>19.07</v>
      </c>
      <c r="AD112" s="173">
        <v>19.28</v>
      </c>
      <c r="AE112" s="173">
        <v>19.05</v>
      </c>
      <c r="AF112" s="168">
        <f t="shared" si="122"/>
        <v>19.133333333333336</v>
      </c>
      <c r="AG112" s="189">
        <v>6.48</v>
      </c>
      <c r="AH112" s="173">
        <v>6.47</v>
      </c>
      <c r="AI112" s="173">
        <v>6.64</v>
      </c>
      <c r="AJ112" s="168">
        <f t="shared" si="123"/>
        <v>6.53</v>
      </c>
      <c r="AK112" s="237">
        <f t="shared" si="124"/>
        <v>1877.518988557224</v>
      </c>
      <c r="AL112" s="496"/>
      <c r="AM112" s="139" t="s">
        <v>23</v>
      </c>
      <c r="AN112" s="173">
        <v>18.39</v>
      </c>
      <c r="AO112" s="173">
        <v>18.45</v>
      </c>
      <c r="AP112" s="173">
        <v>18.440000000000001</v>
      </c>
      <c r="AQ112" s="168">
        <f t="shared" si="125"/>
        <v>18.426666666666666</v>
      </c>
      <c r="AR112" s="189">
        <v>6.25</v>
      </c>
      <c r="AS112" s="173">
        <v>6.22</v>
      </c>
      <c r="AT112" s="173">
        <v>6.26</v>
      </c>
      <c r="AU112" s="168">
        <f t="shared" si="126"/>
        <v>6.2433333333333323</v>
      </c>
      <c r="AV112" s="237">
        <f t="shared" si="127"/>
        <v>1664.9452751556557</v>
      </c>
      <c r="AW112" s="27">
        <f t="shared" ref="AW112:AW116" si="131">((AF112-AQ112)/AF112)*100</f>
        <v>3.6933797909407864</v>
      </c>
      <c r="AX112" s="27">
        <f t="shared" ref="AX112:AX116" si="132">((AJ112-AU112)/AJ112)*100</f>
        <v>4.3899948953547918</v>
      </c>
      <c r="AY112" s="27">
        <f t="shared" ref="AY112:AY115" si="133">((AK112-AV112)/AK112)*100</f>
        <v>11.32205398172405</v>
      </c>
      <c r="AZ112" s="67"/>
      <c r="BA112" s="75"/>
      <c r="BB112" s="75"/>
      <c r="BC112" s="75"/>
      <c r="BD112" s="75"/>
      <c r="BE112" s="125"/>
      <c r="BF112" s="75"/>
      <c r="BG112" s="75"/>
      <c r="BH112" s="75"/>
      <c r="BI112" s="142"/>
      <c r="BJ112" s="67"/>
      <c r="BK112" s="75"/>
      <c r="BL112" s="75"/>
      <c r="BM112" s="75"/>
      <c r="BN112" s="75"/>
      <c r="BO112" s="75"/>
      <c r="BP112" s="75"/>
      <c r="BQ112" s="75"/>
    </row>
    <row r="113" spans="1:69" x14ac:dyDescent="0.25">
      <c r="A113" s="519"/>
      <c r="B113" s="183" t="s">
        <v>24</v>
      </c>
      <c r="C113" s="187">
        <v>19.18</v>
      </c>
      <c r="D113" s="187">
        <v>19</v>
      </c>
      <c r="E113" s="187">
        <v>19.170000000000002</v>
      </c>
      <c r="F113" s="168">
        <f t="shared" si="116"/>
        <v>19.116666666666667</v>
      </c>
      <c r="G113" s="173">
        <v>6.57</v>
      </c>
      <c r="H113" s="173">
        <v>6.58</v>
      </c>
      <c r="I113" s="173">
        <v>6.51</v>
      </c>
      <c r="J113" s="168">
        <f t="shared" si="117"/>
        <v>6.5533333333333337</v>
      </c>
      <c r="K113" s="237">
        <f t="shared" si="118"/>
        <v>1880.9466392207739</v>
      </c>
      <c r="L113" s="519"/>
      <c r="M113" s="139" t="s">
        <v>24</v>
      </c>
      <c r="N113" s="173">
        <v>18.920000000000002</v>
      </c>
      <c r="O113" s="173">
        <v>18.71</v>
      </c>
      <c r="P113" s="173">
        <v>18.88</v>
      </c>
      <c r="Q113" s="168">
        <f t="shared" si="119"/>
        <v>18.83666666666667</v>
      </c>
      <c r="R113" s="189">
        <v>6.42</v>
      </c>
      <c r="S113" s="173">
        <v>6.45</v>
      </c>
      <c r="T113" s="173">
        <v>6.47</v>
      </c>
      <c r="U113" s="168">
        <f t="shared" si="120"/>
        <v>6.4466666666666663</v>
      </c>
      <c r="V113" s="240">
        <f t="shared" si="121"/>
        <v>1796.5247370415939</v>
      </c>
      <c r="W113" s="27">
        <f t="shared" si="128"/>
        <v>1.4646904969485488</v>
      </c>
      <c r="X113" s="27">
        <f t="shared" si="129"/>
        <v>1.6276703967446695</v>
      </c>
      <c r="Y113" s="27">
        <f>((K113-V113)/K113)*100</f>
        <v>4.4882667279787265</v>
      </c>
      <c r="AA113" s="496"/>
      <c r="AB113" s="139" t="s">
        <v>24</v>
      </c>
      <c r="AC113" s="172">
        <v>19.170000000000002</v>
      </c>
      <c r="AD113" s="173">
        <v>19.04</v>
      </c>
      <c r="AE113" s="173">
        <v>19.16</v>
      </c>
      <c r="AF113" s="168">
        <f t="shared" si="122"/>
        <v>19.123333333333335</v>
      </c>
      <c r="AG113" s="189">
        <v>6.42</v>
      </c>
      <c r="AH113" s="173">
        <v>6.4</v>
      </c>
      <c r="AI113" s="173">
        <v>6.39</v>
      </c>
      <c r="AJ113" s="168">
        <f t="shared" si="123"/>
        <v>6.4033333333333333</v>
      </c>
      <c r="AK113" s="237">
        <f t="shared" si="124"/>
        <v>1839.1755374862471</v>
      </c>
      <c r="AL113" s="496"/>
      <c r="AM113" s="139" t="s">
        <v>24</v>
      </c>
      <c r="AN113" s="173">
        <v>18.559999999999999</v>
      </c>
      <c r="AO113" s="173">
        <v>18.5</v>
      </c>
      <c r="AP113" s="173">
        <v>18.5</v>
      </c>
      <c r="AQ113" s="168">
        <f t="shared" si="125"/>
        <v>18.52</v>
      </c>
      <c r="AR113" s="189">
        <v>6.25</v>
      </c>
      <c r="AS113" s="173">
        <v>6.22</v>
      </c>
      <c r="AT113" s="173">
        <v>6.23</v>
      </c>
      <c r="AU113" s="168">
        <f t="shared" si="126"/>
        <v>6.2333333333333334</v>
      </c>
      <c r="AV113" s="237">
        <f t="shared" si="127"/>
        <v>1679.1604550564266</v>
      </c>
      <c r="AW113" s="27">
        <f t="shared" si="131"/>
        <v>3.154959037824657</v>
      </c>
      <c r="AX113" s="27">
        <f t="shared" si="132"/>
        <v>2.6548672566371669</v>
      </c>
      <c r="AY113" s="27">
        <f t="shared" si="133"/>
        <v>8.700370310956087</v>
      </c>
      <c r="AZ113" s="67"/>
      <c r="BA113" s="75"/>
      <c r="BB113" s="75"/>
      <c r="BC113" s="75"/>
      <c r="BD113" s="75"/>
      <c r="BE113" s="125"/>
      <c r="BF113" s="75"/>
      <c r="BG113" s="75"/>
      <c r="BH113" s="75"/>
      <c r="BI113" s="142"/>
      <c r="BJ113" s="67"/>
      <c r="BK113" s="75"/>
      <c r="BL113" s="75"/>
      <c r="BM113" s="75"/>
      <c r="BN113" s="75"/>
      <c r="BO113" s="75"/>
      <c r="BP113" s="75"/>
      <c r="BQ113" s="75"/>
    </row>
    <row r="114" spans="1:69" x14ac:dyDescent="0.25">
      <c r="A114" s="519"/>
      <c r="B114" s="183" t="s">
        <v>25</v>
      </c>
      <c r="C114" s="187">
        <v>19.190000000000001</v>
      </c>
      <c r="D114" s="187">
        <v>19.190000000000001</v>
      </c>
      <c r="E114" s="187">
        <v>19.2</v>
      </c>
      <c r="F114" s="168">
        <f t="shared" si="116"/>
        <v>19.193333333333332</v>
      </c>
      <c r="G114" s="173">
        <v>6.36</v>
      </c>
      <c r="H114" s="173">
        <v>6.39</v>
      </c>
      <c r="I114" s="173">
        <v>6.32</v>
      </c>
      <c r="J114" s="168">
        <f t="shared" si="117"/>
        <v>6.3566666666666665</v>
      </c>
      <c r="K114" s="237">
        <f t="shared" si="118"/>
        <v>1839.1626191118107</v>
      </c>
      <c r="L114" s="519"/>
      <c r="M114" s="139" t="s">
        <v>25</v>
      </c>
      <c r="N114" s="173">
        <v>18.7</v>
      </c>
      <c r="O114" s="173">
        <v>18.86</v>
      </c>
      <c r="P114" s="173">
        <v>18.79</v>
      </c>
      <c r="Q114" s="168">
        <f t="shared" si="119"/>
        <v>18.783333333333335</v>
      </c>
      <c r="R114" s="189">
        <v>6.25</v>
      </c>
      <c r="S114" s="173">
        <v>6.28</v>
      </c>
      <c r="T114" s="173">
        <v>6.32</v>
      </c>
      <c r="U114" s="168">
        <f t="shared" si="120"/>
        <v>6.2833333333333341</v>
      </c>
      <c r="V114" s="240">
        <f t="shared" si="121"/>
        <v>1741.1064024164116</v>
      </c>
      <c r="W114" s="27">
        <f t="shared" si="128"/>
        <v>2.1361583883292634</v>
      </c>
      <c r="X114" s="27">
        <f t="shared" si="129"/>
        <v>1.1536444677503781</v>
      </c>
      <c r="Y114" s="27">
        <f t="shared" si="130"/>
        <v>5.331568599559378</v>
      </c>
      <c r="AA114" s="496"/>
      <c r="AB114" s="139" t="s">
        <v>25</v>
      </c>
      <c r="AC114" s="172">
        <v>19.12</v>
      </c>
      <c r="AD114" s="173">
        <v>19.100000000000001</v>
      </c>
      <c r="AE114" s="173">
        <v>19.100000000000001</v>
      </c>
      <c r="AF114" s="168">
        <f t="shared" si="122"/>
        <v>19.106666666666666</v>
      </c>
      <c r="AG114" s="189">
        <v>6.47</v>
      </c>
      <c r="AH114" s="173">
        <v>6.49</v>
      </c>
      <c r="AI114" s="173">
        <v>6.38</v>
      </c>
      <c r="AJ114" s="168">
        <f t="shared" si="123"/>
        <v>6.4466666666666663</v>
      </c>
      <c r="AK114" s="237">
        <f t="shared" si="124"/>
        <v>1848.3957037211094</v>
      </c>
      <c r="AL114" s="496"/>
      <c r="AM114" s="139" t="s">
        <v>25</v>
      </c>
      <c r="AN114" s="173">
        <v>18.43</v>
      </c>
      <c r="AO114" s="173">
        <v>18.62</v>
      </c>
      <c r="AP114" s="173">
        <v>18.399999999999999</v>
      </c>
      <c r="AQ114" s="168">
        <f t="shared" si="125"/>
        <v>18.483333333333331</v>
      </c>
      <c r="AR114" s="189">
        <v>6.26</v>
      </c>
      <c r="AS114" s="173">
        <v>6.19</v>
      </c>
      <c r="AT114" s="173">
        <v>6.16</v>
      </c>
      <c r="AU114" s="168">
        <f t="shared" si="126"/>
        <v>6.2033333333333331</v>
      </c>
      <c r="AV114" s="237">
        <f t="shared" si="127"/>
        <v>1664.4685411757339</v>
      </c>
      <c r="AW114" s="27">
        <f t="shared" si="131"/>
        <v>3.262386601535249</v>
      </c>
      <c r="AX114" s="27">
        <f t="shared" si="132"/>
        <v>3.7745604963805564</v>
      </c>
      <c r="AY114" s="27">
        <f t="shared" si="133"/>
        <v>9.9506378517923064</v>
      </c>
      <c r="AZ114" s="67"/>
      <c r="BA114" s="75"/>
      <c r="BB114" s="75"/>
      <c r="BC114" s="75"/>
      <c r="BD114" s="75"/>
      <c r="BE114" s="125"/>
      <c r="BF114" s="75"/>
      <c r="BG114" s="75"/>
      <c r="BH114" s="75"/>
      <c r="BI114" s="142"/>
      <c r="BJ114" s="67"/>
      <c r="BK114" s="75"/>
      <c r="BL114" s="75"/>
      <c r="BM114" s="75"/>
      <c r="BN114" s="75"/>
      <c r="BO114" s="75"/>
      <c r="BP114" s="75"/>
      <c r="BQ114" s="75"/>
    </row>
    <row r="115" spans="1:69" x14ac:dyDescent="0.25">
      <c r="A115" s="519"/>
      <c r="B115" s="183" t="s">
        <v>26</v>
      </c>
      <c r="C115" s="187">
        <v>19.170000000000002</v>
      </c>
      <c r="D115" s="187">
        <v>19.16</v>
      </c>
      <c r="E115" s="187">
        <v>19.14</v>
      </c>
      <c r="F115" s="168">
        <f t="shared" si="116"/>
        <v>19.156666666666666</v>
      </c>
      <c r="G115" s="173">
        <v>6.4</v>
      </c>
      <c r="H115" s="173">
        <v>6.46</v>
      </c>
      <c r="I115" s="173">
        <v>6.44</v>
      </c>
      <c r="J115" s="168">
        <f t="shared" si="117"/>
        <v>6.4333333333333336</v>
      </c>
      <c r="K115" s="237">
        <f t="shared" si="118"/>
        <v>1854.2394661444289</v>
      </c>
      <c r="L115" s="519"/>
      <c r="M115" s="139" t="s">
        <v>26</v>
      </c>
      <c r="N115" s="173">
        <v>18.84</v>
      </c>
      <c r="O115" s="173">
        <v>18.87</v>
      </c>
      <c r="P115" s="173">
        <v>18.899999999999999</v>
      </c>
      <c r="Q115" s="168">
        <f t="shared" si="119"/>
        <v>18.87</v>
      </c>
      <c r="R115" s="189">
        <v>6.22</v>
      </c>
      <c r="S115" s="173">
        <v>6.18</v>
      </c>
      <c r="T115" s="173">
        <v>6.29</v>
      </c>
      <c r="U115" s="168">
        <f t="shared" si="120"/>
        <v>6.2299999999999995</v>
      </c>
      <c r="V115" s="240">
        <f t="shared" si="121"/>
        <v>1742.2951526858401</v>
      </c>
      <c r="W115" s="27">
        <f t="shared" si="128"/>
        <v>1.4964329215242664</v>
      </c>
      <c r="X115" s="27">
        <f t="shared" si="129"/>
        <v>3.1606217616580419</v>
      </c>
      <c r="Y115" s="27">
        <f t="shared" si="130"/>
        <v>6.037209082349956</v>
      </c>
      <c r="AA115" s="496"/>
      <c r="AB115" s="139" t="s">
        <v>26</v>
      </c>
      <c r="AC115" s="172">
        <v>19.010000000000002</v>
      </c>
      <c r="AD115" s="173">
        <v>19.059999999999999</v>
      </c>
      <c r="AE115" s="173">
        <v>19.11</v>
      </c>
      <c r="AF115" s="168">
        <f t="shared" si="122"/>
        <v>19.059999999999999</v>
      </c>
      <c r="AG115" s="189">
        <v>6.42</v>
      </c>
      <c r="AH115" s="173">
        <v>6.53</v>
      </c>
      <c r="AI115" s="173">
        <v>6.39</v>
      </c>
      <c r="AJ115" s="168">
        <f t="shared" si="123"/>
        <v>6.4466666666666663</v>
      </c>
      <c r="AK115" s="237">
        <f t="shared" si="124"/>
        <v>1839.3775816582906</v>
      </c>
      <c r="AL115" s="496"/>
      <c r="AM115" s="139" t="s">
        <v>26</v>
      </c>
      <c r="AN115" s="173">
        <v>18.440000000000001</v>
      </c>
      <c r="AO115" s="173">
        <v>18.579999999999998</v>
      </c>
      <c r="AP115" s="173">
        <v>18.510000000000002</v>
      </c>
      <c r="AQ115" s="168">
        <f t="shared" si="125"/>
        <v>18.510000000000002</v>
      </c>
      <c r="AR115" s="189">
        <v>6.25</v>
      </c>
      <c r="AS115" s="173">
        <v>6.23</v>
      </c>
      <c r="AT115" s="173">
        <v>6.2</v>
      </c>
      <c r="AU115" s="168">
        <f t="shared" si="126"/>
        <v>6.2266666666666666</v>
      </c>
      <c r="AV115" s="237">
        <f t="shared" si="127"/>
        <v>1675.5536417491251</v>
      </c>
      <c r="AW115" s="27">
        <f t="shared" si="131"/>
        <v>2.8856243441762706</v>
      </c>
      <c r="AX115" s="27">
        <f t="shared" si="132"/>
        <v>3.4126163391933777</v>
      </c>
      <c r="AY115" s="27">
        <f t="shared" si="133"/>
        <v>8.906487800154121</v>
      </c>
      <c r="AZ115" s="67"/>
      <c r="BA115" s="75"/>
      <c r="BB115" s="75"/>
      <c r="BC115" s="75"/>
      <c r="BD115" s="75"/>
      <c r="BE115" s="125"/>
      <c r="BF115" s="75"/>
      <c r="BG115" s="75"/>
      <c r="BH115" s="75"/>
      <c r="BI115" s="142"/>
      <c r="BJ115" s="67"/>
      <c r="BK115" s="75"/>
      <c r="BL115" s="75"/>
      <c r="BM115" s="75"/>
      <c r="BN115" s="75"/>
      <c r="BO115" s="75"/>
      <c r="BP115" s="75"/>
      <c r="BQ115" s="75"/>
    </row>
    <row r="116" spans="1:69" ht="15.75" thickBot="1" x14ac:dyDescent="0.3">
      <c r="A116" s="520"/>
      <c r="B116" s="184" t="s">
        <v>27</v>
      </c>
      <c r="C116" s="188">
        <v>19.149999999999999</v>
      </c>
      <c r="D116" s="188">
        <v>19.12</v>
      </c>
      <c r="E116" s="188">
        <v>19.04</v>
      </c>
      <c r="F116" s="169">
        <f t="shared" si="116"/>
        <v>19.103333333333332</v>
      </c>
      <c r="G116" s="179">
        <v>6.5</v>
      </c>
      <c r="H116" s="179">
        <v>6.52</v>
      </c>
      <c r="I116" s="179">
        <v>6.58</v>
      </c>
      <c r="J116" s="180">
        <f t="shared" si="117"/>
        <v>6.5333333333333341</v>
      </c>
      <c r="K116" s="238">
        <f t="shared" si="118"/>
        <v>1872.5913178678161</v>
      </c>
      <c r="L116" s="520"/>
      <c r="M116" s="140" t="s">
        <v>27</v>
      </c>
      <c r="N116" s="179">
        <v>18.86</v>
      </c>
      <c r="O116" s="179">
        <v>18.84</v>
      </c>
      <c r="P116" s="179">
        <v>18.71</v>
      </c>
      <c r="Q116" s="180">
        <f t="shared" si="119"/>
        <v>18.803333333333335</v>
      </c>
      <c r="R116" s="190">
        <v>6.3</v>
      </c>
      <c r="S116" s="179">
        <v>6.32</v>
      </c>
      <c r="T116" s="179">
        <v>6.29</v>
      </c>
      <c r="U116" s="180">
        <f t="shared" si="120"/>
        <v>6.3033333333333337</v>
      </c>
      <c r="V116" s="241">
        <f t="shared" si="121"/>
        <v>1750.3699365634388</v>
      </c>
      <c r="W116" s="27">
        <f t="shared" si="128"/>
        <v>1.5704065608096169</v>
      </c>
      <c r="X116" s="27">
        <f t="shared" si="129"/>
        <v>3.5204081632653121</v>
      </c>
      <c r="Y116" s="61">
        <f>((K116-V116)/K116)*100</f>
        <v>6.5268582705777929</v>
      </c>
      <c r="AA116" s="497"/>
      <c r="AB116" s="140" t="s">
        <v>27</v>
      </c>
      <c r="AC116" s="178">
        <v>19.170000000000002</v>
      </c>
      <c r="AD116" s="179">
        <v>19.07</v>
      </c>
      <c r="AE116" s="179">
        <v>18.95</v>
      </c>
      <c r="AF116" s="180">
        <f t="shared" si="122"/>
        <v>19.063333333333333</v>
      </c>
      <c r="AG116" s="190">
        <v>6.47</v>
      </c>
      <c r="AH116" s="179">
        <v>6.44</v>
      </c>
      <c r="AI116" s="179">
        <v>6.44</v>
      </c>
      <c r="AJ116" s="180">
        <f t="shared" si="123"/>
        <v>6.45</v>
      </c>
      <c r="AK116" s="238">
        <f t="shared" si="124"/>
        <v>1840.9724088126909</v>
      </c>
      <c r="AL116" s="497"/>
      <c r="AM116" s="140" t="s">
        <v>27</v>
      </c>
      <c r="AN116" s="179">
        <v>18.59</v>
      </c>
      <c r="AO116" s="179">
        <v>18.559999999999999</v>
      </c>
      <c r="AP116" s="179">
        <v>18.59</v>
      </c>
      <c r="AQ116" s="180">
        <f t="shared" si="125"/>
        <v>18.579999999999998</v>
      </c>
      <c r="AR116" s="190">
        <v>6.22</v>
      </c>
      <c r="AS116" s="179">
        <v>6.27</v>
      </c>
      <c r="AT116" s="179">
        <v>6.18</v>
      </c>
      <c r="AU116" s="180">
        <f t="shared" si="126"/>
        <v>6.2233333333333327</v>
      </c>
      <c r="AV116" s="238">
        <f t="shared" si="127"/>
        <v>1687.3468454674844</v>
      </c>
      <c r="AW116" s="27">
        <f t="shared" si="131"/>
        <v>2.5354082881622713</v>
      </c>
      <c r="AX116" s="27">
        <f t="shared" si="132"/>
        <v>3.5142118863049214</v>
      </c>
      <c r="AY116" s="61">
        <f>((AK116-AV116)/AK116)*100</f>
        <v>8.3448053110304432</v>
      </c>
      <c r="AZ116" s="67"/>
      <c r="BA116" s="75"/>
      <c r="BB116" s="75"/>
      <c r="BC116" s="75"/>
      <c r="BD116" s="75"/>
      <c r="BE116" s="125"/>
      <c r="BF116" s="75"/>
      <c r="BG116" s="75"/>
      <c r="BH116" s="75"/>
      <c r="BI116" s="142"/>
      <c r="BJ116" s="67"/>
      <c r="BK116" s="75"/>
      <c r="BL116" s="75"/>
      <c r="BM116" s="75"/>
      <c r="BN116" s="75"/>
      <c r="BO116" s="75"/>
      <c r="BP116" s="75"/>
      <c r="BQ116" s="75"/>
    </row>
    <row r="117" spans="1:69" ht="15" customHeight="1" x14ac:dyDescent="0.25">
      <c r="A117" s="521" t="s">
        <v>209</v>
      </c>
      <c r="B117" s="144" t="s">
        <v>21</v>
      </c>
      <c r="C117" s="170">
        <v>18.93</v>
      </c>
      <c r="D117" s="170">
        <v>18.98</v>
      </c>
      <c r="E117" s="170">
        <v>18.899999999999999</v>
      </c>
      <c r="F117" s="167">
        <f t="shared" si="116"/>
        <v>18.936666666666664</v>
      </c>
      <c r="G117" s="173">
        <v>6.57</v>
      </c>
      <c r="H117" s="173">
        <v>6.57</v>
      </c>
      <c r="I117" s="173">
        <v>6.61</v>
      </c>
      <c r="J117" s="175">
        <f t="shared" si="117"/>
        <v>6.583333333333333</v>
      </c>
      <c r="K117" s="236">
        <f>PI()*((F117/2)^2)*J117</f>
        <v>1854.1411635286356</v>
      </c>
      <c r="L117" s="521" t="s">
        <v>209</v>
      </c>
      <c r="M117" s="137" t="s">
        <v>21</v>
      </c>
      <c r="N117" s="173">
        <v>18.18</v>
      </c>
      <c r="O117" s="173">
        <v>18.18</v>
      </c>
      <c r="P117" s="173">
        <v>18.190000000000001</v>
      </c>
      <c r="Q117" s="175">
        <f t="shared" si="119"/>
        <v>18.183333333333334</v>
      </c>
      <c r="R117" s="189">
        <v>6.32</v>
      </c>
      <c r="S117" s="173">
        <v>6.3</v>
      </c>
      <c r="T117" s="173">
        <v>6.24</v>
      </c>
      <c r="U117" s="175">
        <f t="shared" si="120"/>
        <v>6.2866666666666662</v>
      </c>
      <c r="V117" s="239">
        <f>PI()*((Q117/2)^2)*U117</f>
        <v>1632.5155077430481</v>
      </c>
      <c r="W117" s="23">
        <f>((F117-Q117)/F117)*100</f>
        <v>3.9781728568913772</v>
      </c>
      <c r="X117" s="23">
        <f>((J117-U117)/J117)*100</f>
        <v>4.5063291139240533</v>
      </c>
      <c r="Y117" s="23">
        <f>((K117-V117)/K117)*100</f>
        <v>11.953008764651411</v>
      </c>
      <c r="AA117" s="498" t="s">
        <v>210</v>
      </c>
      <c r="AB117" s="137" t="s">
        <v>21</v>
      </c>
      <c r="AC117" s="172">
        <v>18.97</v>
      </c>
      <c r="AD117" s="173">
        <v>18.96</v>
      </c>
      <c r="AE117" s="173">
        <v>18.97</v>
      </c>
      <c r="AF117" s="175">
        <f>AVERAGE(AC117:AE117)</f>
        <v>18.966666666666665</v>
      </c>
      <c r="AG117" s="189">
        <v>6.37</v>
      </c>
      <c r="AH117" s="173">
        <v>6.32</v>
      </c>
      <c r="AI117" s="173">
        <v>6.38</v>
      </c>
      <c r="AJ117" s="175">
        <f>AVERAGE(AG117:AI117)</f>
        <v>6.3566666666666665</v>
      </c>
      <c r="AK117" s="236">
        <f>PI()*((AF117/2)^2)*AJ117</f>
        <v>1795.9793672034382</v>
      </c>
      <c r="AL117" s="498" t="s">
        <v>210</v>
      </c>
      <c r="AM117" s="137" t="s">
        <v>21</v>
      </c>
      <c r="AN117" s="173">
        <v>18.079999999999998</v>
      </c>
      <c r="AO117" s="173">
        <v>18.02</v>
      </c>
      <c r="AP117" s="173">
        <v>18.09</v>
      </c>
      <c r="AQ117" s="175">
        <f>AVERAGE(AN117:AP117)</f>
        <v>18.063333333333333</v>
      </c>
      <c r="AR117" s="189">
        <v>6.2</v>
      </c>
      <c r="AS117" s="173">
        <v>6.2</v>
      </c>
      <c r="AT117" s="173">
        <v>6.18</v>
      </c>
      <c r="AU117" s="175">
        <f>AVERAGE(AR117:AT117)</f>
        <v>6.1933333333333325</v>
      </c>
      <c r="AV117" s="236">
        <f>PI()*((AQ117/2)^2)*AU117</f>
        <v>1587.1213319630881</v>
      </c>
      <c r="AW117" s="23">
        <f>((AF117-AQ117)/AF117)*100</f>
        <v>4.7627416520210852</v>
      </c>
      <c r="AX117" s="23">
        <f>((AJ117-AU117)/AJ117)*100</f>
        <v>2.5694808599895227</v>
      </c>
      <c r="AY117" s="23">
        <f>((AK117-AV117)/AK117)*100</f>
        <v>11.629200148639116</v>
      </c>
      <c r="AZ117" s="64"/>
      <c r="BA117" s="75"/>
      <c r="BB117" s="75"/>
      <c r="BC117" s="75"/>
      <c r="BD117" s="75"/>
      <c r="BE117" s="125"/>
      <c r="BF117" s="75"/>
      <c r="BG117" s="75"/>
      <c r="BH117" s="75"/>
      <c r="BI117" s="70"/>
      <c r="BJ117" s="64"/>
      <c r="BK117" s="75"/>
      <c r="BL117" s="75"/>
      <c r="BM117" s="75"/>
      <c r="BN117" s="75"/>
      <c r="BO117" s="75"/>
      <c r="BP117" s="75"/>
      <c r="BQ117" s="75"/>
    </row>
    <row r="118" spans="1:69" x14ac:dyDescent="0.25">
      <c r="A118" s="521"/>
      <c r="B118" s="166" t="s">
        <v>22</v>
      </c>
      <c r="C118" s="187">
        <v>19.02</v>
      </c>
      <c r="D118" s="187">
        <v>18.89</v>
      </c>
      <c r="E118" s="187">
        <v>18.86</v>
      </c>
      <c r="F118" s="168">
        <f t="shared" si="116"/>
        <v>18.923333333333332</v>
      </c>
      <c r="G118" s="173">
        <v>6.46</v>
      </c>
      <c r="H118" s="173">
        <v>6.51</v>
      </c>
      <c r="I118" s="173">
        <v>6.66</v>
      </c>
      <c r="J118" s="168">
        <f t="shared" si="117"/>
        <v>6.543333333333333</v>
      </c>
      <c r="K118" s="237">
        <f t="shared" si="118"/>
        <v>1840.2812669228367</v>
      </c>
      <c r="L118" s="521"/>
      <c r="M118" s="137" t="s">
        <v>22</v>
      </c>
      <c r="N118" s="173">
        <v>17.97</v>
      </c>
      <c r="O118" s="173">
        <v>18.239999999999998</v>
      </c>
      <c r="P118" s="173">
        <v>17.89</v>
      </c>
      <c r="Q118" s="168">
        <f t="shared" si="119"/>
        <v>18.033333333333331</v>
      </c>
      <c r="R118" s="189">
        <v>6.12</v>
      </c>
      <c r="S118" s="173">
        <v>6.27</v>
      </c>
      <c r="T118" s="173">
        <v>6.34</v>
      </c>
      <c r="U118" s="168">
        <f t="shared" si="120"/>
        <v>6.2433333333333332</v>
      </c>
      <c r="V118" s="240">
        <f t="shared" ref="V118:V123" si="134">PI()*((Q118/2)^2)*U118</f>
        <v>1594.6244722232159</v>
      </c>
      <c r="W118" s="27">
        <f>((F118-Q118)/F118)*100</f>
        <v>4.7031883036815252</v>
      </c>
      <c r="X118" s="27">
        <f>((J118-U118)/J118)*100</f>
        <v>4.5848191543555759</v>
      </c>
      <c r="Y118" s="27">
        <f>((K118-V118)/K118)*100</f>
        <v>13.34887221399517</v>
      </c>
      <c r="AA118" s="498"/>
      <c r="AB118" s="137" t="s">
        <v>22</v>
      </c>
      <c r="AC118" s="172">
        <v>18.95</v>
      </c>
      <c r="AD118" s="173">
        <v>18.98</v>
      </c>
      <c r="AE118" s="173">
        <v>18.989999999999998</v>
      </c>
      <c r="AF118" s="168">
        <f t="shared" ref="AF118:AF123" si="135">AVERAGE(AC118:AE118)</f>
        <v>18.973333333333333</v>
      </c>
      <c r="AG118" s="189">
        <v>6.56</v>
      </c>
      <c r="AH118" s="173">
        <v>6.52</v>
      </c>
      <c r="AI118" s="173">
        <v>6.58</v>
      </c>
      <c r="AJ118" s="168">
        <f t="shared" ref="AJ118:AJ123" si="136">AVERAGE(AG118:AI118)</f>
        <v>6.5533333333333319</v>
      </c>
      <c r="AK118" s="237">
        <f t="shared" si="124"/>
        <v>1852.8463808128674</v>
      </c>
      <c r="AL118" s="498"/>
      <c r="AM118" s="137" t="s">
        <v>22</v>
      </c>
      <c r="AN118" s="173">
        <v>18.09</v>
      </c>
      <c r="AO118" s="173">
        <v>18.100000000000001</v>
      </c>
      <c r="AP118" s="173">
        <v>18.13</v>
      </c>
      <c r="AQ118" s="168">
        <f t="shared" ref="AQ118:AQ123" si="137">AVERAGE(AN118:AP118)</f>
        <v>18.106666666666666</v>
      </c>
      <c r="AR118" s="189">
        <v>6.33</v>
      </c>
      <c r="AS118" s="173">
        <v>6.28</v>
      </c>
      <c r="AT118" s="173">
        <v>6.35</v>
      </c>
      <c r="AU118" s="168">
        <f t="shared" ref="AU118:AU123" si="138">AVERAGE(AR118:AT118)</f>
        <v>6.32</v>
      </c>
      <c r="AV118" s="237">
        <f t="shared" si="127"/>
        <v>1627.3612582356143</v>
      </c>
      <c r="AW118" s="27">
        <f>((AF118-AQ118)/AF118)*100</f>
        <v>4.5678144764581896</v>
      </c>
      <c r="AX118" s="27">
        <f>((AJ118-AU118)/AJ118)*100</f>
        <v>3.560528992878917</v>
      </c>
      <c r="AY118" s="27">
        <f>((AK118-AV118)/AK118)*100</f>
        <v>12.169660955827862</v>
      </c>
      <c r="AZ118" s="64"/>
      <c r="BA118" s="75"/>
      <c r="BB118" s="75"/>
      <c r="BC118" s="75"/>
      <c r="BD118" s="75"/>
      <c r="BE118" s="125"/>
      <c r="BF118" s="75"/>
      <c r="BG118" s="75"/>
      <c r="BH118" s="75"/>
      <c r="BI118" s="70"/>
      <c r="BJ118" s="64"/>
      <c r="BK118" s="75"/>
      <c r="BL118" s="75"/>
      <c r="BM118" s="75"/>
      <c r="BN118" s="75"/>
      <c r="BO118" s="75"/>
      <c r="BP118" s="75"/>
      <c r="BQ118" s="75"/>
    </row>
    <row r="119" spans="1:69" x14ac:dyDescent="0.25">
      <c r="A119" s="521"/>
      <c r="B119" s="166" t="s">
        <v>23</v>
      </c>
      <c r="C119" s="187">
        <v>18.899999999999999</v>
      </c>
      <c r="D119" s="187">
        <v>19</v>
      </c>
      <c r="E119" s="187">
        <v>19.16</v>
      </c>
      <c r="F119" s="168">
        <f t="shared" si="116"/>
        <v>19.02</v>
      </c>
      <c r="G119" s="173">
        <v>6.42</v>
      </c>
      <c r="H119" s="173">
        <v>6.53</v>
      </c>
      <c r="I119" s="173">
        <v>6.43</v>
      </c>
      <c r="J119" s="168">
        <f t="shared" si="117"/>
        <v>6.46</v>
      </c>
      <c r="K119" s="237">
        <f t="shared" si="118"/>
        <v>1835.4536612245233</v>
      </c>
      <c r="L119" s="521"/>
      <c r="M119" s="137" t="s">
        <v>23</v>
      </c>
      <c r="N119" s="173">
        <v>17.93</v>
      </c>
      <c r="O119" s="173">
        <v>18.3</v>
      </c>
      <c r="P119" s="173">
        <v>17.88</v>
      </c>
      <c r="Q119" s="168">
        <f t="shared" si="119"/>
        <v>18.036666666666665</v>
      </c>
      <c r="R119" s="189">
        <v>6.31</v>
      </c>
      <c r="S119" s="173">
        <v>6.14</v>
      </c>
      <c r="T119" s="173">
        <v>6.32</v>
      </c>
      <c r="U119" s="168">
        <f t="shared" si="120"/>
        <v>6.2566666666666668</v>
      </c>
      <c r="V119" s="240">
        <f t="shared" si="134"/>
        <v>1598.6207938303664</v>
      </c>
      <c r="W119" s="27">
        <f t="shared" ref="W119:W123" si="139">((F119-Q119)/F119)*100</f>
        <v>5.169996494917636</v>
      </c>
      <c r="X119" s="27">
        <f t="shared" ref="X119:X123" si="140">((J119-U119)/J119)*100</f>
        <v>3.1475748194014419</v>
      </c>
      <c r="Y119" s="27">
        <f t="shared" ref="Y119:Y122" si="141">((K119-V119)/K119)*100</f>
        <v>12.903233265837603</v>
      </c>
      <c r="AA119" s="498"/>
      <c r="AB119" s="137" t="s">
        <v>23</v>
      </c>
      <c r="AC119" s="172">
        <v>18.96</v>
      </c>
      <c r="AD119" s="173">
        <v>18.84</v>
      </c>
      <c r="AE119" s="173">
        <v>18.96</v>
      </c>
      <c r="AF119" s="168">
        <f t="shared" si="135"/>
        <v>18.919999999999998</v>
      </c>
      <c r="AG119" s="189">
        <v>6.45</v>
      </c>
      <c r="AH119" s="173">
        <v>6.42</v>
      </c>
      <c r="AI119" s="173">
        <v>6.43</v>
      </c>
      <c r="AJ119" s="168">
        <f t="shared" si="136"/>
        <v>6.4333333333333336</v>
      </c>
      <c r="AK119" s="237">
        <f t="shared" si="124"/>
        <v>1808.7069183924427</v>
      </c>
      <c r="AL119" s="498"/>
      <c r="AM119" s="137" t="s">
        <v>23</v>
      </c>
      <c r="AN119" s="173">
        <v>18.09</v>
      </c>
      <c r="AO119" s="173">
        <v>17.89</v>
      </c>
      <c r="AP119" s="173">
        <v>18.12</v>
      </c>
      <c r="AQ119" s="168">
        <f t="shared" si="137"/>
        <v>18.033333333333335</v>
      </c>
      <c r="AR119" s="189">
        <v>6.21</v>
      </c>
      <c r="AS119" s="173">
        <v>6.21</v>
      </c>
      <c r="AT119" s="173">
        <v>6.2</v>
      </c>
      <c r="AU119" s="168">
        <f t="shared" si="138"/>
        <v>6.206666666666667</v>
      </c>
      <c r="AV119" s="237">
        <f t="shared" si="127"/>
        <v>1585.2593525251625</v>
      </c>
      <c r="AW119" s="27">
        <f t="shared" ref="AW119:AW123" si="142">((AF119-AQ119)/AF119)*100</f>
        <v>4.6863988724453662</v>
      </c>
      <c r="AX119" s="27">
        <f t="shared" ref="AX119:AX123" si="143">((AJ119-AU119)/AJ119)*100</f>
        <v>3.5233160621761641</v>
      </c>
      <c r="AY119" s="27">
        <f t="shared" ref="AY119:AY122" si="144">((AK119-AV119)/AK119)*100</f>
        <v>12.353995199281803</v>
      </c>
      <c r="AZ119" s="64"/>
      <c r="BA119" s="75"/>
      <c r="BB119" s="75"/>
      <c r="BC119" s="75"/>
      <c r="BD119" s="75"/>
      <c r="BE119" s="125"/>
      <c r="BF119" s="75"/>
      <c r="BG119" s="75"/>
      <c r="BH119" s="75"/>
      <c r="BI119" s="70"/>
      <c r="BJ119" s="64"/>
      <c r="BK119" s="75"/>
      <c r="BL119" s="75"/>
      <c r="BM119" s="75"/>
      <c r="BN119" s="75"/>
      <c r="BO119" s="75"/>
      <c r="BP119" s="75"/>
      <c r="BQ119" s="75"/>
    </row>
    <row r="120" spans="1:69" x14ac:dyDescent="0.25">
      <c r="A120" s="521"/>
      <c r="B120" s="166" t="s">
        <v>24</v>
      </c>
      <c r="C120" s="187">
        <v>18.98</v>
      </c>
      <c r="D120" s="187">
        <v>19.010000000000002</v>
      </c>
      <c r="E120" s="187">
        <v>18.84</v>
      </c>
      <c r="F120" s="168">
        <f t="shared" si="116"/>
        <v>18.943333333333332</v>
      </c>
      <c r="G120" s="173">
        <v>6.45</v>
      </c>
      <c r="H120" s="173">
        <v>6.56</v>
      </c>
      <c r="I120" s="173">
        <v>6.45</v>
      </c>
      <c r="J120" s="168">
        <f t="shared" si="117"/>
        <v>6.4866666666666672</v>
      </c>
      <c r="K120" s="237">
        <f t="shared" si="118"/>
        <v>1828.2023599908646</v>
      </c>
      <c r="L120" s="521"/>
      <c r="M120" s="137" t="s">
        <v>24</v>
      </c>
      <c r="N120" s="173">
        <v>18.39</v>
      </c>
      <c r="O120" s="173">
        <v>18.05</v>
      </c>
      <c r="P120" s="173">
        <v>18.07</v>
      </c>
      <c r="Q120" s="168">
        <f t="shared" si="119"/>
        <v>18.169999999999998</v>
      </c>
      <c r="R120" s="189">
        <v>6.15</v>
      </c>
      <c r="S120" s="173">
        <v>6.18</v>
      </c>
      <c r="T120" s="173">
        <v>6.14</v>
      </c>
      <c r="U120" s="168">
        <f t="shared" si="120"/>
        <v>6.1566666666666663</v>
      </c>
      <c r="V120" s="240">
        <f t="shared" si="134"/>
        <v>1596.4134448003306</v>
      </c>
      <c r="W120" s="27">
        <f t="shared" si="139"/>
        <v>4.0823508710188294</v>
      </c>
      <c r="X120" s="27">
        <f t="shared" si="140"/>
        <v>5.0873586844810008</v>
      </c>
      <c r="Y120" s="27">
        <f t="shared" si="141"/>
        <v>12.678515259749048</v>
      </c>
      <c r="AA120" s="498"/>
      <c r="AB120" s="137" t="s">
        <v>24</v>
      </c>
      <c r="AC120" s="172">
        <v>18.82</v>
      </c>
      <c r="AD120" s="173">
        <v>18.87</v>
      </c>
      <c r="AE120" s="173">
        <v>18.899999999999999</v>
      </c>
      <c r="AF120" s="168">
        <f t="shared" si="135"/>
        <v>18.863333333333333</v>
      </c>
      <c r="AG120" s="189">
        <v>6.43</v>
      </c>
      <c r="AH120" s="173">
        <v>6.53</v>
      </c>
      <c r="AI120" s="173">
        <v>6.38</v>
      </c>
      <c r="AJ120" s="168">
        <f t="shared" si="136"/>
        <v>6.4466666666666663</v>
      </c>
      <c r="AK120" s="237">
        <f t="shared" si="124"/>
        <v>1801.6149409358156</v>
      </c>
      <c r="AL120" s="498"/>
      <c r="AM120" s="137" t="s">
        <v>24</v>
      </c>
      <c r="AN120" s="173">
        <v>17.88</v>
      </c>
      <c r="AO120" s="173">
        <v>18.03</v>
      </c>
      <c r="AP120" s="173">
        <v>18</v>
      </c>
      <c r="AQ120" s="168">
        <f t="shared" si="137"/>
        <v>17.97</v>
      </c>
      <c r="AR120" s="189">
        <v>6.34</v>
      </c>
      <c r="AS120" s="173">
        <v>6.26</v>
      </c>
      <c r="AT120" s="173">
        <v>6.13</v>
      </c>
      <c r="AU120" s="168">
        <f t="shared" si="138"/>
        <v>6.2433333333333332</v>
      </c>
      <c r="AV120" s="237">
        <f t="shared" si="127"/>
        <v>1583.4434512630178</v>
      </c>
      <c r="AW120" s="27">
        <f t="shared" si="142"/>
        <v>4.7358190493020027</v>
      </c>
      <c r="AX120" s="27">
        <f t="shared" si="143"/>
        <v>3.1540847983453952</v>
      </c>
      <c r="AY120" s="27">
        <f t="shared" si="144"/>
        <v>12.109773554579466</v>
      </c>
      <c r="AZ120" s="64"/>
      <c r="BA120" s="75"/>
      <c r="BB120" s="75"/>
      <c r="BC120" s="75"/>
      <c r="BD120" s="75"/>
      <c r="BE120" s="125"/>
      <c r="BF120" s="75"/>
      <c r="BG120" s="75"/>
      <c r="BH120" s="75"/>
      <c r="BI120" s="70"/>
      <c r="BJ120" s="64"/>
      <c r="BK120" s="75"/>
      <c r="BL120" s="75"/>
      <c r="BM120" s="75"/>
      <c r="BN120" s="75"/>
      <c r="BO120" s="75"/>
      <c r="BP120" s="75"/>
      <c r="BQ120" s="75"/>
    </row>
    <row r="121" spans="1:69" x14ac:dyDescent="0.25">
      <c r="A121" s="521"/>
      <c r="B121" s="166" t="s">
        <v>25</v>
      </c>
      <c r="C121" s="187">
        <v>19.010000000000002</v>
      </c>
      <c r="D121" s="187">
        <v>18.96</v>
      </c>
      <c r="E121" s="187">
        <v>19.13</v>
      </c>
      <c r="F121" s="168">
        <f t="shared" si="116"/>
        <v>19.033333333333331</v>
      </c>
      <c r="G121" s="173">
        <v>6.42</v>
      </c>
      <c r="H121" s="173">
        <v>6.46</v>
      </c>
      <c r="I121" s="173">
        <v>6.45</v>
      </c>
      <c r="J121" s="168">
        <f t="shared" si="117"/>
        <v>6.4433333333333325</v>
      </c>
      <c r="K121" s="237">
        <f t="shared" si="118"/>
        <v>1833.2858555957514</v>
      </c>
      <c r="L121" s="521"/>
      <c r="M121" s="137" t="s">
        <v>25</v>
      </c>
      <c r="N121" s="173">
        <v>17.98</v>
      </c>
      <c r="O121" s="173">
        <v>18.22</v>
      </c>
      <c r="P121" s="173">
        <v>17.989999999999998</v>
      </c>
      <c r="Q121" s="168">
        <f t="shared" si="119"/>
        <v>18.063333333333333</v>
      </c>
      <c r="R121" s="189">
        <v>6.27</v>
      </c>
      <c r="S121" s="173">
        <v>6.24</v>
      </c>
      <c r="T121" s="173">
        <v>6.21</v>
      </c>
      <c r="U121" s="168">
        <f t="shared" si="120"/>
        <v>6.2399999999999993</v>
      </c>
      <c r="V121" s="240">
        <f t="shared" si="134"/>
        <v>1599.0802655731436</v>
      </c>
      <c r="W121" s="27">
        <f t="shared" si="139"/>
        <v>5.0963222416812552</v>
      </c>
      <c r="X121" s="27">
        <f t="shared" si="140"/>
        <v>3.1557165028453156</v>
      </c>
      <c r="Y121" s="27">
        <f t="shared" si="141"/>
        <v>12.775181203069911</v>
      </c>
      <c r="AA121" s="498"/>
      <c r="AB121" s="137" t="s">
        <v>25</v>
      </c>
      <c r="AC121" s="172">
        <v>18.95</v>
      </c>
      <c r="AD121" s="173">
        <v>18.87</v>
      </c>
      <c r="AE121" s="173">
        <v>18.940000000000001</v>
      </c>
      <c r="AF121" s="168">
        <f t="shared" si="135"/>
        <v>18.920000000000002</v>
      </c>
      <c r="AG121" s="189">
        <v>6.7</v>
      </c>
      <c r="AH121" s="173">
        <v>6.57</v>
      </c>
      <c r="AI121" s="173">
        <v>6.4</v>
      </c>
      <c r="AJ121" s="168">
        <f t="shared" si="136"/>
        <v>6.5566666666666675</v>
      </c>
      <c r="AK121" s="237">
        <f t="shared" si="124"/>
        <v>1843.38161061033</v>
      </c>
      <c r="AL121" s="498"/>
      <c r="AM121" s="137" t="s">
        <v>25</v>
      </c>
      <c r="AN121" s="173">
        <v>18.13</v>
      </c>
      <c r="AO121" s="173">
        <v>17.96</v>
      </c>
      <c r="AP121" s="173">
        <v>18.11</v>
      </c>
      <c r="AQ121" s="168">
        <f t="shared" si="137"/>
        <v>18.066666666666666</v>
      </c>
      <c r="AR121" s="189">
        <v>6.45</v>
      </c>
      <c r="AS121" s="173">
        <v>6.43</v>
      </c>
      <c r="AT121" s="173">
        <v>6.42</v>
      </c>
      <c r="AU121" s="168">
        <f t="shared" si="138"/>
        <v>6.4333333333333327</v>
      </c>
      <c r="AV121" s="237">
        <f t="shared" si="127"/>
        <v>1649.2329359982066</v>
      </c>
      <c r="AW121" s="27">
        <f t="shared" si="142"/>
        <v>4.5102184637068454</v>
      </c>
      <c r="AX121" s="27">
        <f t="shared" si="143"/>
        <v>1.8810371123538612</v>
      </c>
      <c r="AY121" s="27">
        <f t="shared" si="144"/>
        <v>10.532201986535073</v>
      </c>
      <c r="AZ121" s="64"/>
      <c r="BA121" s="75"/>
      <c r="BB121" s="75"/>
      <c r="BC121" s="75"/>
      <c r="BD121" s="75"/>
      <c r="BE121" s="125"/>
      <c r="BF121" s="75"/>
      <c r="BG121" s="75"/>
      <c r="BH121" s="75"/>
      <c r="BI121" s="70"/>
      <c r="BJ121" s="64"/>
      <c r="BK121" s="75"/>
      <c r="BL121" s="75"/>
      <c r="BM121" s="75"/>
      <c r="BN121" s="75"/>
      <c r="BO121" s="75"/>
      <c r="BP121" s="75"/>
      <c r="BQ121" s="75"/>
    </row>
    <row r="122" spans="1:69" x14ac:dyDescent="0.25">
      <c r="A122" s="521"/>
      <c r="B122" s="166" t="s">
        <v>26</v>
      </c>
      <c r="C122" s="187">
        <v>18.93</v>
      </c>
      <c r="D122" s="187">
        <v>19.03</v>
      </c>
      <c r="E122" s="187">
        <v>19.03</v>
      </c>
      <c r="F122" s="168">
        <f t="shared" si="116"/>
        <v>18.996666666666666</v>
      </c>
      <c r="G122" s="173">
        <v>6.54</v>
      </c>
      <c r="H122" s="173">
        <v>6.5</v>
      </c>
      <c r="I122" s="173">
        <v>6.51</v>
      </c>
      <c r="J122" s="168">
        <f t="shared" si="117"/>
        <v>6.5166666666666657</v>
      </c>
      <c r="K122" s="237">
        <f t="shared" si="118"/>
        <v>1847.0140236798779</v>
      </c>
      <c r="L122" s="521"/>
      <c r="M122" s="137" t="s">
        <v>26</v>
      </c>
      <c r="N122" s="173">
        <v>18.14</v>
      </c>
      <c r="O122" s="173">
        <v>18.05</v>
      </c>
      <c r="P122" s="173">
        <v>18.12</v>
      </c>
      <c r="Q122" s="168">
        <f t="shared" si="119"/>
        <v>18.103333333333335</v>
      </c>
      <c r="R122" s="189">
        <v>6.22</v>
      </c>
      <c r="S122" s="173">
        <v>6.22</v>
      </c>
      <c r="T122" s="173">
        <v>6.26</v>
      </c>
      <c r="U122" s="168">
        <f t="shared" si="120"/>
        <v>6.2333333333333334</v>
      </c>
      <c r="V122" s="240">
        <f t="shared" si="134"/>
        <v>1604.4542180576614</v>
      </c>
      <c r="W122" s="27">
        <f t="shared" si="139"/>
        <v>4.702579399894705</v>
      </c>
      <c r="X122" s="27">
        <f t="shared" si="140"/>
        <v>4.3478260869565073</v>
      </c>
      <c r="Y122" s="27">
        <f t="shared" si="141"/>
        <v>13.1325373014199</v>
      </c>
      <c r="AA122" s="498"/>
      <c r="AB122" s="137" t="s">
        <v>26</v>
      </c>
      <c r="AC122" s="172">
        <v>18.86</v>
      </c>
      <c r="AD122" s="173">
        <v>18.87</v>
      </c>
      <c r="AE122" s="173">
        <v>18.95</v>
      </c>
      <c r="AF122" s="168">
        <f t="shared" si="135"/>
        <v>18.893333333333334</v>
      </c>
      <c r="AG122" s="189">
        <v>6.5</v>
      </c>
      <c r="AH122" s="173">
        <v>6.44</v>
      </c>
      <c r="AI122" s="173">
        <v>6.44</v>
      </c>
      <c r="AJ122" s="168">
        <f t="shared" si="136"/>
        <v>6.4600000000000009</v>
      </c>
      <c r="AK122" s="237">
        <f t="shared" si="124"/>
        <v>1811.0880836573101</v>
      </c>
      <c r="AL122" s="498"/>
      <c r="AM122" s="137" t="s">
        <v>26</v>
      </c>
      <c r="AN122" s="173">
        <v>17.84</v>
      </c>
      <c r="AO122" s="173">
        <v>18.04</v>
      </c>
      <c r="AP122" s="173">
        <v>17.84</v>
      </c>
      <c r="AQ122" s="168">
        <f t="shared" si="137"/>
        <v>17.906666666666666</v>
      </c>
      <c r="AR122" s="189">
        <v>6.25</v>
      </c>
      <c r="AS122" s="173">
        <v>6.29</v>
      </c>
      <c r="AT122" s="173">
        <v>6.31</v>
      </c>
      <c r="AU122" s="168">
        <f t="shared" si="138"/>
        <v>6.2833333333333323</v>
      </c>
      <c r="AV122" s="237">
        <f t="shared" si="127"/>
        <v>1582.3752436419074</v>
      </c>
      <c r="AW122" s="27">
        <f t="shared" si="142"/>
        <v>5.2223006351446788</v>
      </c>
      <c r="AX122" s="27">
        <f t="shared" si="143"/>
        <v>2.734778121775054</v>
      </c>
      <c r="AY122" s="27">
        <f t="shared" si="144"/>
        <v>12.628476885207046</v>
      </c>
      <c r="AZ122" s="64"/>
      <c r="BA122" s="75"/>
      <c r="BB122" s="75"/>
      <c r="BC122" s="75"/>
      <c r="BD122" s="75"/>
      <c r="BE122" s="125"/>
      <c r="BF122" s="75"/>
      <c r="BG122" s="75"/>
      <c r="BH122" s="75"/>
      <c r="BI122" s="70"/>
      <c r="BJ122" s="64"/>
      <c r="BK122" s="75"/>
      <c r="BL122" s="75"/>
      <c r="BM122" s="75"/>
      <c r="BN122" s="75"/>
      <c r="BO122" s="75"/>
      <c r="BP122" s="75"/>
      <c r="BQ122" s="75"/>
    </row>
    <row r="123" spans="1:69" ht="15.75" thickBot="1" x14ac:dyDescent="0.3">
      <c r="A123" s="522"/>
      <c r="B123" s="185" t="s">
        <v>27</v>
      </c>
      <c r="C123" s="188">
        <v>18.98</v>
      </c>
      <c r="D123" s="188">
        <v>18.899999999999999</v>
      </c>
      <c r="E123" s="188">
        <v>19.079999999999998</v>
      </c>
      <c r="F123" s="169">
        <f t="shared" si="116"/>
        <v>18.986666666666665</v>
      </c>
      <c r="G123" s="179">
        <v>6.49</v>
      </c>
      <c r="H123" s="179">
        <v>6.57</v>
      </c>
      <c r="I123" s="179">
        <v>6.53</v>
      </c>
      <c r="J123" s="180">
        <f t="shared" si="117"/>
        <v>6.53</v>
      </c>
      <c r="K123" s="238">
        <f>PI()*((F123/2)^2)*J123</f>
        <v>1848.8450482781686</v>
      </c>
      <c r="L123" s="522"/>
      <c r="M123" s="138" t="s">
        <v>27</v>
      </c>
      <c r="N123" s="179">
        <v>18.03</v>
      </c>
      <c r="O123" s="179">
        <v>18.2</v>
      </c>
      <c r="P123" s="179">
        <v>18.07</v>
      </c>
      <c r="Q123" s="180">
        <f t="shared" si="119"/>
        <v>18.100000000000001</v>
      </c>
      <c r="R123" s="190">
        <v>6.29</v>
      </c>
      <c r="S123" s="179">
        <v>6.2</v>
      </c>
      <c r="T123" s="179">
        <v>6.33</v>
      </c>
      <c r="U123" s="180">
        <f t="shared" si="120"/>
        <v>6.2733333333333334</v>
      </c>
      <c r="V123" s="241">
        <f t="shared" si="134"/>
        <v>1614.1555937620694</v>
      </c>
      <c r="W123" s="27">
        <f t="shared" si="139"/>
        <v>4.6699438202247014</v>
      </c>
      <c r="X123" s="27">
        <f t="shared" si="140"/>
        <v>3.9305768249106712</v>
      </c>
      <c r="Y123" s="61">
        <f>((K123-V123)/K123)*100</f>
        <v>12.693841202899387</v>
      </c>
      <c r="AA123" s="499"/>
      <c r="AB123" s="138" t="s">
        <v>27</v>
      </c>
      <c r="AC123" s="178">
        <v>18.899999999999999</v>
      </c>
      <c r="AD123" s="179">
        <v>18.940000000000001</v>
      </c>
      <c r="AE123" s="179">
        <v>18.940000000000001</v>
      </c>
      <c r="AF123" s="180">
        <f t="shared" si="135"/>
        <v>18.926666666666666</v>
      </c>
      <c r="AG123" s="190">
        <v>6.27</v>
      </c>
      <c r="AH123" s="179">
        <v>6.42</v>
      </c>
      <c r="AI123" s="179">
        <v>6.39</v>
      </c>
      <c r="AJ123" s="180">
        <f t="shared" si="136"/>
        <v>6.3599999999999994</v>
      </c>
      <c r="AK123" s="238">
        <f t="shared" si="124"/>
        <v>1789.3498612160624</v>
      </c>
      <c r="AL123" s="499"/>
      <c r="AM123" s="138" t="s">
        <v>27</v>
      </c>
      <c r="AN123" s="179">
        <v>18.059999999999999</v>
      </c>
      <c r="AO123" s="179">
        <v>17.93</v>
      </c>
      <c r="AP123" s="179">
        <v>18.079999999999998</v>
      </c>
      <c r="AQ123" s="180">
        <f t="shared" si="137"/>
        <v>18.02333333333333</v>
      </c>
      <c r="AR123" s="190">
        <v>6.26</v>
      </c>
      <c r="AS123" s="179">
        <v>6.21</v>
      </c>
      <c r="AT123" s="179">
        <v>6.26</v>
      </c>
      <c r="AU123" s="180">
        <f t="shared" si="138"/>
        <v>6.2433333333333323</v>
      </c>
      <c r="AV123" s="238">
        <f t="shared" si="127"/>
        <v>1592.8564326597277</v>
      </c>
      <c r="AW123" s="27">
        <f t="shared" si="142"/>
        <v>4.7728073265234379</v>
      </c>
      <c r="AX123" s="27">
        <f t="shared" si="143"/>
        <v>1.8343815513626911</v>
      </c>
      <c r="AY123" s="61">
        <f>((AK123-AV123)/AK123)*100</f>
        <v>10.981274976755834</v>
      </c>
      <c r="AZ123" s="64"/>
      <c r="BA123" s="75"/>
      <c r="BB123" s="75"/>
      <c r="BC123" s="75"/>
      <c r="BD123" s="75"/>
      <c r="BE123" s="125"/>
      <c r="BF123" s="75"/>
      <c r="BG123" s="75"/>
      <c r="BH123" s="75"/>
      <c r="BI123" s="70"/>
      <c r="BJ123" s="64"/>
      <c r="BK123" s="75"/>
      <c r="BL123" s="75"/>
      <c r="BM123" s="75"/>
      <c r="BN123" s="75"/>
      <c r="BO123" s="75"/>
      <c r="BP123" s="75"/>
      <c r="BQ123" s="75"/>
    </row>
    <row r="124" spans="1:69" ht="16.5" thickBot="1" x14ac:dyDescent="0.3">
      <c r="A124" s="72" t="s">
        <v>211</v>
      </c>
      <c r="B124" s="182" t="s">
        <v>4</v>
      </c>
      <c r="C124" s="182"/>
      <c r="D124" s="182"/>
      <c r="E124" s="182"/>
      <c r="F124" s="182"/>
      <c r="G124" s="73"/>
      <c r="H124" s="73"/>
      <c r="I124" s="73"/>
      <c r="J124" s="74"/>
      <c r="K124" s="204"/>
      <c r="L124" s="72" t="s">
        <v>124</v>
      </c>
      <c r="M124" s="76" t="s">
        <v>212</v>
      </c>
      <c r="N124" s="296"/>
      <c r="O124" s="296"/>
      <c r="P124" s="296"/>
      <c r="Q124" s="296"/>
      <c r="R124" s="296"/>
      <c r="S124" s="296"/>
      <c r="T124" s="296"/>
      <c r="U124" s="74"/>
      <c r="V124" s="204"/>
      <c r="W124" s="204"/>
      <c r="X124" s="204"/>
      <c r="Y124" s="243"/>
      <c r="AA124" s="72" t="s">
        <v>213</v>
      </c>
      <c r="AB124" s="73" t="s">
        <v>4</v>
      </c>
      <c r="AC124" s="73"/>
      <c r="AD124" s="73"/>
      <c r="AE124" s="73"/>
      <c r="AF124" s="73"/>
      <c r="AG124" s="73"/>
      <c r="AH124" s="73"/>
      <c r="AI124" s="73"/>
      <c r="AJ124" s="73"/>
      <c r="AK124" s="244"/>
      <c r="AL124" s="72" t="s">
        <v>125</v>
      </c>
      <c r="AM124" s="76" t="s">
        <v>212</v>
      </c>
      <c r="AN124" s="73"/>
      <c r="AO124" s="73"/>
      <c r="AP124" s="73"/>
      <c r="AQ124" s="73"/>
      <c r="AR124" s="73"/>
      <c r="AS124" s="73"/>
      <c r="AT124" s="73"/>
      <c r="AU124" s="74"/>
      <c r="AV124" s="204"/>
      <c r="AW124" s="204"/>
      <c r="AX124" s="204"/>
      <c r="AY124" s="243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4"/>
      <c r="BJ124" s="126"/>
      <c r="BK124" s="126"/>
      <c r="BL124" s="126"/>
      <c r="BM124" s="126"/>
      <c r="BN124" s="126"/>
      <c r="BO124" s="126"/>
      <c r="BP124" s="126"/>
      <c r="BQ124" s="126"/>
    </row>
    <row r="125" spans="1:69" ht="15.75" thickBot="1" x14ac:dyDescent="0.3">
      <c r="A125" s="77" t="s">
        <v>12</v>
      </c>
      <c r="B125" s="78" t="s">
        <v>6</v>
      </c>
      <c r="C125" s="79" t="s">
        <v>13</v>
      </c>
      <c r="D125" s="79" t="s">
        <v>14</v>
      </c>
      <c r="E125" s="79" t="s">
        <v>15</v>
      </c>
      <c r="F125" s="80" t="s">
        <v>16</v>
      </c>
      <c r="G125" s="81" t="s">
        <v>17</v>
      </c>
      <c r="H125" s="82" t="s">
        <v>18</v>
      </c>
      <c r="I125" s="82" t="s">
        <v>19</v>
      </c>
      <c r="J125" s="83" t="s">
        <v>16</v>
      </c>
      <c r="K125" s="201" t="s">
        <v>183</v>
      </c>
      <c r="L125" s="77" t="s">
        <v>12</v>
      </c>
      <c r="M125" s="78" t="s">
        <v>6</v>
      </c>
      <c r="N125" s="79" t="s">
        <v>13</v>
      </c>
      <c r="O125" s="79" t="s">
        <v>14</v>
      </c>
      <c r="P125" s="79" t="s">
        <v>15</v>
      </c>
      <c r="Q125" s="80" t="s">
        <v>16</v>
      </c>
      <c r="R125" s="81" t="s">
        <v>17</v>
      </c>
      <c r="S125" s="82" t="s">
        <v>18</v>
      </c>
      <c r="T125" s="82" t="s">
        <v>19</v>
      </c>
      <c r="U125" s="83" t="s">
        <v>16</v>
      </c>
      <c r="V125" s="84" t="s">
        <v>183</v>
      </c>
      <c r="W125" s="201" t="s">
        <v>184</v>
      </c>
      <c r="X125" s="201" t="s">
        <v>185</v>
      </c>
      <c r="Y125" s="194" t="s">
        <v>186</v>
      </c>
      <c r="AA125" s="77" t="s">
        <v>12</v>
      </c>
      <c r="AB125" s="78" t="s">
        <v>6</v>
      </c>
      <c r="AC125" s="79" t="s">
        <v>13</v>
      </c>
      <c r="AD125" s="79" t="s">
        <v>14</v>
      </c>
      <c r="AE125" s="79" t="s">
        <v>15</v>
      </c>
      <c r="AF125" s="80" t="s">
        <v>16</v>
      </c>
      <c r="AG125" s="81" t="s">
        <v>17</v>
      </c>
      <c r="AH125" s="82" t="s">
        <v>18</v>
      </c>
      <c r="AI125" s="82" t="s">
        <v>19</v>
      </c>
      <c r="AJ125" s="83" t="s">
        <v>16</v>
      </c>
      <c r="AK125" s="123"/>
      <c r="AL125" s="77" t="s">
        <v>12</v>
      </c>
      <c r="AM125" s="78" t="s">
        <v>6</v>
      </c>
      <c r="AN125" s="79" t="s">
        <v>13</v>
      </c>
      <c r="AO125" s="79" t="s">
        <v>14</v>
      </c>
      <c r="AP125" s="79" t="s">
        <v>15</v>
      </c>
      <c r="AQ125" s="80" t="s">
        <v>16</v>
      </c>
      <c r="AR125" s="81" t="s">
        <v>17</v>
      </c>
      <c r="AS125" s="82" t="s">
        <v>18</v>
      </c>
      <c r="AT125" s="82" t="s">
        <v>19</v>
      </c>
      <c r="AU125" s="83" t="s">
        <v>16</v>
      </c>
      <c r="AV125" s="201" t="s">
        <v>183</v>
      </c>
      <c r="AW125" s="201" t="s">
        <v>184</v>
      </c>
      <c r="AX125" s="201" t="s">
        <v>185</v>
      </c>
      <c r="AY125" s="194" t="s">
        <v>186</v>
      </c>
      <c r="AZ125" s="75"/>
      <c r="BA125" s="75"/>
      <c r="BB125" s="75"/>
      <c r="BC125" s="75"/>
      <c r="BD125" s="75"/>
      <c r="BE125" s="75"/>
      <c r="BF125" s="75"/>
      <c r="BG125" s="75"/>
      <c r="BH125" s="75"/>
      <c r="BI125" s="75"/>
      <c r="BJ125" s="75"/>
      <c r="BK125" s="75"/>
      <c r="BL125" s="75"/>
      <c r="BM125" s="75"/>
      <c r="BN125" s="75"/>
      <c r="BO125" s="75"/>
      <c r="BP125" s="75"/>
      <c r="BQ125" s="75"/>
    </row>
    <row r="126" spans="1:69" ht="15" customHeight="1" x14ac:dyDescent="0.25">
      <c r="A126" s="515" t="s">
        <v>207</v>
      </c>
      <c r="B126" s="174" t="s">
        <v>21</v>
      </c>
      <c r="C126" s="170">
        <v>19.12</v>
      </c>
      <c r="D126" s="170">
        <v>19.2</v>
      </c>
      <c r="E126" s="170">
        <v>19.2</v>
      </c>
      <c r="F126" s="167">
        <f>AVERAGE(C126:E126)</f>
        <v>19.173333333333332</v>
      </c>
      <c r="G126" s="181">
        <v>6.41</v>
      </c>
      <c r="H126" s="181">
        <v>6.23</v>
      </c>
      <c r="I126" s="181">
        <v>6.36</v>
      </c>
      <c r="J126" s="175">
        <f>AVERAGE(G126:I126)</f>
        <v>6.333333333333333</v>
      </c>
      <c r="K126" s="236">
        <f>PI()*((F126/2)^2)*J126</f>
        <v>1828.594768358887</v>
      </c>
      <c r="L126" s="518" t="s">
        <v>207</v>
      </c>
      <c r="M126" s="141" t="s">
        <v>21</v>
      </c>
      <c r="N126" s="181">
        <v>18.579999999999998</v>
      </c>
      <c r="O126" s="181">
        <v>18.899999999999999</v>
      </c>
      <c r="P126" s="181">
        <v>18.579999999999998</v>
      </c>
      <c r="Q126" s="175">
        <f>AVERAGE(N126:P126)</f>
        <v>18.686666666666664</v>
      </c>
      <c r="R126" s="228">
        <v>6.27</v>
      </c>
      <c r="S126" s="181">
        <v>6.14</v>
      </c>
      <c r="T126" s="181">
        <v>6.12</v>
      </c>
      <c r="U126" s="175">
        <f>AVERAGE(R126:T126)</f>
        <v>6.1766666666666667</v>
      </c>
      <c r="V126" s="239">
        <f>PI()*((Q126/2)^2)*U126</f>
        <v>1693.9778346356584</v>
      </c>
      <c r="W126" s="23">
        <f>((F126-Q126)/F126)*100</f>
        <v>2.5382475660639856</v>
      </c>
      <c r="X126" s="23">
        <f>((J126-U126)/J126)*100</f>
        <v>2.4736842105263097</v>
      </c>
      <c r="Y126" s="23">
        <f>((K126-V126)/K126)*100</f>
        <v>7.3617695977574931</v>
      </c>
      <c r="AA126" s="495" t="s">
        <v>208</v>
      </c>
      <c r="AB126" s="141" t="s">
        <v>21</v>
      </c>
      <c r="AC126" s="170">
        <v>18.98</v>
      </c>
      <c r="AD126" s="171">
        <v>19.11</v>
      </c>
      <c r="AE126" s="171">
        <v>19.02</v>
      </c>
      <c r="AF126" s="175">
        <f>AVERAGE(AC126:AE126)</f>
        <v>19.036666666666665</v>
      </c>
      <c r="AG126" s="186">
        <v>6.28</v>
      </c>
      <c r="AH126" s="171">
        <v>6.29</v>
      </c>
      <c r="AI126" s="171">
        <v>6.41</v>
      </c>
      <c r="AJ126" s="175">
        <f>AVERAGE(AG126:AI126)</f>
        <v>6.3266666666666671</v>
      </c>
      <c r="AK126" s="236">
        <f>PI()*((AF126/2)^2)*AJ126</f>
        <v>1800.7218967982744</v>
      </c>
      <c r="AL126" s="495" t="s">
        <v>208</v>
      </c>
      <c r="AM126" s="141" t="s">
        <v>21</v>
      </c>
      <c r="AN126" s="181">
        <v>18.3</v>
      </c>
      <c r="AO126" s="181">
        <v>18.25</v>
      </c>
      <c r="AP126" s="181">
        <v>18.29</v>
      </c>
      <c r="AQ126" s="175">
        <f>AVERAGE(AN126:AP126)</f>
        <v>18.279999999999998</v>
      </c>
      <c r="AR126" s="228">
        <v>6.1</v>
      </c>
      <c r="AS126" s="181">
        <v>6.15</v>
      </c>
      <c r="AT126" s="181">
        <v>6.01</v>
      </c>
      <c r="AU126" s="175">
        <f>AVERAGE(AR126:AT126)</f>
        <v>6.086666666666666</v>
      </c>
      <c r="AV126" s="236">
        <f>PI()*((AQ126/2)^2)*AU126</f>
        <v>1597.4298026454439</v>
      </c>
      <c r="AW126" s="23">
        <f>((AF126-AQ126)/AF126)*100</f>
        <v>3.9747855016634621</v>
      </c>
      <c r="AX126" s="23">
        <f>((AJ126-AU126)/AJ126)*100</f>
        <v>3.793466807165454</v>
      </c>
      <c r="AY126" s="23">
        <f>((AK126-AV126)/AK126)*100</f>
        <v>11.289477543105827</v>
      </c>
      <c r="AZ126" s="67"/>
      <c r="BA126" s="75"/>
      <c r="BB126" s="75"/>
      <c r="BC126" s="75"/>
      <c r="BD126" s="75"/>
      <c r="BE126" s="125"/>
      <c r="BF126" s="75"/>
      <c r="BG126" s="75"/>
      <c r="BH126" s="75"/>
      <c r="BI126" s="142"/>
      <c r="BJ126" s="67"/>
      <c r="BK126" s="75"/>
      <c r="BL126" s="75"/>
      <c r="BM126" s="75"/>
      <c r="BN126" s="75"/>
      <c r="BO126" s="75"/>
      <c r="BP126" s="75"/>
      <c r="BQ126" s="75"/>
    </row>
    <row r="127" spans="1:69" x14ac:dyDescent="0.25">
      <c r="A127" s="516"/>
      <c r="B127" s="183" t="s">
        <v>22</v>
      </c>
      <c r="C127" s="187">
        <v>19.309999999999999</v>
      </c>
      <c r="D127" s="187">
        <v>19.059999999999999</v>
      </c>
      <c r="E127" s="187">
        <v>19.11</v>
      </c>
      <c r="F127" s="168">
        <f t="shared" ref="F127:F139" si="145">AVERAGE(C127:E127)</f>
        <v>19.16</v>
      </c>
      <c r="G127" s="173">
        <v>6.46</v>
      </c>
      <c r="H127" s="173">
        <v>6.27</v>
      </c>
      <c r="I127" s="173">
        <v>6.32</v>
      </c>
      <c r="J127" s="168">
        <f t="shared" ref="J127:J139" si="146">AVERAGE(G127:I127)</f>
        <v>6.3500000000000005</v>
      </c>
      <c r="K127" s="237">
        <f t="shared" ref="K127:K139" si="147">PI()*((F127/2)^2)*J127</f>
        <v>1830.857806482031</v>
      </c>
      <c r="L127" s="519"/>
      <c r="M127" s="139" t="s">
        <v>22</v>
      </c>
      <c r="N127" s="173">
        <v>18.59</v>
      </c>
      <c r="O127" s="173">
        <v>18.77</v>
      </c>
      <c r="P127" s="173">
        <v>18.46</v>
      </c>
      <c r="Q127" s="168">
        <f t="shared" ref="Q127:Q139" si="148">AVERAGE(N127:P127)</f>
        <v>18.606666666666666</v>
      </c>
      <c r="R127" s="189">
        <v>6.17</v>
      </c>
      <c r="S127" s="173">
        <v>6.26</v>
      </c>
      <c r="T127" s="173">
        <v>6.16</v>
      </c>
      <c r="U127" s="168">
        <f t="shared" ref="U127:U139" si="149">AVERAGE(R127:T127)</f>
        <v>6.1966666666666663</v>
      </c>
      <c r="V127" s="240">
        <f t="shared" ref="V127:V132" si="150">PI()*((Q127/2)^2)*U127</f>
        <v>1684.9428354716833</v>
      </c>
      <c r="W127" s="27">
        <f>((F127-Q127)/F127)*100</f>
        <v>2.8879610299234582</v>
      </c>
      <c r="X127" s="27">
        <f>((J127-U127)/J127)*100</f>
        <v>2.4146981627296724</v>
      </c>
      <c r="Y127" s="27">
        <f>((K127-V127)/K127)*100</f>
        <v>7.9697598848881324</v>
      </c>
      <c r="AA127" s="496"/>
      <c r="AB127" s="139" t="s">
        <v>22</v>
      </c>
      <c r="AC127" s="172">
        <v>19.14</v>
      </c>
      <c r="AD127" s="173">
        <v>18.97</v>
      </c>
      <c r="AE127" s="173">
        <v>19.13</v>
      </c>
      <c r="AF127" s="168">
        <f t="shared" ref="AF127:AF139" si="151">AVERAGE(AC127:AE127)</f>
        <v>19.079999999999998</v>
      </c>
      <c r="AG127" s="189">
        <v>6.72</v>
      </c>
      <c r="AH127" s="173">
        <v>6.78</v>
      </c>
      <c r="AI127" s="173">
        <v>6.7</v>
      </c>
      <c r="AJ127" s="168">
        <f t="shared" ref="AJ127:AJ139" si="152">AVERAGE(AG127:AI127)</f>
        <v>6.7333333333333334</v>
      </c>
      <c r="AK127" s="237">
        <f t="shared" ref="AK127:AK139" si="153">PI()*((AF127/2)^2)*AJ127</f>
        <v>1925.2039179397821</v>
      </c>
      <c r="AL127" s="496"/>
      <c r="AM127" s="139" t="s">
        <v>22</v>
      </c>
      <c r="AN127" s="173">
        <v>18.170000000000002</v>
      </c>
      <c r="AO127" s="173">
        <v>18.25</v>
      </c>
      <c r="AP127" s="173">
        <v>18.27</v>
      </c>
      <c r="AQ127" s="168">
        <f t="shared" ref="AQ127:AQ132" si="154">AVERAGE(AN127:AP127)</f>
        <v>18.23</v>
      </c>
      <c r="AR127" s="189">
        <v>6.35</v>
      </c>
      <c r="AS127" s="173">
        <v>6.4</v>
      </c>
      <c r="AT127" s="173">
        <v>6.41</v>
      </c>
      <c r="AU127" s="168">
        <f t="shared" ref="AU127:AU132" si="155">AVERAGE(AR127:AT127)</f>
        <v>6.3866666666666667</v>
      </c>
      <c r="AV127" s="237">
        <f t="shared" ref="AV127:AV139" si="156">PI()*((AQ127/2)^2)*AU127</f>
        <v>1667.0071735072856</v>
      </c>
      <c r="AW127" s="27">
        <f>((AF127-AQ127)/AF127)*100</f>
        <v>4.4549266247379347</v>
      </c>
      <c r="AX127" s="27">
        <f>((AJ127-AU127)/AJ127)*100</f>
        <v>5.1485148514851486</v>
      </c>
      <c r="AY127" s="27">
        <f>((AK127-AV127)/AK127)*100</f>
        <v>13.411397204551736</v>
      </c>
      <c r="AZ127" s="67"/>
      <c r="BA127" s="75"/>
      <c r="BB127" s="75"/>
      <c r="BC127" s="75"/>
      <c r="BD127" s="75"/>
      <c r="BE127" s="125"/>
      <c r="BF127" s="75"/>
      <c r="BG127" s="75"/>
      <c r="BH127" s="75"/>
      <c r="BI127" s="142"/>
      <c r="BJ127" s="67"/>
      <c r="BK127" s="75"/>
      <c r="BL127" s="75"/>
      <c r="BM127" s="75"/>
      <c r="BN127" s="75"/>
      <c r="BO127" s="75"/>
      <c r="BP127" s="75"/>
      <c r="BQ127" s="75"/>
    </row>
    <row r="128" spans="1:69" x14ac:dyDescent="0.25">
      <c r="A128" s="516"/>
      <c r="B128" s="183" t="s">
        <v>23</v>
      </c>
      <c r="C128" s="187">
        <v>19.38</v>
      </c>
      <c r="D128" s="187">
        <v>19.14</v>
      </c>
      <c r="E128" s="187">
        <v>19.37</v>
      </c>
      <c r="F128" s="168">
        <f t="shared" si="145"/>
        <v>19.296666666666667</v>
      </c>
      <c r="G128" s="173">
        <v>6.46</v>
      </c>
      <c r="H128" s="173">
        <v>6.48</v>
      </c>
      <c r="I128" s="173">
        <v>6.5</v>
      </c>
      <c r="J128" s="168">
        <f t="shared" si="146"/>
        <v>6.48</v>
      </c>
      <c r="K128" s="237">
        <f t="shared" si="147"/>
        <v>1895.0884159837262</v>
      </c>
      <c r="L128" s="519"/>
      <c r="M128" s="139" t="s">
        <v>23</v>
      </c>
      <c r="N128" s="173">
        <v>18.64</v>
      </c>
      <c r="O128" s="173">
        <v>18.62</v>
      </c>
      <c r="P128" s="173">
        <v>18.75</v>
      </c>
      <c r="Q128" s="168">
        <f t="shared" si="148"/>
        <v>18.670000000000002</v>
      </c>
      <c r="R128" s="189">
        <v>6.26</v>
      </c>
      <c r="S128" s="173">
        <v>6.27</v>
      </c>
      <c r="T128" s="173">
        <v>6.29</v>
      </c>
      <c r="U128" s="168">
        <f t="shared" si="149"/>
        <v>6.2733333333333334</v>
      </c>
      <c r="V128" s="240">
        <f t="shared" si="150"/>
        <v>1717.4214454579878</v>
      </c>
      <c r="W128" s="27">
        <f t="shared" ref="W128:W132" si="157">((F128-Q128)/F128)*100</f>
        <v>3.2475384349628529</v>
      </c>
      <c r="X128" s="27">
        <f t="shared" ref="X128:X132" si="158">((J128-U128)/J128)*100</f>
        <v>3.1893004115226384</v>
      </c>
      <c r="Y128" s="27">
        <f t="shared" ref="Y128:Y131" si="159">((K128-V128)/K128)*100</f>
        <v>9.3751283067979081</v>
      </c>
      <c r="AA128" s="496"/>
      <c r="AB128" s="139" t="s">
        <v>23</v>
      </c>
      <c r="AC128" s="172">
        <v>19.04</v>
      </c>
      <c r="AD128" s="173">
        <v>18.899999999999999</v>
      </c>
      <c r="AE128" s="173">
        <v>19.14</v>
      </c>
      <c r="AF128" s="168">
        <f t="shared" si="151"/>
        <v>19.026666666666667</v>
      </c>
      <c r="AG128" s="189">
        <v>6.66</v>
      </c>
      <c r="AH128" s="173">
        <v>6.61</v>
      </c>
      <c r="AI128" s="173">
        <v>6.5</v>
      </c>
      <c r="AJ128" s="168">
        <f t="shared" si="152"/>
        <v>6.59</v>
      </c>
      <c r="AK128" s="237">
        <f t="shared" si="153"/>
        <v>1873.7028415066354</v>
      </c>
      <c r="AL128" s="496"/>
      <c r="AM128" s="139" t="s">
        <v>23</v>
      </c>
      <c r="AN128" s="173">
        <v>18.02</v>
      </c>
      <c r="AO128" s="173">
        <v>18.12</v>
      </c>
      <c r="AP128" s="173">
        <v>18.260000000000002</v>
      </c>
      <c r="AQ128" s="168">
        <f t="shared" si="154"/>
        <v>18.133333333333336</v>
      </c>
      <c r="AR128" s="189">
        <v>6.26</v>
      </c>
      <c r="AS128" s="173">
        <v>6.29</v>
      </c>
      <c r="AT128" s="173">
        <v>6.33</v>
      </c>
      <c r="AU128" s="168">
        <f t="shared" si="155"/>
        <v>6.2933333333333339</v>
      </c>
      <c r="AV128" s="237">
        <f t="shared" si="156"/>
        <v>1625.2714503239174</v>
      </c>
      <c r="AW128" s="27">
        <f t="shared" ref="AW128:AW132" si="160">((AF128-AQ128)/AF128)*100</f>
        <v>4.6951646811492509</v>
      </c>
      <c r="AX128" s="27">
        <f t="shared" ref="AX128:AX132" si="161">((AJ128-AU128)/AJ128)*100</f>
        <v>4.501770359129984</v>
      </c>
      <c r="AY128" s="27">
        <f t="shared" ref="AY128:AY131" si="162">((AK128-AV128)/AK128)*100</f>
        <v>13.258846903543976</v>
      </c>
      <c r="AZ128" s="67"/>
      <c r="BA128" s="75"/>
      <c r="BB128" s="75"/>
      <c r="BC128" s="75"/>
      <c r="BD128" s="75"/>
      <c r="BE128" s="125"/>
      <c r="BF128" s="75"/>
      <c r="BG128" s="75"/>
      <c r="BH128" s="75"/>
      <c r="BI128" s="142"/>
      <c r="BJ128" s="67"/>
      <c r="BK128" s="75"/>
      <c r="BL128" s="75"/>
      <c r="BM128" s="75"/>
      <c r="BN128" s="75"/>
      <c r="BO128" s="75"/>
      <c r="BP128" s="75"/>
      <c r="BQ128" s="75"/>
    </row>
    <row r="129" spans="1:69" x14ac:dyDescent="0.25">
      <c r="A129" s="516"/>
      <c r="B129" s="183" t="s">
        <v>24</v>
      </c>
      <c r="C129" s="187">
        <v>19.350000000000001</v>
      </c>
      <c r="D129" s="187">
        <v>19.149999999999999</v>
      </c>
      <c r="E129" s="187">
        <v>19.21</v>
      </c>
      <c r="F129" s="168">
        <f t="shared" si="145"/>
        <v>19.236666666666668</v>
      </c>
      <c r="G129" s="173">
        <v>6.36</v>
      </c>
      <c r="H129" s="173">
        <v>6.33</v>
      </c>
      <c r="I129" s="173">
        <v>6.3</v>
      </c>
      <c r="J129" s="168">
        <f t="shared" si="146"/>
        <v>6.330000000000001</v>
      </c>
      <c r="K129" s="237">
        <f t="shared" si="147"/>
        <v>1839.7263578713007</v>
      </c>
      <c r="L129" s="519"/>
      <c r="M129" s="139" t="s">
        <v>24</v>
      </c>
      <c r="N129" s="173">
        <v>18.62</v>
      </c>
      <c r="O129" s="173">
        <v>18.670000000000002</v>
      </c>
      <c r="P129" s="173">
        <v>18.61</v>
      </c>
      <c r="Q129" s="168">
        <f t="shared" si="148"/>
        <v>18.633333333333336</v>
      </c>
      <c r="R129" s="189">
        <v>6.12</v>
      </c>
      <c r="S129" s="173">
        <v>6.09</v>
      </c>
      <c r="T129" s="173">
        <v>6.09</v>
      </c>
      <c r="U129" s="168">
        <f t="shared" si="149"/>
        <v>6.1000000000000005</v>
      </c>
      <c r="V129" s="240">
        <f t="shared" si="150"/>
        <v>1663.4158014769428</v>
      </c>
      <c r="W129" s="27">
        <f t="shared" si="157"/>
        <v>3.1363715127360861</v>
      </c>
      <c r="X129" s="27">
        <f t="shared" si="158"/>
        <v>3.633491311216436</v>
      </c>
      <c r="Y129" s="27">
        <f t="shared" si="159"/>
        <v>9.5835207035008327</v>
      </c>
      <c r="AA129" s="496"/>
      <c r="AB129" s="139" t="s">
        <v>24</v>
      </c>
      <c r="AC129" s="172">
        <v>18.93</v>
      </c>
      <c r="AD129" s="173">
        <v>19.059999999999999</v>
      </c>
      <c r="AE129" s="173">
        <v>18.899999999999999</v>
      </c>
      <c r="AF129" s="168">
        <f t="shared" si="151"/>
        <v>18.963333333333331</v>
      </c>
      <c r="AG129" s="189">
        <v>6.48</v>
      </c>
      <c r="AH129" s="173">
        <v>6.63</v>
      </c>
      <c r="AI129" s="173">
        <v>6.5</v>
      </c>
      <c r="AJ129" s="168">
        <f t="shared" si="152"/>
        <v>6.5366666666666662</v>
      </c>
      <c r="AK129" s="237">
        <f t="shared" si="153"/>
        <v>1846.1865318401137</v>
      </c>
      <c r="AL129" s="496"/>
      <c r="AM129" s="139" t="s">
        <v>24</v>
      </c>
      <c r="AN129" s="173">
        <v>18.149999999999999</v>
      </c>
      <c r="AO129" s="173">
        <v>18.25</v>
      </c>
      <c r="AP129" s="173">
        <v>18.059999999999999</v>
      </c>
      <c r="AQ129" s="168">
        <f t="shared" si="154"/>
        <v>18.153333333333332</v>
      </c>
      <c r="AR129" s="189">
        <v>6.18</v>
      </c>
      <c r="AS129" s="173">
        <v>6.17</v>
      </c>
      <c r="AT129" s="173">
        <v>6.25</v>
      </c>
      <c r="AU129" s="168">
        <f t="shared" si="155"/>
        <v>6.2</v>
      </c>
      <c r="AV129" s="237">
        <f t="shared" si="156"/>
        <v>1604.701783994522</v>
      </c>
      <c r="AW129" s="27">
        <f t="shared" si="160"/>
        <v>4.2714009492002045</v>
      </c>
      <c r="AX129" s="27">
        <f t="shared" si="161"/>
        <v>5.1504334523202351</v>
      </c>
      <c r="AY129" s="27">
        <f t="shared" si="162"/>
        <v>13.080192260145097</v>
      </c>
      <c r="AZ129" s="67"/>
      <c r="BA129" s="75"/>
      <c r="BB129" s="75"/>
      <c r="BC129" s="75"/>
      <c r="BD129" s="75"/>
      <c r="BE129" s="125"/>
      <c r="BF129" s="75"/>
      <c r="BG129" s="75"/>
      <c r="BH129" s="75"/>
      <c r="BI129" s="142"/>
      <c r="BJ129" s="67"/>
      <c r="BK129" s="75"/>
      <c r="BL129" s="75"/>
      <c r="BM129" s="75"/>
      <c r="BN129" s="75"/>
      <c r="BO129" s="75"/>
      <c r="BP129" s="75"/>
      <c r="BQ129" s="75"/>
    </row>
    <row r="130" spans="1:69" x14ac:dyDescent="0.25">
      <c r="A130" s="516"/>
      <c r="B130" s="183" t="s">
        <v>25</v>
      </c>
      <c r="C130" s="187">
        <v>19.04</v>
      </c>
      <c r="D130" s="187">
        <v>19.3</v>
      </c>
      <c r="E130" s="187">
        <v>19.23</v>
      </c>
      <c r="F130" s="168">
        <f t="shared" si="145"/>
        <v>19.190000000000001</v>
      </c>
      <c r="G130" s="173">
        <v>6.64</v>
      </c>
      <c r="H130" s="173">
        <v>6.56</v>
      </c>
      <c r="I130" s="173">
        <v>6.57</v>
      </c>
      <c r="J130" s="168">
        <f t="shared" si="146"/>
        <v>6.59</v>
      </c>
      <c r="K130" s="237">
        <f t="shared" si="147"/>
        <v>1906.0103097133876</v>
      </c>
      <c r="L130" s="519"/>
      <c r="M130" s="139" t="s">
        <v>25</v>
      </c>
      <c r="N130" s="173">
        <v>18.63</v>
      </c>
      <c r="O130" s="173">
        <v>18.54</v>
      </c>
      <c r="P130" s="173">
        <v>18.66</v>
      </c>
      <c r="Q130" s="168">
        <f t="shared" si="148"/>
        <v>18.61</v>
      </c>
      <c r="R130" s="189">
        <v>6.42</v>
      </c>
      <c r="S130" s="173">
        <v>6.44</v>
      </c>
      <c r="T130" s="173">
        <v>6.4</v>
      </c>
      <c r="U130" s="168">
        <f t="shared" si="149"/>
        <v>6.419999999999999</v>
      </c>
      <c r="V130" s="240">
        <f t="shared" si="150"/>
        <v>1746.2951816050322</v>
      </c>
      <c r="W130" s="27">
        <f t="shared" si="157"/>
        <v>3.0224075039082949</v>
      </c>
      <c r="X130" s="27">
        <f t="shared" si="158"/>
        <v>2.5796661608497846</v>
      </c>
      <c r="Y130" s="27">
        <f t="shared" si="159"/>
        <v>8.3795521616235256</v>
      </c>
      <c r="AA130" s="496"/>
      <c r="AB130" s="139" t="s">
        <v>25</v>
      </c>
      <c r="AC130" s="172">
        <v>19.11</v>
      </c>
      <c r="AD130" s="173">
        <v>19.03</v>
      </c>
      <c r="AE130" s="173">
        <v>19.02</v>
      </c>
      <c r="AF130" s="168">
        <f t="shared" si="151"/>
        <v>19.053333333333331</v>
      </c>
      <c r="AG130" s="189">
        <v>6.49</v>
      </c>
      <c r="AH130" s="173">
        <v>6.42</v>
      </c>
      <c r="AI130" s="173">
        <v>6.52</v>
      </c>
      <c r="AJ130" s="168">
        <f t="shared" si="152"/>
        <v>6.4766666666666666</v>
      </c>
      <c r="AK130" s="237">
        <f t="shared" si="153"/>
        <v>1846.6447600939769</v>
      </c>
      <c r="AL130" s="496"/>
      <c r="AM130" s="139" t="s">
        <v>25</v>
      </c>
      <c r="AN130" s="173">
        <v>18.260000000000002</v>
      </c>
      <c r="AO130" s="173">
        <v>18.170000000000002</v>
      </c>
      <c r="AP130" s="173">
        <v>18.04</v>
      </c>
      <c r="AQ130" s="168">
        <f t="shared" si="154"/>
        <v>18.15666666666667</v>
      </c>
      <c r="AR130" s="189">
        <v>6.22</v>
      </c>
      <c r="AS130" s="173">
        <v>6.24</v>
      </c>
      <c r="AT130" s="173">
        <v>6.14</v>
      </c>
      <c r="AU130" s="168">
        <f t="shared" si="155"/>
        <v>6.2</v>
      </c>
      <c r="AV130" s="237">
        <f t="shared" si="156"/>
        <v>1605.2911520123239</v>
      </c>
      <c r="AW130" s="27">
        <f t="shared" si="160"/>
        <v>4.706088173547907</v>
      </c>
      <c r="AX130" s="27">
        <f t="shared" si="161"/>
        <v>4.2717447246525948</v>
      </c>
      <c r="AY130" s="27">
        <f t="shared" si="162"/>
        <v>13.069845012820458</v>
      </c>
      <c r="AZ130" s="67"/>
      <c r="BA130" s="75"/>
      <c r="BB130" s="75"/>
      <c r="BC130" s="75"/>
      <c r="BD130" s="75"/>
      <c r="BE130" s="125"/>
      <c r="BF130" s="75"/>
      <c r="BG130" s="75"/>
      <c r="BH130" s="75"/>
      <c r="BI130" s="142"/>
      <c r="BJ130" s="67"/>
      <c r="BK130" s="75"/>
      <c r="BL130" s="75"/>
      <c r="BM130" s="75"/>
      <c r="BN130" s="75"/>
      <c r="BO130" s="75"/>
      <c r="BP130" s="75"/>
      <c r="BQ130" s="75"/>
    </row>
    <row r="131" spans="1:69" x14ac:dyDescent="0.25">
      <c r="A131" s="516"/>
      <c r="B131" s="183" t="s">
        <v>26</v>
      </c>
      <c r="C131" s="187">
        <v>19.14</v>
      </c>
      <c r="D131" s="187">
        <v>19.190000000000001</v>
      </c>
      <c r="E131" s="187">
        <v>19.25</v>
      </c>
      <c r="F131" s="168">
        <f t="shared" si="145"/>
        <v>19.193333333333332</v>
      </c>
      <c r="G131" s="173">
        <v>6.3</v>
      </c>
      <c r="H131" s="173">
        <v>6.28</v>
      </c>
      <c r="I131" s="173">
        <v>6.37</v>
      </c>
      <c r="J131" s="168">
        <f t="shared" si="146"/>
        <v>6.3166666666666664</v>
      </c>
      <c r="K131" s="237">
        <f t="shared" si="147"/>
        <v>1827.5894930345471</v>
      </c>
      <c r="L131" s="519"/>
      <c r="M131" s="139" t="s">
        <v>26</v>
      </c>
      <c r="N131" s="173">
        <v>18.670000000000002</v>
      </c>
      <c r="O131" s="173">
        <v>18.7</v>
      </c>
      <c r="P131" s="173">
        <v>18.71</v>
      </c>
      <c r="Q131" s="168">
        <f t="shared" si="148"/>
        <v>18.693333333333335</v>
      </c>
      <c r="R131" s="189">
        <v>6.19</v>
      </c>
      <c r="S131" s="173">
        <v>6.25</v>
      </c>
      <c r="T131" s="173">
        <v>6.17</v>
      </c>
      <c r="U131" s="168">
        <f t="shared" si="149"/>
        <v>6.2033333333333331</v>
      </c>
      <c r="V131" s="240">
        <f t="shared" si="150"/>
        <v>1702.5054085247928</v>
      </c>
      <c r="W131" s="27">
        <f t="shared" si="157"/>
        <v>2.6050712052795926</v>
      </c>
      <c r="X131" s="27">
        <f t="shared" si="158"/>
        <v>1.7941952506596299</v>
      </c>
      <c r="Y131" s="27">
        <f t="shared" si="159"/>
        <v>6.8442111856346664</v>
      </c>
      <c r="AA131" s="496"/>
      <c r="AB131" s="139" t="s">
        <v>26</v>
      </c>
      <c r="AC131" s="172">
        <v>19.22</v>
      </c>
      <c r="AD131" s="173">
        <v>19.09</v>
      </c>
      <c r="AE131" s="173">
        <v>19.02</v>
      </c>
      <c r="AF131" s="168">
        <f t="shared" si="151"/>
        <v>19.11</v>
      </c>
      <c r="AG131" s="189">
        <v>6.55</v>
      </c>
      <c r="AH131" s="173">
        <v>6.53</v>
      </c>
      <c r="AI131" s="173">
        <v>6.53</v>
      </c>
      <c r="AJ131" s="168">
        <f t="shared" si="152"/>
        <v>6.5366666666666662</v>
      </c>
      <c r="AK131" s="237">
        <f t="shared" si="153"/>
        <v>1874.8546075801714</v>
      </c>
      <c r="AL131" s="496"/>
      <c r="AM131" s="139" t="s">
        <v>26</v>
      </c>
      <c r="AN131" s="173">
        <v>18.18</v>
      </c>
      <c r="AO131" s="173">
        <v>18.440000000000001</v>
      </c>
      <c r="AP131" s="173">
        <v>18.14</v>
      </c>
      <c r="AQ131" s="168">
        <f t="shared" si="154"/>
        <v>18.253333333333334</v>
      </c>
      <c r="AR131" s="189">
        <v>6.21</v>
      </c>
      <c r="AS131" s="173">
        <v>6.25</v>
      </c>
      <c r="AT131" s="173">
        <v>6.24</v>
      </c>
      <c r="AU131" s="168">
        <f t="shared" si="155"/>
        <v>6.2333333333333343</v>
      </c>
      <c r="AV131" s="237">
        <f t="shared" si="156"/>
        <v>1631.1526374351433</v>
      </c>
      <c r="AW131" s="27">
        <f t="shared" si="160"/>
        <v>4.4828187685330487</v>
      </c>
      <c r="AX131" s="27">
        <f t="shared" si="161"/>
        <v>4.6404895461499018</v>
      </c>
      <c r="AY131" s="27">
        <f t="shared" si="162"/>
        <v>12.998446341370876</v>
      </c>
      <c r="AZ131" s="67"/>
      <c r="BA131" s="75"/>
      <c r="BB131" s="75"/>
      <c r="BC131" s="75"/>
      <c r="BD131" s="75"/>
      <c r="BE131" s="125"/>
      <c r="BF131" s="75"/>
      <c r="BG131" s="75"/>
      <c r="BH131" s="75"/>
      <c r="BI131" s="142"/>
      <c r="BJ131" s="67"/>
      <c r="BK131" s="75"/>
      <c r="BL131" s="75"/>
      <c r="BM131" s="75"/>
      <c r="BN131" s="75"/>
      <c r="BO131" s="75"/>
      <c r="BP131" s="75"/>
      <c r="BQ131" s="75"/>
    </row>
    <row r="132" spans="1:69" ht="15.75" thickBot="1" x14ac:dyDescent="0.3">
      <c r="A132" s="517"/>
      <c r="B132" s="184" t="s">
        <v>27</v>
      </c>
      <c r="C132" s="188">
        <v>19.09</v>
      </c>
      <c r="D132" s="188">
        <v>19.13</v>
      </c>
      <c r="E132" s="188">
        <v>19.260000000000002</v>
      </c>
      <c r="F132" s="169">
        <f t="shared" si="145"/>
        <v>19.16</v>
      </c>
      <c r="G132" s="179">
        <v>6.44</v>
      </c>
      <c r="H132" s="179">
        <v>6.47</v>
      </c>
      <c r="I132" s="179">
        <v>6.51</v>
      </c>
      <c r="J132" s="180">
        <f t="shared" si="146"/>
        <v>6.4733333333333336</v>
      </c>
      <c r="K132" s="238">
        <f t="shared" si="147"/>
        <v>1866.4177743769576</v>
      </c>
      <c r="L132" s="520"/>
      <c r="M132" s="140" t="s">
        <v>27</v>
      </c>
      <c r="N132" s="179">
        <v>18.66</v>
      </c>
      <c r="O132" s="179">
        <v>18.64</v>
      </c>
      <c r="P132" s="179">
        <v>18.73</v>
      </c>
      <c r="Q132" s="180">
        <f t="shared" si="148"/>
        <v>18.676666666666666</v>
      </c>
      <c r="R132" s="190">
        <v>6.36</v>
      </c>
      <c r="S132" s="179">
        <v>6.2</v>
      </c>
      <c r="T132" s="179">
        <v>6.27</v>
      </c>
      <c r="U132" s="180">
        <f t="shared" si="149"/>
        <v>6.2766666666666664</v>
      </c>
      <c r="V132" s="241">
        <f t="shared" si="150"/>
        <v>1719.5613780913386</v>
      </c>
      <c r="W132" s="27">
        <f t="shared" si="157"/>
        <v>2.5226165622825381</v>
      </c>
      <c r="X132" s="27">
        <f t="shared" si="158"/>
        <v>3.0381050463439836</v>
      </c>
      <c r="Y132" s="61">
        <f>((K132-V132)/K132)*100</f>
        <v>7.8683560723505312</v>
      </c>
      <c r="AA132" s="497"/>
      <c r="AB132" s="140" t="s">
        <v>27</v>
      </c>
      <c r="AC132" s="178">
        <v>18.989999999999998</v>
      </c>
      <c r="AD132" s="179">
        <v>19</v>
      </c>
      <c r="AE132" s="179">
        <v>19.059999999999999</v>
      </c>
      <c r="AF132" s="180">
        <f t="shared" si="151"/>
        <v>19.016666666666666</v>
      </c>
      <c r="AG132" s="190">
        <v>6.49</v>
      </c>
      <c r="AH132" s="179">
        <v>6.38</v>
      </c>
      <c r="AI132" s="179">
        <v>6.49</v>
      </c>
      <c r="AJ132" s="180">
        <f t="shared" si="152"/>
        <v>6.4533333333333331</v>
      </c>
      <c r="AK132" s="238">
        <f t="shared" si="153"/>
        <v>1832.9168668119412</v>
      </c>
      <c r="AL132" s="497"/>
      <c r="AM132" s="140" t="s">
        <v>27</v>
      </c>
      <c r="AN132" s="179">
        <v>18.23</v>
      </c>
      <c r="AO132" s="179">
        <v>18.25</v>
      </c>
      <c r="AP132" s="179">
        <v>18.27</v>
      </c>
      <c r="AQ132" s="180">
        <f t="shared" si="154"/>
        <v>18.25</v>
      </c>
      <c r="AR132" s="190">
        <v>6.21</v>
      </c>
      <c r="AS132" s="179">
        <v>6.22</v>
      </c>
      <c r="AT132" s="179">
        <v>6.25</v>
      </c>
      <c r="AU132" s="180">
        <f t="shared" si="155"/>
        <v>6.2266666666666666</v>
      </c>
      <c r="AV132" s="238">
        <f t="shared" si="156"/>
        <v>1628.8130346265966</v>
      </c>
      <c r="AW132" s="27">
        <f t="shared" si="160"/>
        <v>4.0315512708150694</v>
      </c>
      <c r="AX132" s="27">
        <f t="shared" si="161"/>
        <v>3.5123966942148748</v>
      </c>
      <c r="AY132" s="61">
        <f>((AK132-AV132)/AK132)*100</f>
        <v>11.135465873056742</v>
      </c>
      <c r="AZ132" s="67"/>
      <c r="BA132" s="75"/>
      <c r="BB132" s="75"/>
      <c r="BC132" s="75"/>
      <c r="BD132" s="75"/>
      <c r="BE132" s="125"/>
      <c r="BF132" s="75"/>
      <c r="BG132" s="75"/>
      <c r="BH132" s="75"/>
      <c r="BI132" s="142"/>
      <c r="BJ132" s="67"/>
      <c r="BK132" s="75"/>
      <c r="BL132" s="75"/>
      <c r="BM132" s="75"/>
      <c r="BN132" s="75"/>
      <c r="BO132" s="75"/>
      <c r="BP132" s="75"/>
      <c r="BQ132" s="75"/>
    </row>
    <row r="133" spans="1:69" ht="15" customHeight="1" x14ac:dyDescent="0.25">
      <c r="A133" s="509" t="s">
        <v>209</v>
      </c>
      <c r="B133" s="144" t="s">
        <v>21</v>
      </c>
      <c r="C133" s="170">
        <v>19.079999999999998</v>
      </c>
      <c r="D133" s="170">
        <v>18.97</v>
      </c>
      <c r="E133" s="170">
        <v>18.940000000000001</v>
      </c>
      <c r="F133" s="167">
        <f t="shared" si="145"/>
        <v>18.996666666666666</v>
      </c>
      <c r="G133" s="173">
        <v>6.25</v>
      </c>
      <c r="H133" s="173">
        <v>6.27</v>
      </c>
      <c r="I133" s="173">
        <v>6.34</v>
      </c>
      <c r="J133" s="175">
        <f t="shared" si="146"/>
        <v>6.2866666666666662</v>
      </c>
      <c r="K133" s="236">
        <f>PI()*((F133/2)^2)*J133</f>
        <v>1781.825293432353</v>
      </c>
      <c r="L133" s="521" t="s">
        <v>209</v>
      </c>
      <c r="M133" s="137" t="s">
        <v>21</v>
      </c>
      <c r="N133" s="173">
        <v>17.88</v>
      </c>
      <c r="O133" s="173">
        <v>17.850000000000001</v>
      </c>
      <c r="P133" s="173">
        <v>17.920000000000002</v>
      </c>
      <c r="Q133" s="175">
        <f t="shared" si="148"/>
        <v>17.883333333333336</v>
      </c>
      <c r="R133" s="189">
        <v>6.02</v>
      </c>
      <c r="S133" s="173">
        <v>5.97</v>
      </c>
      <c r="T133" s="173">
        <v>5.98</v>
      </c>
      <c r="U133" s="175">
        <f t="shared" si="149"/>
        <v>5.9899999999999993</v>
      </c>
      <c r="V133" s="239">
        <f>PI()*((Q133/2)^2)*U133</f>
        <v>1504.5743265490732</v>
      </c>
      <c r="W133" s="23">
        <f>((F133-Q133)/F133)*100</f>
        <v>5.86067731180907</v>
      </c>
      <c r="X133" s="23">
        <f>((J133-U133)/J133)*100</f>
        <v>4.7189819724284234</v>
      </c>
      <c r="Y133" s="23">
        <f>((K133-V133)/K133)*100</f>
        <v>15.559941140425032</v>
      </c>
      <c r="AA133" s="498" t="s">
        <v>210</v>
      </c>
      <c r="AB133" s="137" t="s">
        <v>21</v>
      </c>
      <c r="AC133" s="172">
        <v>19</v>
      </c>
      <c r="AD133" s="173">
        <v>18.84</v>
      </c>
      <c r="AE133" s="173">
        <v>18.98</v>
      </c>
      <c r="AF133" s="175">
        <f t="shared" si="151"/>
        <v>18.940000000000001</v>
      </c>
      <c r="AG133" s="189">
        <v>6.6</v>
      </c>
      <c r="AH133" s="173">
        <v>6.58</v>
      </c>
      <c r="AI133" s="173">
        <v>6.62</v>
      </c>
      <c r="AJ133" s="175">
        <f t="shared" si="152"/>
        <v>6.6000000000000005</v>
      </c>
      <c r="AK133" s="236">
        <f>PI()*((AF133/2)^2)*AJ133</f>
        <v>1859.4896536083181</v>
      </c>
      <c r="AL133" s="498" t="s">
        <v>210</v>
      </c>
      <c r="AM133" s="137" t="s">
        <v>21</v>
      </c>
      <c r="AN133" s="173">
        <v>17.7</v>
      </c>
      <c r="AO133" s="173">
        <v>17.66</v>
      </c>
      <c r="AP133" s="173">
        <v>17.809999999999999</v>
      </c>
      <c r="AQ133" s="175">
        <f>AVERAGE(AN133:AP133)</f>
        <v>17.723333333333333</v>
      </c>
      <c r="AR133" s="189">
        <v>6.35</v>
      </c>
      <c r="AS133" s="173">
        <v>6.4</v>
      </c>
      <c r="AT133" s="173">
        <v>6.39</v>
      </c>
      <c r="AU133" s="175">
        <f>AVERAGE(AR133:AT133)</f>
        <v>6.38</v>
      </c>
      <c r="AV133" s="236">
        <f>PI()*((AQ133/2)^2)*AU133</f>
        <v>1573.9878342942968</v>
      </c>
      <c r="AW133" s="23">
        <f>((AF133-AQ133)/AF133)*100</f>
        <v>6.4237944385779748</v>
      </c>
      <c r="AX133" s="23">
        <f>((AJ133-AU133)/AJ133)*100</f>
        <v>3.3333333333333428</v>
      </c>
      <c r="AY133" s="23">
        <f>((AK133-AV133)/AK133)*100</f>
        <v>15.353772943022745</v>
      </c>
      <c r="AZ133" s="64"/>
      <c r="BA133" s="75"/>
      <c r="BB133" s="75"/>
      <c r="BC133" s="75"/>
      <c r="BD133" s="75"/>
      <c r="BE133" s="125"/>
      <c r="BF133" s="75"/>
      <c r="BG133" s="75"/>
      <c r="BH133" s="75"/>
      <c r="BI133" s="70"/>
      <c r="BJ133" s="64"/>
      <c r="BK133" s="75"/>
      <c r="BL133" s="75"/>
      <c r="BM133" s="75"/>
      <c r="BN133" s="75"/>
      <c r="BO133" s="75"/>
      <c r="BP133" s="75"/>
      <c r="BQ133" s="75"/>
    </row>
    <row r="134" spans="1:69" x14ac:dyDescent="0.25">
      <c r="A134" s="510"/>
      <c r="B134" s="166" t="s">
        <v>22</v>
      </c>
      <c r="C134" s="187">
        <v>19.079999999999998</v>
      </c>
      <c r="D134" s="187">
        <v>18.829999999999998</v>
      </c>
      <c r="E134" s="187">
        <v>19.149999999999999</v>
      </c>
      <c r="F134" s="168">
        <f t="shared" si="145"/>
        <v>19.02</v>
      </c>
      <c r="G134" s="173">
        <v>6.61</v>
      </c>
      <c r="H134" s="173">
        <v>6.54</v>
      </c>
      <c r="I134" s="173">
        <v>6.61</v>
      </c>
      <c r="J134" s="168">
        <f t="shared" si="146"/>
        <v>6.5866666666666669</v>
      </c>
      <c r="K134" s="237">
        <f t="shared" si="147"/>
        <v>1871.4429486995141</v>
      </c>
      <c r="L134" s="521"/>
      <c r="M134" s="137" t="s">
        <v>22</v>
      </c>
      <c r="N134" s="173">
        <v>17.61</v>
      </c>
      <c r="O134" s="173">
        <v>18.04</v>
      </c>
      <c r="P134" s="173">
        <v>17.649999999999999</v>
      </c>
      <c r="Q134" s="168">
        <f t="shared" si="148"/>
        <v>17.766666666666666</v>
      </c>
      <c r="R134" s="189">
        <v>6.37</v>
      </c>
      <c r="S134" s="173">
        <v>6.15</v>
      </c>
      <c r="T134" s="173">
        <v>6.21</v>
      </c>
      <c r="U134" s="168">
        <f t="shared" si="149"/>
        <v>6.2433333333333332</v>
      </c>
      <c r="V134" s="240">
        <f t="shared" ref="V134:V139" si="163">PI()*((Q134/2)^2)*U134</f>
        <v>1547.8123680369456</v>
      </c>
      <c r="W134" s="27">
        <f>((F134-Q134)/F134)*100</f>
        <v>6.5895548545390845</v>
      </c>
      <c r="X134" s="27">
        <f>((J134-U134)/J134)*100</f>
        <v>5.2125506072874552</v>
      </c>
      <c r="Y134" s="27">
        <f>((K134-V134)/K134)*100</f>
        <v>17.29310428017391</v>
      </c>
      <c r="AA134" s="498"/>
      <c r="AB134" s="137" t="s">
        <v>22</v>
      </c>
      <c r="AC134" s="172">
        <v>18.850000000000001</v>
      </c>
      <c r="AD134" s="173">
        <v>18.809999999999999</v>
      </c>
      <c r="AE134" s="173">
        <v>18.989999999999998</v>
      </c>
      <c r="AF134" s="168">
        <f t="shared" si="151"/>
        <v>18.883333333333329</v>
      </c>
      <c r="AG134" s="189">
        <v>6.63</v>
      </c>
      <c r="AH134" s="173">
        <v>6.71</v>
      </c>
      <c r="AI134" s="173">
        <v>6.64</v>
      </c>
      <c r="AJ134" s="168">
        <f t="shared" si="152"/>
        <v>6.66</v>
      </c>
      <c r="AK134" s="237">
        <f t="shared" si="153"/>
        <v>1865.1829185009872</v>
      </c>
      <c r="AL134" s="498"/>
      <c r="AM134" s="137" t="s">
        <v>22</v>
      </c>
      <c r="AN134" s="173">
        <v>17.77</v>
      </c>
      <c r="AO134" s="173">
        <v>17.72</v>
      </c>
      <c r="AP134" s="173">
        <v>17.88</v>
      </c>
      <c r="AQ134" s="168">
        <f t="shared" ref="AQ134:AQ139" si="164">AVERAGE(AN134:AP134)</f>
        <v>17.789999999999996</v>
      </c>
      <c r="AR134" s="189">
        <v>6.38</v>
      </c>
      <c r="AS134" s="173">
        <v>6.37</v>
      </c>
      <c r="AT134" s="173">
        <v>6.38</v>
      </c>
      <c r="AU134" s="168">
        <f t="shared" ref="AU134:AU138" si="165">AVERAGE(AR134:AT134)</f>
        <v>6.376666666666666</v>
      </c>
      <c r="AV134" s="237">
        <f t="shared" si="156"/>
        <v>1585.0227236067915</v>
      </c>
      <c r="AW134" s="27">
        <f>((AF134-AQ134)/AF134)*100</f>
        <v>5.7899382171226863</v>
      </c>
      <c r="AX134" s="27">
        <f>((AJ134-AU134)/AJ134)*100</f>
        <v>4.2542542542542661</v>
      </c>
      <c r="AY134" s="27">
        <f>((AK134-AV134)/AK134)*100</f>
        <v>15.020521157214716</v>
      </c>
      <c r="AZ134" s="64"/>
      <c r="BA134" s="75"/>
      <c r="BB134" s="75"/>
      <c r="BC134" s="75"/>
      <c r="BD134" s="75"/>
      <c r="BE134" s="125"/>
      <c r="BF134" s="75"/>
      <c r="BG134" s="75"/>
      <c r="BH134" s="75"/>
      <c r="BI134" s="70"/>
      <c r="BJ134" s="64"/>
      <c r="BK134" s="75"/>
      <c r="BL134" s="75"/>
      <c r="BM134" s="75"/>
      <c r="BN134" s="75"/>
      <c r="BO134" s="75"/>
      <c r="BP134" s="75"/>
      <c r="BQ134" s="75"/>
    </row>
    <row r="135" spans="1:69" x14ac:dyDescent="0.25">
      <c r="A135" s="510"/>
      <c r="B135" s="166" t="s">
        <v>23</v>
      </c>
      <c r="C135" s="187">
        <v>19.05</v>
      </c>
      <c r="D135" s="187">
        <v>19.059999999999999</v>
      </c>
      <c r="E135" s="187">
        <v>18.96</v>
      </c>
      <c r="F135" s="168">
        <f t="shared" si="145"/>
        <v>19.023333333333333</v>
      </c>
      <c r="G135" s="173">
        <v>6.29</v>
      </c>
      <c r="H135" s="173">
        <v>6.32</v>
      </c>
      <c r="I135" s="173">
        <v>6.3</v>
      </c>
      <c r="J135" s="168">
        <f t="shared" si="146"/>
        <v>6.3033333333333337</v>
      </c>
      <c r="K135" s="237">
        <f t="shared" si="147"/>
        <v>1791.5683895744678</v>
      </c>
      <c r="L135" s="521"/>
      <c r="M135" s="137" t="s">
        <v>23</v>
      </c>
      <c r="N135" s="173">
        <v>17.760000000000002</v>
      </c>
      <c r="O135" s="173">
        <v>17.809999999999999</v>
      </c>
      <c r="P135" s="173">
        <v>17.7</v>
      </c>
      <c r="Q135" s="168">
        <f t="shared" si="148"/>
        <v>17.756666666666664</v>
      </c>
      <c r="R135" s="189">
        <v>5.96</v>
      </c>
      <c r="S135" s="173">
        <v>6.01</v>
      </c>
      <c r="T135" s="173">
        <v>6.03</v>
      </c>
      <c r="U135" s="168">
        <f t="shared" si="149"/>
        <v>6</v>
      </c>
      <c r="V135" s="240">
        <f t="shared" si="163"/>
        <v>1485.8125279639855</v>
      </c>
      <c r="W135" s="27">
        <f t="shared" ref="W135:W139" si="166">((F135-Q135)/F135)*100</f>
        <v>6.6584895742071275</v>
      </c>
      <c r="X135" s="27">
        <f t="shared" ref="X135:X139" si="167">((J135-U135)/J135)*100</f>
        <v>4.8122686409307294</v>
      </c>
      <c r="Y135" s="27">
        <f t="shared" ref="Y135:Y138" si="168">((K135-V135)/K135)*100</f>
        <v>17.066379569417677</v>
      </c>
      <c r="AA135" s="498"/>
      <c r="AB135" s="137" t="s">
        <v>23</v>
      </c>
      <c r="AC135" s="172">
        <v>19</v>
      </c>
      <c r="AD135" s="173">
        <v>18.88</v>
      </c>
      <c r="AE135" s="173">
        <v>18.989999999999998</v>
      </c>
      <c r="AF135" s="168">
        <f t="shared" si="151"/>
        <v>18.956666666666663</v>
      </c>
      <c r="AG135" s="189">
        <v>6.38</v>
      </c>
      <c r="AH135" s="173">
        <v>6.34</v>
      </c>
      <c r="AI135" s="173">
        <v>6.36</v>
      </c>
      <c r="AJ135" s="168">
        <f t="shared" si="152"/>
        <v>6.3599999999999994</v>
      </c>
      <c r="AK135" s="237">
        <f t="shared" si="153"/>
        <v>1795.026829096842</v>
      </c>
      <c r="AL135" s="498"/>
      <c r="AM135" s="137" t="s">
        <v>23</v>
      </c>
      <c r="AN135" s="173">
        <v>17.78</v>
      </c>
      <c r="AO135" s="173">
        <v>17.77</v>
      </c>
      <c r="AP135" s="173">
        <v>17.82</v>
      </c>
      <c r="AQ135" s="168">
        <f t="shared" si="164"/>
        <v>17.79</v>
      </c>
      <c r="AR135" s="189">
        <v>6.1</v>
      </c>
      <c r="AS135" s="173">
        <v>6.07</v>
      </c>
      <c r="AT135" s="173">
        <v>6.12</v>
      </c>
      <c r="AU135" s="168">
        <f t="shared" si="165"/>
        <v>6.0966666666666667</v>
      </c>
      <c r="AV135" s="237">
        <f t="shared" si="156"/>
        <v>1515.4242349591336</v>
      </c>
      <c r="AW135" s="27">
        <f t="shared" ref="AW135:AW139" si="169">((AF135-AQ135)/AF135)*100</f>
        <v>6.1543871988746144</v>
      </c>
      <c r="AX135" s="27">
        <f t="shared" ref="AX135:AX139" si="170">((AJ135-AU135)/AJ135)*100</f>
        <v>4.1404612159329046</v>
      </c>
      <c r="AY135" s="27">
        <f t="shared" ref="AY135:AY138" si="171">((AK135-AV135)/AK135)*100</f>
        <v>15.576513376036216</v>
      </c>
      <c r="AZ135" s="64"/>
      <c r="BA135" s="75"/>
      <c r="BB135" s="75"/>
      <c r="BC135" s="75"/>
      <c r="BD135" s="75"/>
      <c r="BE135" s="125"/>
      <c r="BF135" s="75"/>
      <c r="BG135" s="75"/>
      <c r="BH135" s="75"/>
      <c r="BI135" s="70"/>
      <c r="BJ135" s="64"/>
      <c r="BK135" s="75"/>
      <c r="BL135" s="75"/>
      <c r="BM135" s="75"/>
      <c r="BN135" s="75"/>
      <c r="BO135" s="75"/>
      <c r="BP135" s="75"/>
      <c r="BQ135" s="75"/>
    </row>
    <row r="136" spans="1:69" x14ac:dyDescent="0.25">
      <c r="A136" s="510"/>
      <c r="B136" s="166" t="s">
        <v>24</v>
      </c>
      <c r="C136" s="187">
        <v>19.04</v>
      </c>
      <c r="D136" s="187">
        <v>19.010000000000002</v>
      </c>
      <c r="E136" s="187">
        <v>18.84</v>
      </c>
      <c r="F136" s="168">
        <f t="shared" si="145"/>
        <v>18.963333333333335</v>
      </c>
      <c r="G136" s="173">
        <v>6.64</v>
      </c>
      <c r="H136" s="173">
        <v>6.62</v>
      </c>
      <c r="I136" s="173">
        <v>6.64</v>
      </c>
      <c r="J136" s="168">
        <f t="shared" si="146"/>
        <v>6.6333333333333329</v>
      </c>
      <c r="K136" s="237">
        <f t="shared" si="147"/>
        <v>1873.4886274155167</v>
      </c>
      <c r="L136" s="521"/>
      <c r="M136" s="137" t="s">
        <v>24</v>
      </c>
      <c r="N136" s="173">
        <v>17.79</v>
      </c>
      <c r="O136" s="173">
        <v>17.75</v>
      </c>
      <c r="P136" s="173">
        <v>17.72</v>
      </c>
      <c r="Q136" s="168">
        <f t="shared" si="148"/>
        <v>17.753333333333334</v>
      </c>
      <c r="R136" s="189">
        <v>6.22</v>
      </c>
      <c r="S136" s="173">
        <v>6.26</v>
      </c>
      <c r="T136" s="173">
        <v>6.31</v>
      </c>
      <c r="U136" s="168">
        <f t="shared" si="149"/>
        <v>6.2633333333333328</v>
      </c>
      <c r="V136" s="240">
        <f t="shared" si="163"/>
        <v>1550.4409183643847</v>
      </c>
      <c r="W136" s="27">
        <f t="shared" si="166"/>
        <v>6.3807347512743933</v>
      </c>
      <c r="X136" s="27">
        <f t="shared" si="167"/>
        <v>5.5778894472361822</v>
      </c>
      <c r="Y136" s="27">
        <f t="shared" si="168"/>
        <v>17.243110223560699</v>
      </c>
      <c r="AA136" s="498"/>
      <c r="AB136" s="137" t="s">
        <v>24</v>
      </c>
      <c r="AC136" s="172">
        <v>18.989999999999998</v>
      </c>
      <c r="AD136" s="173">
        <v>18.96</v>
      </c>
      <c r="AE136" s="173">
        <v>19</v>
      </c>
      <c r="AF136" s="168">
        <f t="shared" si="151"/>
        <v>18.983333333333334</v>
      </c>
      <c r="AG136" s="189">
        <v>6.45</v>
      </c>
      <c r="AH136" s="173">
        <v>6.38</v>
      </c>
      <c r="AI136" s="173">
        <v>6.31</v>
      </c>
      <c r="AJ136" s="168">
        <f t="shared" si="152"/>
        <v>6.38</v>
      </c>
      <c r="AK136" s="237">
        <f t="shared" si="153"/>
        <v>1805.7412016949124</v>
      </c>
      <c r="AL136" s="498"/>
      <c r="AM136" s="137" t="s">
        <v>24</v>
      </c>
      <c r="AN136" s="173">
        <v>17.760000000000002</v>
      </c>
      <c r="AO136" s="173">
        <v>17.760000000000002</v>
      </c>
      <c r="AP136" s="173">
        <v>17.68</v>
      </c>
      <c r="AQ136" s="168">
        <f t="shared" si="164"/>
        <v>17.733333333333334</v>
      </c>
      <c r="AR136" s="189">
        <v>6.17</v>
      </c>
      <c r="AS136" s="173">
        <v>6.16</v>
      </c>
      <c r="AT136" s="173">
        <v>6.15</v>
      </c>
      <c r="AU136" s="168">
        <f t="shared" si="165"/>
        <v>6.16</v>
      </c>
      <c r="AV136" s="237">
        <f t="shared" si="156"/>
        <v>1521.4278039466451</v>
      </c>
      <c r="AW136" s="27">
        <f t="shared" si="169"/>
        <v>6.5847234416154521</v>
      </c>
      <c r="AX136" s="27">
        <f t="shared" si="170"/>
        <v>3.4482758620689622</v>
      </c>
      <c r="AY136" s="27">
        <f t="shared" si="171"/>
        <v>15.744969294680983</v>
      </c>
      <c r="AZ136" s="64"/>
      <c r="BA136" s="75"/>
      <c r="BB136" s="75"/>
      <c r="BC136" s="75"/>
      <c r="BD136" s="75"/>
      <c r="BE136" s="125"/>
      <c r="BF136" s="75"/>
      <c r="BG136" s="75"/>
      <c r="BH136" s="75"/>
      <c r="BI136" s="70"/>
      <c r="BJ136" s="64"/>
      <c r="BK136" s="75"/>
      <c r="BL136" s="75"/>
      <c r="BM136" s="75"/>
      <c r="BN136" s="75"/>
      <c r="BO136" s="75"/>
      <c r="BP136" s="75"/>
      <c r="BQ136" s="75"/>
    </row>
    <row r="137" spans="1:69" x14ac:dyDescent="0.25">
      <c r="A137" s="510"/>
      <c r="B137" s="166" t="s">
        <v>25</v>
      </c>
      <c r="C137" s="187">
        <v>18.97</v>
      </c>
      <c r="D137" s="187">
        <v>19.05</v>
      </c>
      <c r="E137" s="187">
        <v>19.04</v>
      </c>
      <c r="F137" s="168">
        <f t="shared" si="145"/>
        <v>19.02</v>
      </c>
      <c r="G137" s="173">
        <v>6.61</v>
      </c>
      <c r="H137" s="173">
        <v>6.36</v>
      </c>
      <c r="I137" s="173">
        <v>6.52</v>
      </c>
      <c r="J137" s="168">
        <f t="shared" si="146"/>
        <v>6.496666666666667</v>
      </c>
      <c r="K137" s="237">
        <f t="shared" si="147"/>
        <v>1845.8716128620208</v>
      </c>
      <c r="L137" s="521"/>
      <c r="M137" s="137" t="s">
        <v>25</v>
      </c>
      <c r="N137" s="173">
        <v>17.72</v>
      </c>
      <c r="O137" s="173">
        <v>17.8</v>
      </c>
      <c r="P137" s="173">
        <v>17.829999999999998</v>
      </c>
      <c r="Q137" s="168">
        <f t="shared" si="148"/>
        <v>17.783333333333331</v>
      </c>
      <c r="R137" s="189">
        <v>6.15</v>
      </c>
      <c r="S137" s="173">
        <v>6.18</v>
      </c>
      <c r="T137" s="173">
        <v>6.14</v>
      </c>
      <c r="U137" s="168">
        <f t="shared" si="149"/>
        <v>6.1566666666666663</v>
      </c>
      <c r="V137" s="240">
        <f t="shared" si="163"/>
        <v>1529.1914466113149</v>
      </c>
      <c r="W137" s="27">
        <f t="shared" si="166"/>
        <v>6.5019277953031978</v>
      </c>
      <c r="X137" s="27">
        <f t="shared" si="167"/>
        <v>5.2334530528476257</v>
      </c>
      <c r="Y137" s="27">
        <f t="shared" si="168"/>
        <v>17.156131772333499</v>
      </c>
      <c r="AA137" s="498"/>
      <c r="AB137" s="137" t="s">
        <v>25</v>
      </c>
      <c r="AC137" s="172">
        <v>18.850000000000001</v>
      </c>
      <c r="AD137" s="173">
        <v>18.97</v>
      </c>
      <c r="AE137" s="173">
        <v>18.96</v>
      </c>
      <c r="AF137" s="168">
        <f t="shared" si="151"/>
        <v>18.926666666666666</v>
      </c>
      <c r="AG137" s="189">
        <v>6.48</v>
      </c>
      <c r="AH137" s="173">
        <v>6.41</v>
      </c>
      <c r="AI137" s="173">
        <v>6.42</v>
      </c>
      <c r="AJ137" s="168">
        <f t="shared" si="152"/>
        <v>6.4366666666666674</v>
      </c>
      <c r="AK137" s="237">
        <f t="shared" si="153"/>
        <v>1810.9195922474935</v>
      </c>
      <c r="AL137" s="498"/>
      <c r="AM137" s="137" t="s">
        <v>25</v>
      </c>
      <c r="AN137" s="173">
        <v>17.649999999999999</v>
      </c>
      <c r="AO137" s="173">
        <v>17.7</v>
      </c>
      <c r="AP137" s="173">
        <v>17.809999999999999</v>
      </c>
      <c r="AQ137" s="168">
        <f t="shared" si="164"/>
        <v>17.72</v>
      </c>
      <c r="AR137" s="189">
        <v>6.25</v>
      </c>
      <c r="AS137" s="173">
        <v>6.3</v>
      </c>
      <c r="AT137" s="173">
        <v>6.2</v>
      </c>
      <c r="AU137" s="168">
        <f t="shared" si="165"/>
        <v>6.25</v>
      </c>
      <c r="AV137" s="237">
        <f t="shared" si="156"/>
        <v>1541.3360416858582</v>
      </c>
      <c r="AW137" s="27">
        <f t="shared" si="169"/>
        <v>6.3754843254667151</v>
      </c>
      <c r="AX137" s="27">
        <f t="shared" si="170"/>
        <v>2.9000517866390583</v>
      </c>
      <c r="AY137" s="27">
        <f t="shared" si="171"/>
        <v>14.886555522162137</v>
      </c>
      <c r="AZ137" s="64"/>
      <c r="BA137" s="75"/>
      <c r="BB137" s="75"/>
      <c r="BC137" s="75"/>
      <c r="BD137" s="75"/>
      <c r="BE137" s="125"/>
      <c r="BF137" s="75"/>
      <c r="BG137" s="75"/>
      <c r="BH137" s="75"/>
      <c r="BI137" s="70"/>
      <c r="BJ137" s="64"/>
      <c r="BK137" s="75"/>
      <c r="BL137" s="75"/>
      <c r="BM137" s="75"/>
      <c r="BN137" s="75"/>
      <c r="BO137" s="75"/>
      <c r="BP137" s="75"/>
      <c r="BQ137" s="75"/>
    </row>
    <row r="138" spans="1:69" x14ac:dyDescent="0.25">
      <c r="A138" s="510"/>
      <c r="B138" s="166" t="s">
        <v>26</v>
      </c>
      <c r="C138" s="187">
        <v>18.899999999999999</v>
      </c>
      <c r="D138" s="187">
        <v>18.96</v>
      </c>
      <c r="E138" s="187">
        <v>19.07</v>
      </c>
      <c r="F138" s="168">
        <f t="shared" si="145"/>
        <v>18.976666666666667</v>
      </c>
      <c r="G138" s="173">
        <v>6.5</v>
      </c>
      <c r="H138" s="173">
        <v>6.52</v>
      </c>
      <c r="I138" s="173">
        <v>6.59</v>
      </c>
      <c r="J138" s="168">
        <f t="shared" si="146"/>
        <v>6.5366666666666662</v>
      </c>
      <c r="K138" s="237">
        <f t="shared" si="147"/>
        <v>1848.7835936353208</v>
      </c>
      <c r="L138" s="521"/>
      <c r="M138" s="137" t="s">
        <v>26</v>
      </c>
      <c r="N138" s="173">
        <v>17.8</v>
      </c>
      <c r="O138" s="173">
        <v>17.8</v>
      </c>
      <c r="P138" s="173">
        <v>17.829999999999998</v>
      </c>
      <c r="Q138" s="168">
        <f t="shared" si="148"/>
        <v>17.809999999999999</v>
      </c>
      <c r="R138" s="189">
        <v>6.17</v>
      </c>
      <c r="S138" s="173">
        <v>6.18</v>
      </c>
      <c r="T138" s="173">
        <v>6.16</v>
      </c>
      <c r="U138" s="168">
        <f t="shared" si="149"/>
        <v>6.169999999999999</v>
      </c>
      <c r="V138" s="240">
        <f t="shared" si="163"/>
        <v>1537.1026961050613</v>
      </c>
      <c r="W138" s="27">
        <f t="shared" si="166"/>
        <v>6.1479009309678618</v>
      </c>
      <c r="X138" s="27">
        <f t="shared" si="167"/>
        <v>5.6093829678735414</v>
      </c>
      <c r="Y138" s="27">
        <f t="shared" si="168"/>
        <v>16.858700964421239</v>
      </c>
      <c r="AA138" s="498"/>
      <c r="AB138" s="137" t="s">
        <v>26</v>
      </c>
      <c r="AC138" s="172">
        <v>19.03</v>
      </c>
      <c r="AD138" s="173">
        <v>18.940000000000001</v>
      </c>
      <c r="AE138" s="173">
        <v>18.93</v>
      </c>
      <c r="AF138" s="168">
        <f t="shared" si="151"/>
        <v>18.966666666666665</v>
      </c>
      <c r="AG138" s="189">
        <v>6.43</v>
      </c>
      <c r="AH138" s="173">
        <v>6.48</v>
      </c>
      <c r="AI138" s="173">
        <v>6.41</v>
      </c>
      <c r="AJ138" s="168">
        <f t="shared" si="152"/>
        <v>6.44</v>
      </c>
      <c r="AK138" s="237">
        <f t="shared" si="153"/>
        <v>1819.523931534894</v>
      </c>
      <c r="AL138" s="498"/>
      <c r="AM138" s="137" t="s">
        <v>26</v>
      </c>
      <c r="AN138" s="173">
        <v>17.77</v>
      </c>
      <c r="AO138" s="173">
        <v>17.75</v>
      </c>
      <c r="AP138" s="173">
        <v>17.62</v>
      </c>
      <c r="AQ138" s="168">
        <f t="shared" si="164"/>
        <v>17.713333333333335</v>
      </c>
      <c r="AR138" s="189">
        <v>6.2</v>
      </c>
      <c r="AS138" s="173">
        <v>6.31</v>
      </c>
      <c r="AT138" s="173">
        <v>6.09</v>
      </c>
      <c r="AU138" s="168">
        <f t="shared" si="165"/>
        <v>6.2</v>
      </c>
      <c r="AV138" s="237">
        <f t="shared" si="156"/>
        <v>1527.8550766555522</v>
      </c>
      <c r="AW138" s="27">
        <f t="shared" si="169"/>
        <v>6.608084358523711</v>
      </c>
      <c r="AX138" s="27">
        <f t="shared" si="170"/>
        <v>3.7267080745341645</v>
      </c>
      <c r="AY138" s="27">
        <f t="shared" si="171"/>
        <v>16.029954309713254</v>
      </c>
      <c r="AZ138" s="64"/>
      <c r="BA138" s="75"/>
      <c r="BB138" s="75"/>
      <c r="BC138" s="75"/>
      <c r="BD138" s="75"/>
      <c r="BE138" s="125"/>
      <c r="BF138" s="75"/>
      <c r="BG138" s="75"/>
      <c r="BH138" s="75"/>
      <c r="BI138" s="70"/>
      <c r="BJ138" s="64"/>
      <c r="BK138" s="75"/>
      <c r="BL138" s="75"/>
      <c r="BM138" s="75"/>
      <c r="BN138" s="75"/>
      <c r="BO138" s="75"/>
      <c r="BP138" s="75"/>
      <c r="BQ138" s="75"/>
    </row>
    <row r="139" spans="1:69" ht="15.75" thickBot="1" x14ac:dyDescent="0.3">
      <c r="A139" s="511"/>
      <c r="B139" s="185" t="s">
        <v>27</v>
      </c>
      <c r="C139" s="188">
        <v>18.96</v>
      </c>
      <c r="D139" s="188">
        <v>19.02</v>
      </c>
      <c r="E139" s="188">
        <v>18.96</v>
      </c>
      <c r="F139" s="169">
        <f t="shared" si="145"/>
        <v>18.98</v>
      </c>
      <c r="G139" s="179">
        <v>6.52</v>
      </c>
      <c r="H139" s="179">
        <v>6.55</v>
      </c>
      <c r="I139" s="179">
        <v>6.42</v>
      </c>
      <c r="J139" s="180">
        <f t="shared" si="146"/>
        <v>6.496666666666667</v>
      </c>
      <c r="K139" s="238">
        <f t="shared" si="147"/>
        <v>1838.1158583583488</v>
      </c>
      <c r="L139" s="522"/>
      <c r="M139" s="138" t="s">
        <v>27</v>
      </c>
      <c r="N139" s="179">
        <v>17.86</v>
      </c>
      <c r="O139" s="179">
        <v>17.89</v>
      </c>
      <c r="P139" s="179">
        <v>17.84</v>
      </c>
      <c r="Q139" s="180">
        <f t="shared" si="148"/>
        <v>17.863333333333333</v>
      </c>
      <c r="R139" s="190">
        <v>6.1</v>
      </c>
      <c r="S139" s="179">
        <v>6.08</v>
      </c>
      <c r="T139" s="179">
        <v>6.26</v>
      </c>
      <c r="U139" s="180">
        <f t="shared" si="149"/>
        <v>6.1466666666666656</v>
      </c>
      <c r="V139" s="241">
        <f t="shared" si="163"/>
        <v>1540.4746217508102</v>
      </c>
      <c r="W139" s="27">
        <f t="shared" si="166"/>
        <v>5.8833860203723241</v>
      </c>
      <c r="X139" s="27">
        <f t="shared" si="167"/>
        <v>5.3873781426372718</v>
      </c>
      <c r="Y139" s="61">
        <f>((K139-V139)/K139)*100</f>
        <v>16.192735362903989</v>
      </c>
      <c r="AA139" s="499"/>
      <c r="AB139" s="138" t="s">
        <v>27</v>
      </c>
      <c r="AC139" s="178">
        <v>18.920000000000002</v>
      </c>
      <c r="AD139" s="179">
        <v>18.87</v>
      </c>
      <c r="AE139" s="179">
        <v>18.95</v>
      </c>
      <c r="AF139" s="180">
        <f t="shared" si="151"/>
        <v>18.913333333333338</v>
      </c>
      <c r="AG139" s="190">
        <v>6.44</v>
      </c>
      <c r="AH139" s="179">
        <v>6.41</v>
      </c>
      <c r="AI139" s="179">
        <v>6.44</v>
      </c>
      <c r="AJ139" s="180">
        <f t="shared" si="152"/>
        <v>6.4300000000000006</v>
      </c>
      <c r="AK139" s="238">
        <f t="shared" si="153"/>
        <v>1806.4960145339658</v>
      </c>
      <c r="AL139" s="499"/>
      <c r="AM139" s="138" t="s">
        <v>27</v>
      </c>
      <c r="AN139" s="179">
        <v>17.97</v>
      </c>
      <c r="AO139" s="179">
        <v>17.71</v>
      </c>
      <c r="AP139" s="179">
        <v>17.829999999999998</v>
      </c>
      <c r="AQ139" s="180">
        <f t="shared" si="164"/>
        <v>17.836666666666666</v>
      </c>
      <c r="AR139" s="301">
        <f>AVERAGE(AR133:AR138)</f>
        <v>6.2416666666666671</v>
      </c>
      <c r="AS139" s="301">
        <f t="shared" ref="AS139:AT139" si="172">AVERAGE(AS133:AS138)</f>
        <v>6.2683333333333335</v>
      </c>
      <c r="AT139" s="301">
        <f t="shared" si="172"/>
        <v>6.2216666666666667</v>
      </c>
      <c r="AU139" s="180">
        <f>AVERAGE(AR139:AT139)</f>
        <v>6.2438888888888897</v>
      </c>
      <c r="AV139" s="238">
        <f t="shared" si="156"/>
        <v>1560.1718581767518</v>
      </c>
      <c r="AW139" s="27">
        <f t="shared" si="169"/>
        <v>5.692633063094843</v>
      </c>
      <c r="AX139" s="27">
        <f t="shared" si="170"/>
        <v>2.8944185242785516</v>
      </c>
      <c r="AY139" s="61">
        <f>((AK139-AV139)/AK139)*100</f>
        <v>13.635466360038437</v>
      </c>
      <c r="AZ139" s="64"/>
      <c r="BA139" s="75"/>
      <c r="BB139" s="75"/>
      <c r="BC139" s="75"/>
      <c r="BD139" s="75"/>
      <c r="BE139" s="125"/>
      <c r="BF139" s="75"/>
      <c r="BG139" s="75"/>
      <c r="BH139" s="75"/>
      <c r="BI139" s="70"/>
      <c r="BJ139" s="64"/>
      <c r="BK139" s="75"/>
      <c r="BL139" s="75"/>
      <c r="BM139" s="75"/>
      <c r="BN139" s="75"/>
      <c r="BO139" s="75"/>
      <c r="BP139" s="75"/>
      <c r="BQ139" s="75"/>
    </row>
    <row r="140" spans="1:69" ht="16.5" thickBot="1" x14ac:dyDescent="0.3">
      <c r="A140" s="72" t="s">
        <v>214</v>
      </c>
      <c r="B140" s="182" t="s">
        <v>4</v>
      </c>
      <c r="C140" s="182"/>
      <c r="D140" s="182"/>
      <c r="E140" s="182"/>
      <c r="F140" s="182"/>
      <c r="G140" s="73"/>
      <c r="H140" s="73"/>
      <c r="I140" s="73"/>
      <c r="J140" s="74"/>
      <c r="K140" s="204"/>
      <c r="L140" s="72" t="s">
        <v>124</v>
      </c>
      <c r="M140" s="76" t="s">
        <v>215</v>
      </c>
      <c r="N140" s="73"/>
      <c r="O140" s="73"/>
      <c r="P140" s="73"/>
      <c r="Q140" s="73"/>
      <c r="R140" s="73"/>
      <c r="S140" s="73"/>
      <c r="T140" s="73"/>
      <c r="U140" s="74"/>
      <c r="V140" s="204"/>
      <c r="W140" s="204"/>
      <c r="X140" s="204"/>
      <c r="Y140" s="243"/>
      <c r="AA140" s="72" t="s">
        <v>216</v>
      </c>
      <c r="AB140" s="73" t="s">
        <v>4</v>
      </c>
      <c r="AC140" s="73"/>
      <c r="AD140" s="73"/>
      <c r="AE140" s="73"/>
      <c r="AF140" s="73"/>
      <c r="AG140" s="73"/>
      <c r="AH140" s="73"/>
      <c r="AI140" s="73"/>
      <c r="AJ140" s="73"/>
      <c r="AK140" s="244"/>
      <c r="AL140" s="72" t="s">
        <v>125</v>
      </c>
      <c r="AM140" s="76" t="s">
        <v>215</v>
      </c>
      <c r="AN140" s="73"/>
      <c r="AO140" s="73"/>
      <c r="AP140" s="73"/>
      <c r="AQ140" s="73"/>
      <c r="AR140" s="73"/>
      <c r="AS140" s="73"/>
      <c r="AT140" s="73"/>
      <c r="AU140" s="74"/>
      <c r="AV140" s="204"/>
      <c r="AW140" s="204"/>
      <c r="AX140" s="204"/>
      <c r="AY140" s="243"/>
      <c r="AZ140" s="126"/>
      <c r="BA140" s="126"/>
      <c r="BB140" s="126"/>
      <c r="BC140" s="126"/>
      <c r="BD140" s="126"/>
      <c r="BE140" s="126"/>
      <c r="BF140" s="126"/>
      <c r="BG140" s="126"/>
      <c r="BH140" s="126"/>
      <c r="BI140" s="124"/>
      <c r="BJ140" s="126"/>
      <c r="BK140" s="126"/>
      <c r="BL140" s="126"/>
      <c r="BM140" s="126"/>
      <c r="BN140" s="126"/>
      <c r="BO140" s="126"/>
      <c r="BP140" s="126"/>
      <c r="BQ140" s="126"/>
    </row>
    <row r="141" spans="1:69" ht="15.75" thickBot="1" x14ac:dyDescent="0.3">
      <c r="A141" s="77" t="s">
        <v>12</v>
      </c>
      <c r="B141" s="78" t="s">
        <v>6</v>
      </c>
      <c r="C141" s="79" t="s">
        <v>13</v>
      </c>
      <c r="D141" s="79" t="s">
        <v>14</v>
      </c>
      <c r="E141" s="79" t="s">
        <v>15</v>
      </c>
      <c r="F141" s="80" t="s">
        <v>16</v>
      </c>
      <c r="G141" s="81" t="s">
        <v>17</v>
      </c>
      <c r="H141" s="82" t="s">
        <v>18</v>
      </c>
      <c r="I141" s="82" t="s">
        <v>19</v>
      </c>
      <c r="J141" s="83" t="s">
        <v>16</v>
      </c>
      <c r="K141" s="201" t="s">
        <v>183</v>
      </c>
      <c r="L141" s="77" t="s">
        <v>12</v>
      </c>
      <c r="M141" s="78" t="s">
        <v>6</v>
      </c>
      <c r="N141" s="79" t="s">
        <v>13</v>
      </c>
      <c r="O141" s="79" t="s">
        <v>14</v>
      </c>
      <c r="P141" s="79" t="s">
        <v>15</v>
      </c>
      <c r="Q141" s="80" t="s">
        <v>16</v>
      </c>
      <c r="R141" s="81" t="s">
        <v>17</v>
      </c>
      <c r="S141" s="82" t="s">
        <v>18</v>
      </c>
      <c r="T141" s="82" t="s">
        <v>19</v>
      </c>
      <c r="U141" s="83" t="s">
        <v>16</v>
      </c>
      <c r="V141" s="84" t="s">
        <v>183</v>
      </c>
      <c r="W141" s="201" t="s">
        <v>184</v>
      </c>
      <c r="X141" s="201" t="s">
        <v>185</v>
      </c>
      <c r="Y141" s="194" t="s">
        <v>186</v>
      </c>
      <c r="AA141" s="77" t="s">
        <v>12</v>
      </c>
      <c r="AB141" s="78" t="s">
        <v>6</v>
      </c>
      <c r="AC141" s="79" t="s">
        <v>13</v>
      </c>
      <c r="AD141" s="79" t="s">
        <v>14</v>
      </c>
      <c r="AE141" s="79" t="s">
        <v>15</v>
      </c>
      <c r="AF141" s="80" t="s">
        <v>16</v>
      </c>
      <c r="AG141" s="81" t="s">
        <v>17</v>
      </c>
      <c r="AH141" s="82" t="s">
        <v>18</v>
      </c>
      <c r="AI141" s="82" t="s">
        <v>19</v>
      </c>
      <c r="AJ141" s="83" t="s">
        <v>16</v>
      </c>
      <c r="AK141" s="123"/>
      <c r="AL141" s="77" t="s">
        <v>12</v>
      </c>
      <c r="AM141" s="78" t="s">
        <v>6</v>
      </c>
      <c r="AN141" s="79" t="s">
        <v>13</v>
      </c>
      <c r="AO141" s="79" t="s">
        <v>14</v>
      </c>
      <c r="AP141" s="79" t="s">
        <v>15</v>
      </c>
      <c r="AQ141" s="80" t="s">
        <v>16</v>
      </c>
      <c r="AR141" s="81" t="s">
        <v>17</v>
      </c>
      <c r="AS141" s="82" t="s">
        <v>18</v>
      </c>
      <c r="AT141" s="82" t="s">
        <v>19</v>
      </c>
      <c r="AU141" s="83" t="s">
        <v>16</v>
      </c>
      <c r="AV141" s="201" t="s">
        <v>183</v>
      </c>
      <c r="AW141" s="201" t="s">
        <v>184</v>
      </c>
      <c r="AX141" s="201" t="s">
        <v>185</v>
      </c>
      <c r="AY141" s="194" t="s">
        <v>186</v>
      </c>
      <c r="AZ141" s="75"/>
      <c r="BA141" s="75"/>
      <c r="BB141" s="75"/>
      <c r="BC141" s="75"/>
      <c r="BD141" s="75"/>
      <c r="BE141" s="75"/>
      <c r="BF141" s="75"/>
      <c r="BG141" s="75"/>
      <c r="BH141" s="75"/>
      <c r="BI141" s="75"/>
      <c r="BJ141" s="75"/>
      <c r="BK141" s="75"/>
      <c r="BL141" s="75"/>
      <c r="BM141" s="75"/>
      <c r="BN141" s="75"/>
      <c r="BO141" s="75"/>
      <c r="BP141" s="75"/>
      <c r="BQ141" s="75"/>
    </row>
    <row r="142" spans="1:69" ht="15" customHeight="1" x14ac:dyDescent="0.25">
      <c r="A142" s="515" t="s">
        <v>207</v>
      </c>
      <c r="B142" s="174" t="s">
        <v>21</v>
      </c>
      <c r="C142" s="170">
        <v>19.16</v>
      </c>
      <c r="D142" s="170">
        <v>19.2</v>
      </c>
      <c r="E142" s="170">
        <v>19</v>
      </c>
      <c r="F142" s="167">
        <f>AVERAGE(C142:E142)</f>
        <v>19.12</v>
      </c>
      <c r="G142" s="181">
        <v>6.43</v>
      </c>
      <c r="H142" s="181">
        <v>6.51</v>
      </c>
      <c r="I142" s="181">
        <v>6.44</v>
      </c>
      <c r="J142" s="175">
        <f>AVERAGE(G142:I142)</f>
        <v>6.46</v>
      </c>
      <c r="K142" s="236">
        <f>PI()*((F142/2)^2)*J142</f>
        <v>1854.8046467495019</v>
      </c>
      <c r="L142" s="518" t="s">
        <v>207</v>
      </c>
      <c r="M142" s="300" t="s">
        <v>21</v>
      </c>
      <c r="N142" s="171">
        <v>18.07</v>
      </c>
      <c r="O142" s="171">
        <v>18.059999999999999</v>
      </c>
      <c r="P142" s="171">
        <v>18</v>
      </c>
      <c r="Q142" s="175">
        <f>AVERAGE(N142:P142)</f>
        <v>18.043333333333333</v>
      </c>
      <c r="R142" s="186">
        <v>6.05</v>
      </c>
      <c r="S142" s="171">
        <v>6.12</v>
      </c>
      <c r="T142" s="171">
        <v>6.17</v>
      </c>
      <c r="U142" s="175">
        <f>AVERAGE(R142:T142)</f>
        <v>6.1133333333333333</v>
      </c>
      <c r="V142" s="239">
        <f>PI()*((Q142/2)^2)*U142</f>
        <v>1563.1530513729547</v>
      </c>
      <c r="W142" s="23">
        <f>((F142-Q142)/F142)*100</f>
        <v>5.6311018131101873</v>
      </c>
      <c r="X142" s="23">
        <f>((J142-U142)/J142)*100</f>
        <v>5.3663570691434472</v>
      </c>
      <c r="Y142" s="23">
        <f>((K142-V142)/K142)*100</f>
        <v>15.724113905346272</v>
      </c>
      <c r="AA142" s="495" t="s">
        <v>208</v>
      </c>
      <c r="AB142" s="141" t="s">
        <v>21</v>
      </c>
      <c r="AC142" s="170">
        <v>19.04</v>
      </c>
      <c r="AD142" s="171">
        <v>18.989999999999998</v>
      </c>
      <c r="AE142" s="171">
        <v>19.02</v>
      </c>
      <c r="AF142" s="175">
        <f>AVERAGE(AC142:AE142)</f>
        <v>19.016666666666666</v>
      </c>
      <c r="AG142" s="186">
        <v>6.59</v>
      </c>
      <c r="AH142" s="171">
        <v>6.6</v>
      </c>
      <c r="AI142" s="171">
        <v>6.58</v>
      </c>
      <c r="AJ142" s="175">
        <f>AVERAGE(AG142:AI142)</f>
        <v>6.59</v>
      </c>
      <c r="AK142" s="236">
        <f>PI()*((AF142/2)^2)*AJ142</f>
        <v>1871.7338045904999</v>
      </c>
      <c r="AL142" s="495" t="s">
        <v>208</v>
      </c>
      <c r="AM142" s="141" t="s">
        <v>21</v>
      </c>
      <c r="AN142" s="181">
        <v>17.64</v>
      </c>
      <c r="AO142" s="181">
        <v>17.739999999999998</v>
      </c>
      <c r="AP142" s="181">
        <v>17.63</v>
      </c>
      <c r="AQ142" s="175">
        <f>AVERAGE(AN142:AP142)</f>
        <v>17.669999999999998</v>
      </c>
      <c r="AR142" s="228">
        <v>5.96</v>
      </c>
      <c r="AS142" s="181">
        <v>6.04</v>
      </c>
      <c r="AT142" s="181">
        <v>5.98</v>
      </c>
      <c r="AU142" s="175">
        <f>AVERAGE(AR142:AT142)</f>
        <v>5.9933333333333332</v>
      </c>
      <c r="AV142" s="236">
        <f>PI()*((AQ142/2)^2)*AU142</f>
        <v>1469.7092010201688</v>
      </c>
      <c r="AW142" s="23">
        <f>((AF142-AQ142)/AF142)*100</f>
        <v>7.0815074496056143</v>
      </c>
      <c r="AX142" s="23">
        <f>((AJ142-AU142)/AJ142)*100</f>
        <v>9.0541224076884177</v>
      </c>
      <c r="AY142" s="23">
        <f>((AK142-AV142)/AK142)*100</f>
        <v>21.478727508385543</v>
      </c>
      <c r="AZ142" s="67"/>
      <c r="BA142" s="75"/>
      <c r="BB142" s="75"/>
      <c r="BC142" s="75"/>
      <c r="BD142" s="75"/>
      <c r="BE142" s="125"/>
      <c r="BF142" s="75"/>
      <c r="BG142" s="75"/>
      <c r="BH142" s="75"/>
      <c r="BI142" s="142"/>
      <c r="BJ142" s="67"/>
      <c r="BK142" s="75"/>
      <c r="BL142" s="75"/>
      <c r="BM142" s="75"/>
      <c r="BN142" s="75"/>
      <c r="BO142" s="75"/>
      <c r="BP142" s="75"/>
      <c r="BQ142" s="75"/>
    </row>
    <row r="143" spans="1:69" x14ac:dyDescent="0.25">
      <c r="A143" s="516"/>
      <c r="B143" s="183" t="s">
        <v>22</v>
      </c>
      <c r="C143" s="187">
        <v>19.02</v>
      </c>
      <c r="D143" s="187">
        <v>19.190000000000001</v>
      </c>
      <c r="E143" s="187">
        <v>19.010000000000002</v>
      </c>
      <c r="F143" s="168">
        <f t="shared" ref="F143:F155" si="173">AVERAGE(C143:E143)</f>
        <v>19.073333333333334</v>
      </c>
      <c r="G143" s="173">
        <v>6.48</v>
      </c>
      <c r="H143" s="173">
        <v>6.3</v>
      </c>
      <c r="I143" s="173">
        <v>6.32</v>
      </c>
      <c r="J143" s="168">
        <f t="shared" ref="J143:J155" si="174">AVERAGE(G143:I143)</f>
        <v>6.3666666666666671</v>
      </c>
      <c r="K143" s="237">
        <f t="shared" ref="K143:K155" si="175">PI()*((F143/2)^2)*J143</f>
        <v>1819.0942093655497</v>
      </c>
      <c r="L143" s="519"/>
      <c r="M143" s="139" t="s">
        <v>22</v>
      </c>
      <c r="N143" s="173">
        <v>17.940000000000001</v>
      </c>
      <c r="O143" s="173">
        <v>17.93</v>
      </c>
      <c r="P143" s="173">
        <v>17.97</v>
      </c>
      <c r="Q143" s="168">
        <f t="shared" ref="Q143:Q155" si="176">AVERAGE(N143:P143)</f>
        <v>17.946666666666669</v>
      </c>
      <c r="R143" s="189">
        <v>6.01</v>
      </c>
      <c r="S143" s="173">
        <v>6.08</v>
      </c>
      <c r="T143" s="173">
        <v>6.07</v>
      </c>
      <c r="U143" s="168">
        <f t="shared" ref="U143:U155" si="177">AVERAGE(R143:T143)</f>
        <v>6.0533333333333337</v>
      </c>
      <c r="V143" s="240">
        <f t="shared" ref="V143:V148" si="178">PI()*((Q143/2)^2)*U143</f>
        <v>1531.2710215703428</v>
      </c>
      <c r="W143" s="27">
        <f>((F143-Q143)/F143)*100</f>
        <v>5.9070255155539941</v>
      </c>
      <c r="X143" s="27">
        <f>((J143-U143)/J143)*100</f>
        <v>4.9214659685863893</v>
      </c>
      <c r="Y143" s="27">
        <f>((K143-V143)/K143)*100</f>
        <v>15.822335441087009</v>
      </c>
      <c r="AA143" s="496"/>
      <c r="AB143" s="139" t="s">
        <v>22</v>
      </c>
      <c r="AC143" s="172">
        <v>19.079999999999998</v>
      </c>
      <c r="AD143" s="173">
        <v>19.22</v>
      </c>
      <c r="AE143" s="173">
        <v>18.989999999999998</v>
      </c>
      <c r="AF143" s="168">
        <f t="shared" ref="AF143:AF155" si="179">AVERAGE(AC143:AE143)</f>
        <v>19.096666666666664</v>
      </c>
      <c r="AG143" s="189">
        <v>6.57</v>
      </c>
      <c r="AH143" s="173">
        <v>6.59</v>
      </c>
      <c r="AI143" s="173">
        <v>6.55</v>
      </c>
      <c r="AJ143" s="168">
        <f t="shared" ref="AJ143:AJ155" si="180">AVERAGE(AG143:AI143)</f>
        <v>6.57</v>
      </c>
      <c r="AK143" s="237">
        <f t="shared" ref="AK143:AK155" si="181">PI()*((AF143/2)^2)*AJ143</f>
        <v>1881.7866621464123</v>
      </c>
      <c r="AL143" s="496"/>
      <c r="AM143" s="139" t="s">
        <v>22</v>
      </c>
      <c r="AN143" s="173">
        <v>17.54</v>
      </c>
      <c r="AO143" s="173">
        <v>17.54</v>
      </c>
      <c r="AP143" s="173">
        <v>17.62</v>
      </c>
      <c r="AQ143" s="168">
        <f t="shared" ref="AQ143:AQ155" si="182">AVERAGE(AN143:AP143)</f>
        <v>17.566666666666666</v>
      </c>
      <c r="AR143" s="189">
        <v>6.06</v>
      </c>
      <c r="AS143" s="173">
        <v>6.01</v>
      </c>
      <c r="AT143" s="173">
        <v>6.1</v>
      </c>
      <c r="AU143" s="168">
        <f t="shared" ref="AU143:AU155" si="183">AVERAGE(AR143:AT143)</f>
        <v>6.0566666666666675</v>
      </c>
      <c r="AV143" s="237">
        <f t="shared" ref="AV143:AV155" si="184">PI()*((AQ143/2)^2)*AU143</f>
        <v>1467.9196190031685</v>
      </c>
      <c r="AW143" s="27">
        <f>((AF143-AQ143)/AF143)*100</f>
        <v>8.0118694362017688</v>
      </c>
      <c r="AX143" s="27">
        <f>((AJ143-AU143)/AJ143)*100</f>
        <v>7.8132927447995852</v>
      </c>
      <c r="AY143" s="27">
        <f>((AK143-AV143)/AK143)*100</f>
        <v>21.993303038463289</v>
      </c>
      <c r="AZ143" s="67"/>
      <c r="BA143" s="75"/>
      <c r="BB143" s="75"/>
      <c r="BC143" s="75"/>
      <c r="BD143" s="75"/>
      <c r="BE143" s="125"/>
      <c r="BF143" s="75"/>
      <c r="BG143" s="75"/>
      <c r="BH143" s="75"/>
      <c r="BI143" s="142"/>
      <c r="BJ143" s="67"/>
      <c r="BK143" s="75"/>
      <c r="BL143" s="75"/>
      <c r="BM143" s="75"/>
      <c r="BN143" s="75"/>
      <c r="BO143" s="75"/>
      <c r="BP143" s="75"/>
      <c r="BQ143" s="75"/>
    </row>
    <row r="144" spans="1:69" x14ac:dyDescent="0.25">
      <c r="A144" s="516"/>
      <c r="B144" s="183" t="s">
        <v>23</v>
      </c>
      <c r="C144" s="187">
        <v>19.149999999999999</v>
      </c>
      <c r="D144" s="187">
        <v>19.079999999999998</v>
      </c>
      <c r="E144" s="187">
        <v>19.2</v>
      </c>
      <c r="F144" s="168">
        <f t="shared" si="173"/>
        <v>19.143333333333331</v>
      </c>
      <c r="G144" s="173">
        <v>6.38</v>
      </c>
      <c r="H144" s="173">
        <v>6.33</v>
      </c>
      <c r="I144" s="173">
        <v>6.33</v>
      </c>
      <c r="J144" s="168">
        <f t="shared" si="174"/>
        <v>6.3466666666666667</v>
      </c>
      <c r="K144" s="237">
        <f t="shared" si="175"/>
        <v>1826.7145744903537</v>
      </c>
      <c r="L144" s="519"/>
      <c r="M144" s="139" t="s">
        <v>23</v>
      </c>
      <c r="N144" s="173">
        <v>18.13</v>
      </c>
      <c r="O144" s="173">
        <v>18.100000000000001</v>
      </c>
      <c r="P144" s="173">
        <v>18.07</v>
      </c>
      <c r="Q144" s="168">
        <f t="shared" si="176"/>
        <v>18.100000000000001</v>
      </c>
      <c r="R144" s="189">
        <v>5.97</v>
      </c>
      <c r="S144" s="173">
        <v>6.03</v>
      </c>
      <c r="T144" s="173">
        <v>6</v>
      </c>
      <c r="U144" s="168">
        <f t="shared" si="177"/>
        <v>6</v>
      </c>
      <c r="V144" s="240">
        <f t="shared" si="178"/>
        <v>1543.8257538638284</v>
      </c>
      <c r="W144" s="27">
        <f t="shared" ref="W144:W148" si="185">((F144-Q144)/F144)*100</f>
        <v>5.4501131812641281</v>
      </c>
      <c r="X144" s="27">
        <f t="shared" ref="X144:X148" si="186">((J144-U144)/J144)*100</f>
        <v>5.46218487394958</v>
      </c>
      <c r="Y144" s="27">
        <f t="shared" ref="Y144:Y147" si="187">((K144-V144)/K144)*100</f>
        <v>15.486208112477026</v>
      </c>
      <c r="AA144" s="496"/>
      <c r="AB144" s="139" t="s">
        <v>23</v>
      </c>
      <c r="AC144" s="172">
        <v>19.010000000000002</v>
      </c>
      <c r="AD144" s="173">
        <v>19.149999999999999</v>
      </c>
      <c r="AE144" s="173">
        <v>19.190000000000001</v>
      </c>
      <c r="AF144" s="168">
        <f t="shared" si="179"/>
        <v>19.116666666666664</v>
      </c>
      <c r="AG144" s="189">
        <v>6.37</v>
      </c>
      <c r="AH144" s="173">
        <v>6.4</v>
      </c>
      <c r="AI144" s="173">
        <v>6.42</v>
      </c>
      <c r="AJ144" s="168">
        <f t="shared" si="180"/>
        <v>6.3966666666666656</v>
      </c>
      <c r="AK144" s="237">
        <f t="shared" si="181"/>
        <v>1835.9799596463192</v>
      </c>
      <c r="AL144" s="496"/>
      <c r="AM144" s="139" t="s">
        <v>23</v>
      </c>
      <c r="AN144" s="173">
        <v>17.38</v>
      </c>
      <c r="AO144" s="173">
        <v>17.37</v>
      </c>
      <c r="AP144" s="173">
        <v>17.649999999999999</v>
      </c>
      <c r="AQ144" s="168">
        <f t="shared" si="182"/>
        <v>17.466666666666665</v>
      </c>
      <c r="AR144" s="189">
        <v>5.81</v>
      </c>
      <c r="AS144" s="173">
        <v>5.85</v>
      </c>
      <c r="AT144" s="173">
        <v>5.81</v>
      </c>
      <c r="AU144" s="168">
        <f t="shared" si="183"/>
        <v>5.8233333333333333</v>
      </c>
      <c r="AV144" s="237">
        <f t="shared" si="184"/>
        <v>1395.3449860720073</v>
      </c>
      <c r="AW144" s="27">
        <f t="shared" ref="AW144:AW148" si="188">((AF144-AQ144)/AF144)*100</f>
        <v>8.6312118570183021</v>
      </c>
      <c r="AX144" s="27">
        <f t="shared" ref="AX144:AX148" si="189">((AJ144-AU144)/AJ144)*100</f>
        <v>8.9630015633142133</v>
      </c>
      <c r="AY144" s="27">
        <f t="shared" ref="AY144:AY147" si="190">((AK144-AV144)/AK144)*100</f>
        <v>23.999988194816424</v>
      </c>
      <c r="AZ144" s="67"/>
      <c r="BA144" s="75"/>
      <c r="BB144" s="75"/>
      <c r="BC144" s="75"/>
      <c r="BD144" s="75"/>
      <c r="BE144" s="125"/>
      <c r="BF144" s="75"/>
      <c r="BG144" s="75"/>
      <c r="BH144" s="75"/>
      <c r="BI144" s="142"/>
      <c r="BJ144" s="67"/>
      <c r="BK144" s="75"/>
      <c r="BL144" s="75"/>
      <c r="BM144" s="75"/>
      <c r="BN144" s="75"/>
      <c r="BO144" s="75"/>
      <c r="BP144" s="75"/>
      <c r="BQ144" s="75"/>
    </row>
    <row r="145" spans="1:69" x14ac:dyDescent="0.25">
      <c r="A145" s="516"/>
      <c r="B145" s="183" t="s">
        <v>24</v>
      </c>
      <c r="C145" s="187">
        <v>19.13</v>
      </c>
      <c r="D145" s="187">
        <v>19.05</v>
      </c>
      <c r="E145" s="187">
        <v>19.21</v>
      </c>
      <c r="F145" s="168">
        <f t="shared" si="173"/>
        <v>19.13</v>
      </c>
      <c r="G145" s="173">
        <v>6.52</v>
      </c>
      <c r="H145" s="173">
        <v>6.41</v>
      </c>
      <c r="I145" s="173">
        <v>6.38</v>
      </c>
      <c r="J145" s="168">
        <f t="shared" si="174"/>
        <v>6.4366666666666665</v>
      </c>
      <c r="K145" s="237">
        <f t="shared" si="175"/>
        <v>1850.0388158746873</v>
      </c>
      <c r="L145" s="519"/>
      <c r="M145" s="139" t="s">
        <v>24</v>
      </c>
      <c r="N145" s="173">
        <v>18.03</v>
      </c>
      <c r="O145" s="173">
        <v>17.88</v>
      </c>
      <c r="P145" s="173">
        <v>18.170000000000002</v>
      </c>
      <c r="Q145" s="168">
        <f t="shared" si="176"/>
        <v>18.026666666666667</v>
      </c>
      <c r="R145" s="189">
        <v>5.97</v>
      </c>
      <c r="S145" s="173">
        <v>5.93</v>
      </c>
      <c r="T145" s="173">
        <v>5.93</v>
      </c>
      <c r="U145" s="168">
        <f t="shared" si="177"/>
        <v>5.9433333333333325</v>
      </c>
      <c r="V145" s="240">
        <f t="shared" si="178"/>
        <v>1516.8786065092695</v>
      </c>
      <c r="W145" s="27">
        <f t="shared" si="185"/>
        <v>5.7675553232270342</v>
      </c>
      <c r="X145" s="27">
        <f t="shared" si="186"/>
        <v>7.6644225789746363</v>
      </c>
      <c r="Y145" s="27">
        <f t="shared" si="187"/>
        <v>18.008282123956498</v>
      </c>
      <c r="AA145" s="496"/>
      <c r="AB145" s="139" t="s">
        <v>24</v>
      </c>
      <c r="AC145" s="172">
        <v>19.07</v>
      </c>
      <c r="AD145" s="173">
        <v>18.88</v>
      </c>
      <c r="AE145" s="173">
        <v>19.11</v>
      </c>
      <c r="AF145" s="168">
        <f t="shared" si="179"/>
        <v>19.02</v>
      </c>
      <c r="AG145" s="189">
        <v>6.52</v>
      </c>
      <c r="AH145" s="173">
        <v>6.54</v>
      </c>
      <c r="AI145" s="173">
        <v>6.48</v>
      </c>
      <c r="AJ145" s="168">
        <f t="shared" si="180"/>
        <v>6.5133333333333328</v>
      </c>
      <c r="AK145" s="237">
        <f t="shared" si="181"/>
        <v>1850.6070454245194</v>
      </c>
      <c r="AL145" s="496"/>
      <c r="AM145" s="139" t="s">
        <v>24</v>
      </c>
      <c r="AN145" s="173">
        <v>17.64</v>
      </c>
      <c r="AO145" s="173">
        <v>17.399999999999999</v>
      </c>
      <c r="AP145" s="173">
        <v>17.48</v>
      </c>
      <c r="AQ145" s="168">
        <f t="shared" si="182"/>
        <v>17.506666666666664</v>
      </c>
      <c r="AR145" s="189">
        <v>5.94</v>
      </c>
      <c r="AS145" s="173">
        <v>6.05</v>
      </c>
      <c r="AT145" s="173">
        <v>6.03</v>
      </c>
      <c r="AU145" s="168">
        <f t="shared" si="183"/>
        <v>6.0066666666666668</v>
      </c>
      <c r="AV145" s="237">
        <f t="shared" si="184"/>
        <v>1445.8736353245342</v>
      </c>
      <c r="AW145" s="27">
        <f t="shared" si="188"/>
        <v>7.9565369786190079</v>
      </c>
      <c r="AX145" s="27">
        <f t="shared" si="189"/>
        <v>7.778915046059355</v>
      </c>
      <c r="AY145" s="27">
        <f t="shared" si="190"/>
        <v>21.870305265542822</v>
      </c>
      <c r="AZ145" s="67"/>
      <c r="BA145" s="75"/>
      <c r="BB145" s="75"/>
      <c r="BC145" s="75"/>
      <c r="BD145" s="75"/>
      <c r="BE145" s="125"/>
      <c r="BF145" s="75"/>
      <c r="BG145" s="75"/>
      <c r="BH145" s="75"/>
      <c r="BI145" s="142"/>
      <c r="BJ145" s="67"/>
      <c r="BK145" s="75"/>
      <c r="BL145" s="75"/>
      <c r="BM145" s="75"/>
      <c r="BN145" s="75"/>
      <c r="BO145" s="75"/>
      <c r="BP145" s="75"/>
      <c r="BQ145" s="75"/>
    </row>
    <row r="146" spans="1:69" x14ac:dyDescent="0.25">
      <c r="A146" s="516"/>
      <c r="B146" s="183" t="s">
        <v>25</v>
      </c>
      <c r="C146" s="187">
        <v>19.27</v>
      </c>
      <c r="D146" s="187">
        <v>19.03</v>
      </c>
      <c r="E146" s="187">
        <v>19.260000000000002</v>
      </c>
      <c r="F146" s="168">
        <f t="shared" si="173"/>
        <v>19.186666666666667</v>
      </c>
      <c r="G146" s="173">
        <v>6.25</v>
      </c>
      <c r="H146" s="173">
        <v>6.16</v>
      </c>
      <c r="I146" s="173">
        <v>6.27</v>
      </c>
      <c r="J146" s="168">
        <f t="shared" si="174"/>
        <v>6.2266666666666666</v>
      </c>
      <c r="K146" s="237">
        <f t="shared" si="175"/>
        <v>1800.2986657993065</v>
      </c>
      <c r="L146" s="519"/>
      <c r="M146" s="139" t="s">
        <v>25</v>
      </c>
      <c r="N146" s="173">
        <v>18.18</v>
      </c>
      <c r="O146" s="173">
        <v>18.14</v>
      </c>
      <c r="P146" s="173">
        <v>17.91</v>
      </c>
      <c r="Q146" s="168">
        <f t="shared" si="176"/>
        <v>18.076666666666668</v>
      </c>
      <c r="R146" s="189">
        <v>6.01</v>
      </c>
      <c r="S146" s="173">
        <v>5.85</v>
      </c>
      <c r="T146" s="173">
        <v>6.03</v>
      </c>
      <c r="U146" s="168">
        <f t="shared" si="177"/>
        <v>5.9633333333333338</v>
      </c>
      <c r="V146" s="240">
        <f t="shared" si="178"/>
        <v>1530.4377398625843</v>
      </c>
      <c r="W146" s="27">
        <f t="shared" si="185"/>
        <v>5.7852675469075718</v>
      </c>
      <c r="X146" s="27">
        <f t="shared" si="186"/>
        <v>4.2291220556745088</v>
      </c>
      <c r="Y146" s="27">
        <f t="shared" si="187"/>
        <v>14.989786476173823</v>
      </c>
      <c r="AA146" s="496"/>
      <c r="AB146" s="139" t="s">
        <v>25</v>
      </c>
      <c r="AC146" s="172">
        <v>18.989999999999998</v>
      </c>
      <c r="AD146" s="173">
        <v>19.07</v>
      </c>
      <c r="AE146" s="173">
        <v>19.02</v>
      </c>
      <c r="AF146" s="168">
        <f t="shared" si="179"/>
        <v>19.026666666666667</v>
      </c>
      <c r="AG146" s="189">
        <v>6.44</v>
      </c>
      <c r="AH146" s="173">
        <v>6.49</v>
      </c>
      <c r="AI146" s="173">
        <v>6.45</v>
      </c>
      <c r="AJ146" s="168">
        <f t="shared" si="180"/>
        <v>6.46</v>
      </c>
      <c r="AK146" s="237">
        <f t="shared" si="181"/>
        <v>1836.740569974638</v>
      </c>
      <c r="AL146" s="496"/>
      <c r="AM146" s="139" t="s">
        <v>25</v>
      </c>
      <c r="AN146" s="173">
        <v>17.41</v>
      </c>
      <c r="AO146" s="173">
        <v>17.57</v>
      </c>
      <c r="AP146" s="173">
        <v>17.440000000000001</v>
      </c>
      <c r="AQ146" s="168">
        <f t="shared" si="182"/>
        <v>17.473333333333333</v>
      </c>
      <c r="AR146" s="189">
        <v>6</v>
      </c>
      <c r="AS146" s="173">
        <v>5.97</v>
      </c>
      <c r="AT146" s="173">
        <v>5.95</v>
      </c>
      <c r="AU146" s="168">
        <f t="shared" si="183"/>
        <v>5.9733333333333327</v>
      </c>
      <c r="AV146" s="237">
        <f t="shared" si="184"/>
        <v>1432.379694353016</v>
      </c>
      <c r="AW146" s="27">
        <f t="shared" si="188"/>
        <v>8.1639803784162641</v>
      </c>
      <c r="AX146" s="27">
        <f t="shared" si="189"/>
        <v>7.5335397316821551</v>
      </c>
      <c r="AY146" s="27">
        <f t="shared" si="190"/>
        <v>22.015132797290228</v>
      </c>
      <c r="AZ146" s="67"/>
      <c r="BA146" s="75"/>
      <c r="BB146" s="75"/>
      <c r="BC146" s="75"/>
      <c r="BD146" s="75"/>
      <c r="BE146" s="125"/>
      <c r="BF146" s="75"/>
      <c r="BG146" s="75"/>
      <c r="BH146" s="75"/>
      <c r="BI146" s="142"/>
      <c r="BJ146" s="67"/>
      <c r="BK146" s="75"/>
      <c r="BL146" s="75"/>
      <c r="BM146" s="75"/>
      <c r="BN146" s="75"/>
      <c r="BO146" s="75"/>
      <c r="BP146" s="75"/>
      <c r="BQ146" s="75"/>
    </row>
    <row r="147" spans="1:69" x14ac:dyDescent="0.25">
      <c r="A147" s="516"/>
      <c r="B147" s="183" t="s">
        <v>26</v>
      </c>
      <c r="C147" s="187">
        <v>19.170000000000002</v>
      </c>
      <c r="D147" s="187">
        <v>18.98</v>
      </c>
      <c r="E147" s="187">
        <v>19.13</v>
      </c>
      <c r="F147" s="168">
        <f t="shared" si="173"/>
        <v>19.093333333333334</v>
      </c>
      <c r="G147" s="173">
        <v>6.54</v>
      </c>
      <c r="H147" s="173">
        <v>6.54</v>
      </c>
      <c r="I147" s="173">
        <v>6.53</v>
      </c>
      <c r="J147" s="168">
        <f t="shared" si="174"/>
        <v>6.5366666666666662</v>
      </c>
      <c r="K147" s="237">
        <f t="shared" si="175"/>
        <v>1871.5857482809645</v>
      </c>
      <c r="L147" s="519"/>
      <c r="M147" s="139" t="s">
        <v>26</v>
      </c>
      <c r="N147" s="173">
        <v>17.82</v>
      </c>
      <c r="O147" s="173">
        <v>18.059999999999999</v>
      </c>
      <c r="P147" s="173">
        <v>17.89</v>
      </c>
      <c r="Q147" s="168">
        <f t="shared" si="176"/>
        <v>17.923333333333332</v>
      </c>
      <c r="R147" s="189">
        <v>6.17</v>
      </c>
      <c r="S147" s="173">
        <v>6.14</v>
      </c>
      <c r="T147" s="173">
        <v>6.14</v>
      </c>
      <c r="U147" s="168">
        <f t="shared" si="177"/>
        <v>6.1499999999999995</v>
      </c>
      <c r="V147" s="240">
        <f t="shared" si="178"/>
        <v>1551.6814227948566</v>
      </c>
      <c r="W147" s="27">
        <f t="shared" si="185"/>
        <v>6.1277932960893944</v>
      </c>
      <c r="X147" s="27">
        <f t="shared" si="186"/>
        <v>5.9153493115757279</v>
      </c>
      <c r="Y147" s="27">
        <f t="shared" si="187"/>
        <v>17.092688688185259</v>
      </c>
      <c r="AA147" s="496"/>
      <c r="AB147" s="139" t="s">
        <v>26</v>
      </c>
      <c r="AC147" s="172">
        <v>19.420000000000002</v>
      </c>
      <c r="AD147" s="173">
        <v>19</v>
      </c>
      <c r="AE147" s="173">
        <v>19.34</v>
      </c>
      <c r="AF147" s="168">
        <f t="shared" si="179"/>
        <v>19.253333333333334</v>
      </c>
      <c r="AG147" s="189">
        <v>6.56</v>
      </c>
      <c r="AH147" s="173">
        <v>6.55</v>
      </c>
      <c r="AI147" s="173">
        <v>6.38</v>
      </c>
      <c r="AJ147" s="168">
        <f t="shared" si="180"/>
        <v>6.4966666666666661</v>
      </c>
      <c r="AK147" s="237">
        <f t="shared" si="181"/>
        <v>1891.4389383355699</v>
      </c>
      <c r="AL147" s="496"/>
      <c r="AM147" s="139" t="s">
        <v>26</v>
      </c>
      <c r="AN147" s="173">
        <v>17.48</v>
      </c>
      <c r="AO147" s="173">
        <v>17.62</v>
      </c>
      <c r="AP147" s="173">
        <v>17.48</v>
      </c>
      <c r="AQ147" s="168">
        <f t="shared" si="182"/>
        <v>17.526666666666667</v>
      </c>
      <c r="AR147" s="189">
        <v>6.01</v>
      </c>
      <c r="AS147" s="173">
        <v>5.99</v>
      </c>
      <c r="AT147" s="173">
        <v>5.82</v>
      </c>
      <c r="AU147" s="168">
        <f t="shared" si="183"/>
        <v>5.94</v>
      </c>
      <c r="AV147" s="237">
        <f t="shared" si="184"/>
        <v>1433.0949989301009</v>
      </c>
      <c r="AW147" s="27">
        <f t="shared" si="188"/>
        <v>8.9681440443213294</v>
      </c>
      <c r="AX147" s="27">
        <f t="shared" si="189"/>
        <v>8.5684966649563759</v>
      </c>
      <c r="AY147" s="27">
        <f t="shared" si="190"/>
        <v>24.232552799658595</v>
      </c>
      <c r="AZ147" s="67"/>
      <c r="BA147" s="75"/>
      <c r="BB147" s="75"/>
      <c r="BC147" s="75"/>
      <c r="BD147" s="75"/>
      <c r="BE147" s="125"/>
      <c r="BF147" s="75"/>
      <c r="BG147" s="75"/>
      <c r="BH147" s="75"/>
      <c r="BI147" s="142"/>
      <c r="BJ147" s="67"/>
      <c r="BK147" s="75"/>
      <c r="BL147" s="75"/>
      <c r="BM147" s="75"/>
      <c r="BN147" s="75"/>
      <c r="BO147" s="75"/>
      <c r="BP147" s="75"/>
      <c r="BQ147" s="75"/>
    </row>
    <row r="148" spans="1:69" ht="15.75" thickBot="1" x14ac:dyDescent="0.3">
      <c r="A148" s="517"/>
      <c r="B148" s="184" t="s">
        <v>27</v>
      </c>
      <c r="C148" s="188">
        <v>19.11</v>
      </c>
      <c r="D148" s="188">
        <v>19.100000000000001</v>
      </c>
      <c r="E148" s="188">
        <v>19.16</v>
      </c>
      <c r="F148" s="169">
        <f t="shared" si="173"/>
        <v>19.123333333333335</v>
      </c>
      <c r="G148" s="179">
        <v>6.28</v>
      </c>
      <c r="H148" s="179">
        <v>6.37</v>
      </c>
      <c r="I148" s="179">
        <v>6.34</v>
      </c>
      <c r="J148" s="180">
        <f t="shared" si="174"/>
        <v>6.330000000000001</v>
      </c>
      <c r="K148" s="238">
        <f t="shared" si="175"/>
        <v>1818.1126213880186</v>
      </c>
      <c r="L148" s="520"/>
      <c r="M148" s="140" t="s">
        <v>27</v>
      </c>
      <c r="N148" s="179">
        <v>18.12</v>
      </c>
      <c r="O148" s="179">
        <v>18.18</v>
      </c>
      <c r="P148" s="179">
        <v>18.149999999999999</v>
      </c>
      <c r="Q148" s="180">
        <f t="shared" si="176"/>
        <v>18.149999999999999</v>
      </c>
      <c r="R148" s="190">
        <v>5.94</v>
      </c>
      <c r="S148" s="179">
        <v>5.93</v>
      </c>
      <c r="T148" s="179">
        <v>6.01</v>
      </c>
      <c r="U148" s="180">
        <f t="shared" si="177"/>
        <v>5.9600000000000009</v>
      </c>
      <c r="V148" s="241">
        <f t="shared" si="178"/>
        <v>1542.0178458315038</v>
      </c>
      <c r="W148" s="27">
        <f t="shared" si="185"/>
        <v>5.0897681715182301</v>
      </c>
      <c r="X148" s="27">
        <f t="shared" si="186"/>
        <v>5.8451816745655618</v>
      </c>
      <c r="Y148" s="61">
        <f>((K148-V148)/K148)*100</f>
        <v>15.185790600019775</v>
      </c>
      <c r="AA148" s="497"/>
      <c r="AB148" s="143" t="s">
        <v>27</v>
      </c>
      <c r="AC148" s="229">
        <v>19.100000000000001</v>
      </c>
      <c r="AD148" s="230">
        <v>19.03</v>
      </c>
      <c r="AE148" s="230">
        <v>19.12</v>
      </c>
      <c r="AF148" s="180">
        <f t="shared" si="179"/>
        <v>19.083333333333332</v>
      </c>
      <c r="AG148" s="190">
        <v>6.58</v>
      </c>
      <c r="AH148" s="179">
        <v>6.55</v>
      </c>
      <c r="AI148" s="179">
        <v>6.57</v>
      </c>
      <c r="AJ148" s="180">
        <f t="shared" si="180"/>
        <v>6.5666666666666664</v>
      </c>
      <c r="AK148" s="238">
        <f t="shared" si="181"/>
        <v>1878.2064402974395</v>
      </c>
      <c r="AL148" s="497"/>
      <c r="AM148" s="143" t="s">
        <v>27</v>
      </c>
      <c r="AN148" s="230">
        <v>17.62</v>
      </c>
      <c r="AO148" s="230">
        <v>17.61</v>
      </c>
      <c r="AP148" s="230">
        <v>17.559999999999999</v>
      </c>
      <c r="AQ148" s="180">
        <f t="shared" si="182"/>
        <v>17.596666666666668</v>
      </c>
      <c r="AR148" s="190">
        <v>6.03</v>
      </c>
      <c r="AS148" s="179">
        <v>5.96</v>
      </c>
      <c r="AT148" s="179">
        <v>6.17</v>
      </c>
      <c r="AU148" s="180">
        <f t="shared" si="183"/>
        <v>6.0533333333333337</v>
      </c>
      <c r="AV148" s="238">
        <f t="shared" si="184"/>
        <v>1472.1270247734014</v>
      </c>
      <c r="AW148" s="27">
        <f t="shared" si="188"/>
        <v>7.7903930131004255</v>
      </c>
      <c r="AX148" s="27">
        <f t="shared" si="189"/>
        <v>7.817258883248722</v>
      </c>
      <c r="AY148" s="61">
        <f>((AK148-AV148)/AK148)*100</f>
        <v>21.620595415471467</v>
      </c>
      <c r="AZ148" s="67"/>
      <c r="BA148" s="75"/>
      <c r="BB148" s="75"/>
      <c r="BC148" s="75"/>
      <c r="BD148" s="75"/>
      <c r="BE148" s="125"/>
      <c r="BF148" s="75"/>
      <c r="BG148" s="75"/>
      <c r="BH148" s="75"/>
      <c r="BI148" s="142"/>
      <c r="BJ148" s="67"/>
      <c r="BK148" s="75"/>
      <c r="BL148" s="75"/>
      <c r="BM148" s="75"/>
      <c r="BN148" s="75"/>
      <c r="BO148" s="75"/>
      <c r="BP148" s="75"/>
      <c r="BQ148" s="75"/>
    </row>
    <row r="149" spans="1:69" ht="15" customHeight="1" x14ac:dyDescent="0.25">
      <c r="A149" s="509" t="s">
        <v>209</v>
      </c>
      <c r="B149" s="144" t="s">
        <v>21</v>
      </c>
      <c r="C149" s="170">
        <v>18.940000000000001</v>
      </c>
      <c r="D149" s="170">
        <v>18.96</v>
      </c>
      <c r="E149" s="170">
        <v>18.91</v>
      </c>
      <c r="F149" s="167">
        <f t="shared" si="173"/>
        <v>18.936666666666667</v>
      </c>
      <c r="G149" s="173">
        <v>6.36</v>
      </c>
      <c r="H149" s="173">
        <v>6.29</v>
      </c>
      <c r="I149" s="173">
        <v>6.4</v>
      </c>
      <c r="J149" s="175">
        <f t="shared" si="174"/>
        <v>6.3500000000000005</v>
      </c>
      <c r="K149" s="236">
        <f>PI()*((F149/2)^2)*J149</f>
        <v>1788.4247678592671</v>
      </c>
      <c r="L149" s="521" t="s">
        <v>209</v>
      </c>
      <c r="M149" s="137" t="s">
        <v>21</v>
      </c>
      <c r="N149" s="173">
        <v>17.260000000000002</v>
      </c>
      <c r="O149" s="173">
        <v>17.45</v>
      </c>
      <c r="P149" s="173">
        <v>17.29</v>
      </c>
      <c r="Q149" s="175">
        <f t="shared" si="176"/>
        <v>17.333333333333332</v>
      </c>
      <c r="R149" s="189">
        <v>5.9</v>
      </c>
      <c r="S149" s="173">
        <v>5.92</v>
      </c>
      <c r="T149" s="173">
        <v>5.9</v>
      </c>
      <c r="U149" s="175">
        <f t="shared" si="177"/>
        <v>5.9066666666666663</v>
      </c>
      <c r="V149" s="239">
        <f>PI()*((Q149/2)^2)*U149</f>
        <v>1393.7873611633006</v>
      </c>
      <c r="W149" s="23">
        <f>((F149-Q149)/F149)*100</f>
        <v>8.4668192219679739</v>
      </c>
      <c r="X149" s="23">
        <f>((J149-U149)/J149)*100</f>
        <v>6.9816272965879405</v>
      </c>
      <c r="Y149" s="23">
        <f>((K149-V149)/K149)*100</f>
        <v>22.066201150208009</v>
      </c>
      <c r="AA149" s="498" t="s">
        <v>210</v>
      </c>
      <c r="AB149" s="144" t="s">
        <v>21</v>
      </c>
      <c r="AC149" s="170">
        <v>18.91</v>
      </c>
      <c r="AD149" s="171">
        <v>18.899999999999999</v>
      </c>
      <c r="AE149" s="171">
        <v>18.8</v>
      </c>
      <c r="AF149" s="175">
        <f t="shared" si="179"/>
        <v>18.87</v>
      </c>
      <c r="AG149" s="189">
        <v>6.49</v>
      </c>
      <c r="AH149" s="173">
        <v>6.43</v>
      </c>
      <c r="AI149" s="173">
        <v>6.49</v>
      </c>
      <c r="AJ149" s="175">
        <f t="shared" si="180"/>
        <v>6.47</v>
      </c>
      <c r="AK149" s="236">
        <f>PI()*((AF149/2)^2)*AJ149</f>
        <v>1809.4140670750219</v>
      </c>
      <c r="AL149" s="498" t="s">
        <v>210</v>
      </c>
      <c r="AM149" s="144" t="s">
        <v>21</v>
      </c>
      <c r="AN149" s="171">
        <v>17.3</v>
      </c>
      <c r="AO149" s="171">
        <v>17.399999999999999</v>
      </c>
      <c r="AP149" s="171">
        <v>17.28</v>
      </c>
      <c r="AQ149" s="175">
        <f t="shared" si="182"/>
        <v>17.326666666666668</v>
      </c>
      <c r="AR149" s="189">
        <v>6.12</v>
      </c>
      <c r="AS149" s="173">
        <v>5.97</v>
      </c>
      <c r="AT149" s="173">
        <v>6.03</v>
      </c>
      <c r="AU149" s="175">
        <f t="shared" si="183"/>
        <v>6.04</v>
      </c>
      <c r="AV149" s="236">
        <f>PI()*((AQ149/2)^2)*AU149</f>
        <v>1424.1536946254266</v>
      </c>
      <c r="AW149" s="23">
        <f>((AF149-AQ149)/AF149)*100</f>
        <v>8.1787670022964125</v>
      </c>
      <c r="AX149" s="23">
        <f>((AJ149-AU149)/AJ149)*100</f>
        <v>6.6460587326120519</v>
      </c>
      <c r="AY149" s="23">
        <f>((AK149-AV149)/AK149)*100</f>
        <v>21.291996091993553</v>
      </c>
      <c r="AZ149" s="64"/>
      <c r="BA149" s="75"/>
      <c r="BB149" s="75"/>
      <c r="BC149" s="75"/>
      <c r="BD149" s="75"/>
      <c r="BE149" s="125"/>
      <c r="BF149" s="75"/>
      <c r="BG149" s="75"/>
      <c r="BH149" s="75"/>
      <c r="BI149" s="70"/>
      <c r="BJ149" s="64"/>
      <c r="BK149" s="75"/>
      <c r="BL149" s="75"/>
      <c r="BM149" s="75"/>
      <c r="BN149" s="75"/>
      <c r="BO149" s="75"/>
      <c r="BP149" s="75"/>
      <c r="BQ149" s="75"/>
    </row>
    <row r="150" spans="1:69" x14ac:dyDescent="0.25">
      <c r="A150" s="510"/>
      <c r="B150" s="166" t="s">
        <v>22</v>
      </c>
      <c r="C150" s="187">
        <v>18.97</v>
      </c>
      <c r="D150" s="187">
        <v>18.87</v>
      </c>
      <c r="E150" s="187">
        <v>19.100000000000001</v>
      </c>
      <c r="F150" s="168">
        <f t="shared" si="173"/>
        <v>18.98</v>
      </c>
      <c r="G150" s="173">
        <v>6.39</v>
      </c>
      <c r="H150" s="173">
        <v>6.38</v>
      </c>
      <c r="I150" s="173">
        <v>6.41</v>
      </c>
      <c r="J150" s="168">
        <f t="shared" si="174"/>
        <v>6.3933333333333335</v>
      </c>
      <c r="K150" s="237">
        <f t="shared" si="175"/>
        <v>1808.8795363423872</v>
      </c>
      <c r="L150" s="521"/>
      <c r="M150" s="137" t="s">
        <v>22</v>
      </c>
      <c r="N150" s="173">
        <v>17.329999999999998</v>
      </c>
      <c r="O150" s="173">
        <v>17.239999999999998</v>
      </c>
      <c r="P150" s="173">
        <v>17.32</v>
      </c>
      <c r="Q150" s="168">
        <f t="shared" si="176"/>
        <v>17.296666666666663</v>
      </c>
      <c r="R150" s="189">
        <v>5.94</v>
      </c>
      <c r="S150" s="173">
        <v>5.96</v>
      </c>
      <c r="T150" s="173">
        <v>5.91</v>
      </c>
      <c r="U150" s="168">
        <f t="shared" si="177"/>
        <v>5.9366666666666674</v>
      </c>
      <c r="V150" s="240">
        <f t="shared" ref="V150:V155" si="191">PI()*((Q150/2)^2)*U150</f>
        <v>1394.9459427475663</v>
      </c>
      <c r="W150" s="27">
        <f>((F150-Q150)/F150)*100</f>
        <v>8.8689848963821767</v>
      </c>
      <c r="X150" s="27">
        <f>((J150-U150)/J150)*100</f>
        <v>7.1428571428571344</v>
      </c>
      <c r="Y150" s="27">
        <f>((K150-V150)/K150)*100</f>
        <v>22.883425085995938</v>
      </c>
      <c r="AA150" s="498"/>
      <c r="AB150" s="137" t="s">
        <v>22</v>
      </c>
      <c r="AC150" s="172">
        <v>18.98</v>
      </c>
      <c r="AD150" s="173">
        <v>18.95</v>
      </c>
      <c r="AE150" s="173">
        <v>18.98</v>
      </c>
      <c r="AF150" s="168">
        <f t="shared" si="179"/>
        <v>18.97</v>
      </c>
      <c r="AG150" s="189">
        <v>6.4</v>
      </c>
      <c r="AH150" s="173">
        <v>6.28</v>
      </c>
      <c r="AI150" s="173">
        <v>6.41</v>
      </c>
      <c r="AJ150" s="168">
        <f t="shared" si="180"/>
        <v>6.3633333333333333</v>
      </c>
      <c r="AK150" s="237">
        <f t="shared" si="181"/>
        <v>1798.4949256423242</v>
      </c>
      <c r="AL150" s="498"/>
      <c r="AM150" s="137" t="s">
        <v>22</v>
      </c>
      <c r="AN150" s="173">
        <v>17.39</v>
      </c>
      <c r="AO150" s="173">
        <v>17.420000000000002</v>
      </c>
      <c r="AP150" s="173">
        <v>17.38</v>
      </c>
      <c r="AQ150" s="168">
        <f t="shared" si="182"/>
        <v>17.396666666666665</v>
      </c>
      <c r="AR150" s="189">
        <v>5.94</v>
      </c>
      <c r="AS150" s="173">
        <v>6.06</v>
      </c>
      <c r="AT150" s="173">
        <v>6.02</v>
      </c>
      <c r="AU150" s="168">
        <f t="shared" si="183"/>
        <v>6.0066666666666668</v>
      </c>
      <c r="AV150" s="237">
        <f t="shared" si="184"/>
        <v>1427.7609432760207</v>
      </c>
      <c r="AW150" s="27">
        <f>((AF150-AQ150)/AF150)*100</f>
        <v>8.2937972236865285</v>
      </c>
      <c r="AX150" s="27">
        <f>((AJ150-AU150)/AJ150)*100</f>
        <v>5.605028810895754</v>
      </c>
      <c r="AY150" s="27">
        <f>((AK150-AV150)/AK150)*100</f>
        <v>20.613568438837689</v>
      </c>
      <c r="AZ150" s="64"/>
      <c r="BA150" s="75"/>
      <c r="BB150" s="75"/>
      <c r="BC150" s="75"/>
      <c r="BD150" s="75"/>
      <c r="BE150" s="125"/>
      <c r="BF150" s="75"/>
      <c r="BG150" s="75"/>
      <c r="BH150" s="75"/>
      <c r="BI150" s="70"/>
      <c r="BJ150" s="64"/>
      <c r="BK150" s="75"/>
      <c r="BL150" s="75"/>
      <c r="BM150" s="75"/>
      <c r="BN150" s="75"/>
      <c r="BO150" s="75"/>
      <c r="BP150" s="75"/>
      <c r="BQ150" s="75"/>
    </row>
    <row r="151" spans="1:69" x14ac:dyDescent="0.25">
      <c r="A151" s="510"/>
      <c r="B151" s="166" t="s">
        <v>23</v>
      </c>
      <c r="C151" s="187">
        <v>18.89</v>
      </c>
      <c r="D151" s="187">
        <v>19.420000000000002</v>
      </c>
      <c r="E151" s="187">
        <v>18.91</v>
      </c>
      <c r="F151" s="168">
        <f t="shared" si="173"/>
        <v>19.073333333333334</v>
      </c>
      <c r="G151" s="173">
        <v>6.36</v>
      </c>
      <c r="H151" s="173">
        <v>6.26</v>
      </c>
      <c r="I151" s="173">
        <v>6.38</v>
      </c>
      <c r="J151" s="168">
        <f t="shared" si="174"/>
        <v>6.333333333333333</v>
      </c>
      <c r="K151" s="237">
        <f t="shared" si="175"/>
        <v>1809.5701559133738</v>
      </c>
      <c r="L151" s="521"/>
      <c r="M151" s="137" t="s">
        <v>23</v>
      </c>
      <c r="N151" s="173">
        <v>17.2</v>
      </c>
      <c r="O151" s="173">
        <v>17.39</v>
      </c>
      <c r="P151" s="173">
        <v>17.399999999999999</v>
      </c>
      <c r="Q151" s="168">
        <f t="shared" si="176"/>
        <v>17.330000000000002</v>
      </c>
      <c r="R151" s="189">
        <v>5.87</v>
      </c>
      <c r="S151" s="173">
        <v>5.99</v>
      </c>
      <c r="T151" s="173">
        <v>5.9</v>
      </c>
      <c r="U151" s="168">
        <f t="shared" si="177"/>
        <v>5.919999999999999</v>
      </c>
      <c r="V151" s="240">
        <f t="shared" si="191"/>
        <v>1396.3963775330415</v>
      </c>
      <c r="W151" s="27">
        <f t="shared" ref="W151:W155" si="192">((F151-Q151)/F151)*100</f>
        <v>9.1401607829430223</v>
      </c>
      <c r="X151" s="27">
        <f t="shared" ref="X151:X155" si="193">((J151-U151)/J151)*100</f>
        <v>6.5263157894736956</v>
      </c>
      <c r="Y151" s="27">
        <f t="shared" ref="Y151:Y154" si="194">((K151-V151)/K151)*100</f>
        <v>22.832702950485189</v>
      </c>
      <c r="AA151" s="498"/>
      <c r="AB151" s="137" t="s">
        <v>23</v>
      </c>
      <c r="AC151" s="172">
        <v>18.850000000000001</v>
      </c>
      <c r="AD151" s="173">
        <v>18.899999999999999</v>
      </c>
      <c r="AE151" s="173">
        <v>18.82</v>
      </c>
      <c r="AF151" s="168">
        <f t="shared" si="179"/>
        <v>18.856666666666666</v>
      </c>
      <c r="AG151" s="189">
        <v>6.62</v>
      </c>
      <c r="AH151" s="173">
        <v>6.5</v>
      </c>
      <c r="AI151" s="173">
        <v>6.51</v>
      </c>
      <c r="AJ151" s="168">
        <f t="shared" si="180"/>
        <v>6.5433333333333339</v>
      </c>
      <c r="AK151" s="237">
        <f t="shared" si="181"/>
        <v>1827.3375316895872</v>
      </c>
      <c r="AL151" s="498"/>
      <c r="AM151" s="137" t="s">
        <v>23</v>
      </c>
      <c r="AN151" s="173">
        <v>17.2</v>
      </c>
      <c r="AO151" s="173">
        <v>17.489999999999998</v>
      </c>
      <c r="AP151" s="173">
        <v>17.239999999999998</v>
      </c>
      <c r="AQ151" s="168">
        <f t="shared" si="182"/>
        <v>17.309999999999999</v>
      </c>
      <c r="AR151" s="189">
        <v>6.35</v>
      </c>
      <c r="AS151" s="173">
        <v>6.15</v>
      </c>
      <c r="AT151" s="173">
        <v>6.25</v>
      </c>
      <c r="AU151" s="168">
        <f t="shared" si="183"/>
        <v>6.25</v>
      </c>
      <c r="AV151" s="237">
        <f t="shared" si="184"/>
        <v>1470.8352664223382</v>
      </c>
      <c r="AW151" s="27">
        <f t="shared" ref="AW151:AW155" si="195">((AF151-AQ151)/AF151)*100</f>
        <v>8.2022273289729561</v>
      </c>
      <c r="AX151" s="27">
        <f t="shared" ref="AX151:AX155" si="196">((AJ151-AU151)/AJ151)*100</f>
        <v>4.4829342842587963</v>
      </c>
      <c r="AY151" s="27">
        <f t="shared" ref="AY151:AY154" si="197">((AK151-AV151)/AK151)*100</f>
        <v>19.509382316337636</v>
      </c>
      <c r="AZ151" s="64"/>
      <c r="BA151" s="75"/>
      <c r="BB151" s="75"/>
      <c r="BC151" s="75"/>
      <c r="BD151" s="75"/>
      <c r="BE151" s="125"/>
      <c r="BF151" s="75"/>
      <c r="BG151" s="75"/>
      <c r="BH151" s="75"/>
      <c r="BI151" s="70"/>
      <c r="BJ151" s="64"/>
      <c r="BK151" s="75"/>
      <c r="BL151" s="75"/>
      <c r="BM151" s="75"/>
      <c r="BN151" s="75"/>
      <c r="BO151" s="75"/>
      <c r="BP151" s="75"/>
      <c r="BQ151" s="75"/>
    </row>
    <row r="152" spans="1:69" x14ac:dyDescent="0.25">
      <c r="A152" s="510"/>
      <c r="B152" s="166" t="s">
        <v>24</v>
      </c>
      <c r="C152" s="187">
        <v>18.87</v>
      </c>
      <c r="D152" s="187">
        <v>19.010000000000002</v>
      </c>
      <c r="E152" s="187">
        <v>18.96</v>
      </c>
      <c r="F152" s="168">
        <f t="shared" si="173"/>
        <v>18.946666666666669</v>
      </c>
      <c r="G152" s="173">
        <v>6.33</v>
      </c>
      <c r="H152" s="173">
        <v>6.49</v>
      </c>
      <c r="I152" s="173">
        <v>6.2</v>
      </c>
      <c r="J152" s="168">
        <f t="shared" si="174"/>
        <v>6.34</v>
      </c>
      <c r="K152" s="237">
        <f t="shared" si="175"/>
        <v>1787.4947228288506</v>
      </c>
      <c r="L152" s="521"/>
      <c r="M152" s="137" t="s">
        <v>24</v>
      </c>
      <c r="N152" s="173">
        <v>17.07</v>
      </c>
      <c r="O152" s="173">
        <v>17.309999999999999</v>
      </c>
      <c r="P152" s="173">
        <v>17.170000000000002</v>
      </c>
      <c r="Q152" s="168">
        <f t="shared" si="176"/>
        <v>17.183333333333334</v>
      </c>
      <c r="R152" s="189">
        <v>5.85</v>
      </c>
      <c r="S152" s="173">
        <v>5.97</v>
      </c>
      <c r="T152" s="173">
        <v>5.92</v>
      </c>
      <c r="U152" s="168">
        <f t="shared" si="177"/>
        <v>5.913333333333334</v>
      </c>
      <c r="V152" s="240">
        <f t="shared" si="191"/>
        <v>1371.3145118957095</v>
      </c>
      <c r="W152" s="27">
        <f t="shared" si="192"/>
        <v>9.3068261787473716</v>
      </c>
      <c r="X152" s="27">
        <f t="shared" si="193"/>
        <v>6.7297581493164964</v>
      </c>
      <c r="Y152" s="27">
        <f t="shared" si="194"/>
        <v>23.28287774044464</v>
      </c>
      <c r="AA152" s="498"/>
      <c r="AB152" s="137" t="s">
        <v>24</v>
      </c>
      <c r="AC152" s="172">
        <v>18.88</v>
      </c>
      <c r="AD152" s="173">
        <v>18.88</v>
      </c>
      <c r="AE152" s="173">
        <v>18.920000000000002</v>
      </c>
      <c r="AF152" s="168">
        <f t="shared" si="179"/>
        <v>18.893333333333334</v>
      </c>
      <c r="AG152" s="189">
        <v>6.35</v>
      </c>
      <c r="AH152" s="173">
        <v>6.37</v>
      </c>
      <c r="AI152" s="173">
        <v>6.35</v>
      </c>
      <c r="AJ152" s="168">
        <f t="shared" si="180"/>
        <v>6.3566666666666665</v>
      </c>
      <c r="AK152" s="237">
        <f t="shared" si="181"/>
        <v>1782.1181504305932</v>
      </c>
      <c r="AL152" s="498"/>
      <c r="AM152" s="137" t="s">
        <v>24</v>
      </c>
      <c r="AN152" s="173">
        <v>17.45</v>
      </c>
      <c r="AO152" s="173">
        <v>17.260000000000002</v>
      </c>
      <c r="AP152" s="173">
        <v>17.309999999999999</v>
      </c>
      <c r="AQ152" s="168">
        <f t="shared" si="182"/>
        <v>17.34</v>
      </c>
      <c r="AR152" s="189">
        <v>6.05</v>
      </c>
      <c r="AS152" s="173">
        <v>5.96</v>
      </c>
      <c r="AT152" s="173">
        <v>6</v>
      </c>
      <c r="AU152" s="168">
        <f t="shared" si="183"/>
        <v>6.003333333333333</v>
      </c>
      <c r="AV152" s="237">
        <f t="shared" si="184"/>
        <v>1417.687550990616</v>
      </c>
      <c r="AW152" s="27">
        <f t="shared" si="195"/>
        <v>8.2215949188426318</v>
      </c>
      <c r="AX152" s="27">
        <f t="shared" si="196"/>
        <v>5.5584687991609885</v>
      </c>
      <c r="AY152" s="27">
        <f t="shared" si="197"/>
        <v>20.44929509033528</v>
      </c>
      <c r="AZ152" s="64"/>
      <c r="BA152" s="75"/>
      <c r="BB152" s="75"/>
      <c r="BC152" s="75"/>
      <c r="BD152" s="75"/>
      <c r="BE152" s="125"/>
      <c r="BF152" s="75"/>
      <c r="BG152" s="75"/>
      <c r="BH152" s="75"/>
      <c r="BI152" s="70"/>
      <c r="BJ152" s="64"/>
      <c r="BK152" s="75"/>
      <c r="BL152" s="75"/>
      <c r="BM152" s="75"/>
      <c r="BN152" s="75"/>
      <c r="BO152" s="75"/>
      <c r="BP152" s="75"/>
      <c r="BQ152" s="75"/>
    </row>
    <row r="153" spans="1:69" x14ac:dyDescent="0.25">
      <c r="A153" s="510"/>
      <c r="B153" s="166" t="s">
        <v>25</v>
      </c>
      <c r="C153" s="187">
        <v>18.98</v>
      </c>
      <c r="D153" s="187">
        <v>18.920000000000002</v>
      </c>
      <c r="E153" s="187">
        <v>18.989999999999998</v>
      </c>
      <c r="F153" s="168">
        <f t="shared" si="173"/>
        <v>18.963333333333335</v>
      </c>
      <c r="G153" s="173">
        <v>6.32</v>
      </c>
      <c r="H153" s="173">
        <v>6.36</v>
      </c>
      <c r="I153" s="173">
        <v>6.29</v>
      </c>
      <c r="J153" s="168">
        <f t="shared" si="174"/>
        <v>6.3233333333333333</v>
      </c>
      <c r="K153" s="237">
        <f t="shared" si="175"/>
        <v>1785.9336312599173</v>
      </c>
      <c r="L153" s="521"/>
      <c r="M153" s="137" t="s">
        <v>25</v>
      </c>
      <c r="N153" s="173">
        <v>17.3</v>
      </c>
      <c r="O153" s="173">
        <v>17.29</v>
      </c>
      <c r="P153" s="173">
        <v>17.309999999999999</v>
      </c>
      <c r="Q153" s="168">
        <f t="shared" si="176"/>
        <v>17.3</v>
      </c>
      <c r="R153" s="189">
        <v>5.79</v>
      </c>
      <c r="S153" s="173">
        <v>5.86</v>
      </c>
      <c r="T153" s="173">
        <v>5.85</v>
      </c>
      <c r="U153" s="168">
        <f t="shared" si="177"/>
        <v>5.833333333333333</v>
      </c>
      <c r="V153" s="240">
        <f t="shared" si="191"/>
        <v>1371.19392855213</v>
      </c>
      <c r="W153" s="27">
        <f t="shared" si="192"/>
        <v>8.7713130602917939</v>
      </c>
      <c r="X153" s="27">
        <f t="shared" si="193"/>
        <v>7.7490774907749111</v>
      </c>
      <c r="Y153" s="27">
        <f t="shared" si="194"/>
        <v>23.222570841851613</v>
      </c>
      <c r="AA153" s="498"/>
      <c r="AB153" s="137" t="s">
        <v>25</v>
      </c>
      <c r="AC153" s="172">
        <v>18.95</v>
      </c>
      <c r="AD153" s="173">
        <v>18.95</v>
      </c>
      <c r="AE153" s="173">
        <v>19.02</v>
      </c>
      <c r="AF153" s="168">
        <f t="shared" si="179"/>
        <v>18.973333333333333</v>
      </c>
      <c r="AG153" s="189">
        <v>6.36</v>
      </c>
      <c r="AH153" s="173">
        <v>6.35</v>
      </c>
      <c r="AI153" s="173">
        <v>6.33</v>
      </c>
      <c r="AJ153" s="168">
        <f t="shared" si="180"/>
        <v>6.3466666666666667</v>
      </c>
      <c r="AK153" s="237">
        <f t="shared" si="181"/>
        <v>1794.414806239929</v>
      </c>
      <c r="AL153" s="498"/>
      <c r="AM153" s="137" t="s">
        <v>25</v>
      </c>
      <c r="AN153" s="173">
        <v>17.41</v>
      </c>
      <c r="AO153" s="173">
        <v>17.32</v>
      </c>
      <c r="AP153" s="173">
        <v>17.32</v>
      </c>
      <c r="AQ153" s="168">
        <f t="shared" si="182"/>
        <v>17.350000000000001</v>
      </c>
      <c r="AR153" s="189">
        <v>5.99</v>
      </c>
      <c r="AS153" s="173">
        <v>6</v>
      </c>
      <c r="AT153" s="173">
        <v>6.03</v>
      </c>
      <c r="AU153" s="168">
        <f t="shared" si="183"/>
        <v>6.0066666666666668</v>
      </c>
      <c r="AV153" s="237">
        <f t="shared" si="184"/>
        <v>1420.1112619721259</v>
      </c>
      <c r="AW153" s="27">
        <f t="shared" si="195"/>
        <v>8.5558678847505156</v>
      </c>
      <c r="AX153" s="27">
        <f t="shared" si="196"/>
        <v>5.357142857142855</v>
      </c>
      <c r="AY153" s="27">
        <f t="shared" si="197"/>
        <v>20.859365569554679</v>
      </c>
      <c r="AZ153" s="64"/>
      <c r="BA153" s="75"/>
      <c r="BB153" s="75"/>
      <c r="BC153" s="75"/>
      <c r="BD153" s="75"/>
      <c r="BE153" s="125"/>
      <c r="BF153" s="75"/>
      <c r="BG153" s="75"/>
      <c r="BH153" s="75"/>
      <c r="BI153" s="70"/>
      <c r="BJ153" s="64"/>
      <c r="BK153" s="75"/>
      <c r="BL153" s="75"/>
      <c r="BM153" s="75"/>
      <c r="BN153" s="75"/>
      <c r="BO153" s="75"/>
      <c r="BP153" s="75"/>
      <c r="BQ153" s="75"/>
    </row>
    <row r="154" spans="1:69" x14ac:dyDescent="0.25">
      <c r="A154" s="510"/>
      <c r="B154" s="166" t="s">
        <v>26</v>
      </c>
      <c r="C154" s="187">
        <v>18.98</v>
      </c>
      <c r="D154" s="187">
        <v>18.920000000000002</v>
      </c>
      <c r="E154" s="187">
        <v>18.89</v>
      </c>
      <c r="F154" s="168">
        <f t="shared" si="173"/>
        <v>18.930000000000003</v>
      </c>
      <c r="G154" s="173">
        <v>6.45</v>
      </c>
      <c r="H154" s="173">
        <v>6.5</v>
      </c>
      <c r="I154" s="173">
        <v>6.95</v>
      </c>
      <c r="J154" s="168">
        <f t="shared" si="174"/>
        <v>6.6333333333333329</v>
      </c>
      <c r="K154" s="237">
        <f t="shared" si="175"/>
        <v>1866.9080612748542</v>
      </c>
      <c r="L154" s="521"/>
      <c r="M154" s="137" t="s">
        <v>26</v>
      </c>
      <c r="N154" s="173">
        <v>17.27</v>
      </c>
      <c r="O154" s="173">
        <v>17.22</v>
      </c>
      <c r="P154" s="173">
        <v>17.260000000000002</v>
      </c>
      <c r="Q154" s="168">
        <f t="shared" si="176"/>
        <v>17.25</v>
      </c>
      <c r="R154" s="189">
        <v>5.98</v>
      </c>
      <c r="S154" s="173">
        <v>5.93</v>
      </c>
      <c r="T154" s="173">
        <v>5.98</v>
      </c>
      <c r="U154" s="168">
        <f t="shared" si="177"/>
        <v>5.9633333333333338</v>
      </c>
      <c r="V154" s="240">
        <f t="shared" si="191"/>
        <v>1393.6610611392009</v>
      </c>
      <c r="W154" s="27">
        <f t="shared" si="192"/>
        <v>8.8748019017432807</v>
      </c>
      <c r="X154" s="27">
        <f t="shared" si="193"/>
        <v>10.1005025125628</v>
      </c>
      <c r="Y154" s="27">
        <f t="shared" si="194"/>
        <v>25.349239737734457</v>
      </c>
      <c r="AA154" s="498"/>
      <c r="AB154" s="137" t="s">
        <v>26</v>
      </c>
      <c r="AC154" s="172">
        <v>18.920000000000002</v>
      </c>
      <c r="AD154" s="173">
        <v>18.850000000000001</v>
      </c>
      <c r="AE154" s="173">
        <v>18.91</v>
      </c>
      <c r="AF154" s="168">
        <f t="shared" si="179"/>
        <v>18.893333333333334</v>
      </c>
      <c r="AG154" s="189">
        <v>6.4</v>
      </c>
      <c r="AH154" s="173">
        <v>6.4</v>
      </c>
      <c r="AI154" s="173">
        <v>6.33</v>
      </c>
      <c r="AJ154" s="168">
        <f t="shared" si="180"/>
        <v>6.3766666666666678</v>
      </c>
      <c r="AK154" s="237">
        <f t="shared" si="181"/>
        <v>1787.7252342809259</v>
      </c>
      <c r="AL154" s="498"/>
      <c r="AM154" s="137" t="s">
        <v>26</v>
      </c>
      <c r="AN154" s="173">
        <v>17.18</v>
      </c>
      <c r="AO154" s="173">
        <v>17.29</v>
      </c>
      <c r="AP154" s="173">
        <v>17.18</v>
      </c>
      <c r="AQ154" s="168">
        <f t="shared" si="182"/>
        <v>17.216666666666665</v>
      </c>
      <c r="AR154" s="189">
        <v>5.94</v>
      </c>
      <c r="AS154" s="173">
        <v>6.11</v>
      </c>
      <c r="AT154" s="173">
        <v>6.14</v>
      </c>
      <c r="AU154" s="168">
        <f t="shared" si="183"/>
        <v>6.0633333333333335</v>
      </c>
      <c r="AV154" s="237">
        <f t="shared" si="184"/>
        <v>1411.5604060016351</v>
      </c>
      <c r="AW154" s="27">
        <f t="shared" si="195"/>
        <v>8.8743824982357236</v>
      </c>
      <c r="AX154" s="27">
        <f t="shared" si="196"/>
        <v>4.9137480397281905</v>
      </c>
      <c r="AY154" s="27">
        <f t="shared" si="197"/>
        <v>21.04153485480083</v>
      </c>
      <c r="AZ154" s="64"/>
      <c r="BA154" s="75"/>
      <c r="BB154" s="75"/>
      <c r="BC154" s="75"/>
      <c r="BD154" s="75"/>
      <c r="BE154" s="125"/>
      <c r="BF154" s="75"/>
      <c r="BG154" s="75"/>
      <c r="BH154" s="75"/>
      <c r="BI154" s="70"/>
      <c r="BJ154" s="64"/>
      <c r="BK154" s="75"/>
      <c r="BL154" s="75"/>
      <c r="BM154" s="75"/>
      <c r="BN154" s="75"/>
      <c r="BO154" s="75"/>
      <c r="BP154" s="75"/>
      <c r="BQ154" s="75"/>
    </row>
    <row r="155" spans="1:69" ht="15.75" thickBot="1" x14ac:dyDescent="0.3">
      <c r="A155" s="511"/>
      <c r="B155" s="185" t="s">
        <v>27</v>
      </c>
      <c r="C155" s="188">
        <v>18.940000000000001</v>
      </c>
      <c r="D155" s="188">
        <v>18.940000000000001</v>
      </c>
      <c r="E155" s="188">
        <v>18.87</v>
      </c>
      <c r="F155" s="169">
        <f t="shared" si="173"/>
        <v>18.916666666666668</v>
      </c>
      <c r="G155" s="179">
        <v>6.44</v>
      </c>
      <c r="H155" s="179">
        <v>6.44</v>
      </c>
      <c r="I155" s="179">
        <v>6.37</v>
      </c>
      <c r="J155" s="180">
        <f t="shared" si="174"/>
        <v>6.416666666666667</v>
      </c>
      <c r="K155" s="238">
        <f t="shared" si="175"/>
        <v>1803.3855388029212</v>
      </c>
      <c r="L155" s="522"/>
      <c r="M155" s="138" t="s">
        <v>27</v>
      </c>
      <c r="N155" s="179">
        <v>17.38</v>
      </c>
      <c r="O155" s="179">
        <v>17.23</v>
      </c>
      <c r="P155" s="179">
        <v>17.170000000000002</v>
      </c>
      <c r="Q155" s="180">
        <f t="shared" si="176"/>
        <v>17.260000000000002</v>
      </c>
      <c r="R155" s="190">
        <v>5.99</v>
      </c>
      <c r="S155" s="179">
        <v>5.97</v>
      </c>
      <c r="T155" s="179">
        <v>5.99</v>
      </c>
      <c r="U155" s="180">
        <f t="shared" si="177"/>
        <v>5.9833333333333343</v>
      </c>
      <c r="V155" s="241">
        <f t="shared" si="191"/>
        <v>1399.9568900478148</v>
      </c>
      <c r="W155" s="27">
        <f t="shared" si="192"/>
        <v>8.7577092511013177</v>
      </c>
      <c r="X155" s="27">
        <f t="shared" si="193"/>
        <v>6.7532467532467431</v>
      </c>
      <c r="Y155" s="61">
        <f>((K155-V155)/K155)*100</f>
        <v>22.370626805785548</v>
      </c>
      <c r="AA155" s="499"/>
      <c r="AB155" s="138" t="s">
        <v>27</v>
      </c>
      <c r="AC155" s="178">
        <v>18.940000000000001</v>
      </c>
      <c r="AD155" s="179">
        <v>18.850000000000001</v>
      </c>
      <c r="AE155" s="179">
        <v>18.989999999999998</v>
      </c>
      <c r="AF155" s="180">
        <f t="shared" si="179"/>
        <v>18.926666666666666</v>
      </c>
      <c r="AG155" s="190">
        <v>6.68</v>
      </c>
      <c r="AH155" s="179">
        <v>6.44</v>
      </c>
      <c r="AI155" s="179">
        <v>6.47</v>
      </c>
      <c r="AJ155" s="180">
        <f t="shared" si="180"/>
        <v>6.53</v>
      </c>
      <c r="AK155" s="238">
        <f t="shared" si="181"/>
        <v>1837.1783952422784</v>
      </c>
      <c r="AL155" s="499"/>
      <c r="AM155" s="138" t="s">
        <v>27</v>
      </c>
      <c r="AN155" s="179">
        <v>17.32</v>
      </c>
      <c r="AO155" s="179">
        <v>17.399999999999999</v>
      </c>
      <c r="AP155" s="179">
        <v>17.25</v>
      </c>
      <c r="AQ155" s="180">
        <f t="shared" si="182"/>
        <v>17.323333333333334</v>
      </c>
      <c r="AR155" s="190">
        <v>6.27</v>
      </c>
      <c r="AS155" s="179">
        <v>6.13</v>
      </c>
      <c r="AT155" s="179">
        <v>6.07</v>
      </c>
      <c r="AU155" s="180">
        <f t="shared" si="183"/>
        <v>6.1566666666666663</v>
      </c>
      <c r="AV155" s="238">
        <f t="shared" si="184"/>
        <v>1451.1036893973931</v>
      </c>
      <c r="AW155" s="27">
        <f t="shared" si="195"/>
        <v>8.4712927087002381</v>
      </c>
      <c r="AX155" s="27">
        <f t="shared" si="196"/>
        <v>5.7172026544155274</v>
      </c>
      <c r="AY155" s="61">
        <f>((AK155-AV155)/AK155)*100</f>
        <v>21.014546374195284</v>
      </c>
      <c r="AZ155" s="64"/>
      <c r="BA155" s="75"/>
      <c r="BB155" s="75"/>
      <c r="BC155" s="75"/>
      <c r="BD155" s="75"/>
      <c r="BE155" s="125"/>
      <c r="BF155" s="75"/>
      <c r="BG155" s="75"/>
      <c r="BH155" s="75"/>
      <c r="BI155" s="70"/>
      <c r="BJ155" s="64"/>
      <c r="BK155" s="75"/>
      <c r="BL155" s="75"/>
      <c r="BM155" s="75"/>
      <c r="BN155" s="75"/>
      <c r="BO155" s="75"/>
      <c r="BP155" s="75"/>
      <c r="BQ155" s="75"/>
    </row>
    <row r="156" spans="1:69" x14ac:dyDescent="0.25">
      <c r="A156" s="122"/>
      <c r="B156" s="64"/>
      <c r="C156" s="75"/>
      <c r="D156" s="75"/>
      <c r="E156" s="75"/>
      <c r="F156" s="125"/>
      <c r="G156" s="75"/>
      <c r="H156" s="75"/>
      <c r="I156" s="75"/>
      <c r="J156" s="75"/>
      <c r="K156" s="75"/>
      <c r="L156" s="75"/>
      <c r="M156" s="122"/>
      <c r="N156" s="64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C156" s="66"/>
      <c r="AD156" s="99"/>
      <c r="AE156" s="92"/>
      <c r="AF156" s="92"/>
      <c r="AG156" s="92"/>
      <c r="AH156" s="92"/>
      <c r="AI156" s="92"/>
      <c r="AJ156" s="92"/>
      <c r="AK156" s="92"/>
      <c r="AL156" s="92"/>
      <c r="AM156" s="92"/>
      <c r="AO156" s="66"/>
      <c r="AP156" s="99"/>
      <c r="AQ156" s="92"/>
      <c r="AR156" s="92"/>
      <c r="AS156" s="92"/>
      <c r="AT156" s="92"/>
      <c r="AU156" s="92"/>
      <c r="AV156" s="92"/>
      <c r="AW156" s="92"/>
      <c r="AX156" s="92"/>
      <c r="AY156" s="92"/>
      <c r="AZ156" s="92"/>
    </row>
    <row r="157" spans="1:69" ht="15.75" thickBot="1" x14ac:dyDescent="0.3">
      <c r="A157" s="122"/>
      <c r="B157" s="64"/>
      <c r="C157" s="75"/>
      <c r="D157" s="75"/>
      <c r="E157" s="75"/>
      <c r="F157" s="125"/>
      <c r="G157" s="75"/>
      <c r="H157" s="75"/>
      <c r="I157" s="75"/>
      <c r="J157" s="75"/>
      <c r="K157" s="75"/>
      <c r="L157" s="75"/>
      <c r="M157" s="122"/>
      <c r="N157" s="64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C157" s="66"/>
      <c r="AD157" s="99"/>
      <c r="AE157" s="92"/>
      <c r="AF157" s="92"/>
      <c r="AG157" s="92"/>
      <c r="AH157" s="92"/>
      <c r="AI157" s="92"/>
      <c r="AJ157" s="92"/>
      <c r="AK157" s="92"/>
      <c r="AL157" s="92"/>
      <c r="AM157" s="92"/>
      <c r="AO157" s="66"/>
      <c r="AP157" s="99"/>
      <c r="AQ157" s="92"/>
      <c r="AR157" s="92"/>
      <c r="AS157" s="92"/>
      <c r="AT157" s="92"/>
      <c r="AU157" s="92"/>
      <c r="AV157" s="92"/>
      <c r="AW157" s="92"/>
      <c r="AX157" s="92"/>
      <c r="AY157" s="92"/>
      <c r="AZ157" s="92"/>
    </row>
    <row r="158" spans="1:69" ht="16.5" thickBot="1" x14ac:dyDescent="0.3">
      <c r="A158" s="72" t="s">
        <v>217</v>
      </c>
      <c r="B158" s="526" t="s">
        <v>4</v>
      </c>
      <c r="C158" s="526"/>
      <c r="D158" s="526"/>
      <c r="E158" s="526"/>
      <c r="F158" s="526"/>
      <c r="G158" s="526"/>
      <c r="H158" s="526"/>
      <c r="I158" s="526"/>
      <c r="J158" s="527"/>
      <c r="K158" s="204"/>
      <c r="L158" s="72" t="s">
        <v>218</v>
      </c>
      <c r="M158" s="525" t="s">
        <v>192</v>
      </c>
      <c r="N158" s="526"/>
      <c r="O158" s="526"/>
      <c r="P158" s="526"/>
      <c r="Q158" s="526"/>
      <c r="R158" s="526"/>
      <c r="S158" s="526"/>
      <c r="T158" s="526"/>
      <c r="U158" s="527"/>
      <c r="V158" s="204"/>
      <c r="W158" s="204"/>
      <c r="X158" s="204"/>
      <c r="Y158" s="24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69" ht="15.75" thickBot="1" x14ac:dyDescent="0.3">
      <c r="A159" s="77" t="s">
        <v>12</v>
      </c>
      <c r="B159" s="145" t="s">
        <v>6</v>
      </c>
      <c r="C159" s="146" t="s">
        <v>13</v>
      </c>
      <c r="D159" s="146" t="s">
        <v>14</v>
      </c>
      <c r="E159" s="146" t="s">
        <v>15</v>
      </c>
      <c r="F159" s="123" t="s">
        <v>16</v>
      </c>
      <c r="G159" s="145" t="s">
        <v>17</v>
      </c>
      <c r="H159" s="146" t="s">
        <v>18</v>
      </c>
      <c r="I159" s="146" t="s">
        <v>19</v>
      </c>
      <c r="J159" s="147" t="s">
        <v>16</v>
      </c>
      <c r="K159" s="201" t="s">
        <v>183</v>
      </c>
      <c r="L159" s="84" t="s">
        <v>12</v>
      </c>
      <c r="M159" s="145" t="s">
        <v>6</v>
      </c>
      <c r="N159" s="146" t="s">
        <v>13</v>
      </c>
      <c r="O159" s="146" t="s">
        <v>14</v>
      </c>
      <c r="P159" s="146" t="s">
        <v>15</v>
      </c>
      <c r="Q159" s="123" t="s">
        <v>16</v>
      </c>
      <c r="R159" s="145" t="s">
        <v>17</v>
      </c>
      <c r="S159" s="146" t="s">
        <v>18</v>
      </c>
      <c r="T159" s="146" t="s">
        <v>19</v>
      </c>
      <c r="U159" s="123" t="s">
        <v>16</v>
      </c>
      <c r="V159" s="84" t="s">
        <v>183</v>
      </c>
      <c r="W159" s="201" t="s">
        <v>184</v>
      </c>
      <c r="X159" s="201" t="s">
        <v>185</v>
      </c>
      <c r="Y159" s="194" t="s">
        <v>186</v>
      </c>
      <c r="AC159" s="85"/>
      <c r="AD159" s="85"/>
      <c r="AE159" s="86"/>
      <c r="AF159" s="86"/>
      <c r="AG159" s="86"/>
      <c r="AH159" s="86"/>
      <c r="AI159" s="86"/>
      <c r="AJ159" s="86"/>
      <c r="AK159" s="86"/>
      <c r="AL159" s="86"/>
      <c r="AM159" s="86"/>
      <c r="AO159" s="85"/>
      <c r="AP159" s="85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</row>
    <row r="160" spans="1:69" ht="15" customHeight="1" x14ac:dyDescent="0.25">
      <c r="A160" s="518" t="s">
        <v>219</v>
      </c>
      <c r="B160" s="174" t="s">
        <v>21</v>
      </c>
      <c r="C160" s="170">
        <v>19.05</v>
      </c>
      <c r="D160" s="170">
        <v>19.02</v>
      </c>
      <c r="E160" s="170">
        <v>19.05</v>
      </c>
      <c r="F160" s="167">
        <f>AVERAGE(C160:E160)</f>
        <v>19.040000000000003</v>
      </c>
      <c r="G160" s="181">
        <v>6.72</v>
      </c>
      <c r="H160" s="181">
        <v>6.66</v>
      </c>
      <c r="I160" s="181">
        <v>6.66</v>
      </c>
      <c r="J160" s="175">
        <f>AVERAGE(G160:I160)</f>
        <v>6.68</v>
      </c>
      <c r="K160" s="236">
        <f>PI()*((F160/2)^2)*J160</f>
        <v>1901.9549761971216</v>
      </c>
      <c r="L160" s="518" t="s">
        <v>219</v>
      </c>
      <c r="M160" s="141" t="s">
        <v>21</v>
      </c>
      <c r="N160" s="181">
        <v>18.41</v>
      </c>
      <c r="O160" s="181">
        <v>18.3</v>
      </c>
      <c r="P160" s="181">
        <v>18.559999999999999</v>
      </c>
      <c r="Q160" s="167">
        <f>AVERAGE(N160:P160)</f>
        <v>18.423333333333332</v>
      </c>
      <c r="R160" s="228">
        <v>6.34</v>
      </c>
      <c r="S160" s="181">
        <v>6.4</v>
      </c>
      <c r="T160" s="181">
        <v>6.39</v>
      </c>
      <c r="U160" s="167">
        <f>AVERAGE(R160:T160)</f>
        <v>6.376666666666666</v>
      </c>
      <c r="V160" s="239">
        <f>PI()*((Q160/2)^2)*U160</f>
        <v>1699.8868582649238</v>
      </c>
      <c r="W160" s="23">
        <f>((F160-Q160)/F160)*100</f>
        <v>3.2387955182073034</v>
      </c>
      <c r="X160" s="23">
        <f>((J160-U160)/J160)*100</f>
        <v>4.5409181636726599</v>
      </c>
      <c r="Y160" s="23">
        <f>((K160-V160)/K160)*100</f>
        <v>10.624232458763268</v>
      </c>
      <c r="AC160" s="66"/>
      <c r="AD160" s="91"/>
      <c r="AE160" s="92"/>
      <c r="AF160" s="92"/>
      <c r="AG160" s="92"/>
      <c r="AH160" s="92"/>
      <c r="AI160" s="92"/>
      <c r="AJ160" s="92"/>
      <c r="AK160" s="92"/>
      <c r="AL160" s="92"/>
      <c r="AM160" s="92"/>
      <c r="AO160" s="66"/>
      <c r="AP160" s="91"/>
      <c r="AQ160" s="92"/>
      <c r="AR160" s="92"/>
      <c r="AS160" s="92"/>
      <c r="AT160" s="92"/>
      <c r="AU160" s="92"/>
      <c r="AV160" s="92"/>
      <c r="AW160" s="92"/>
      <c r="AX160" s="92"/>
      <c r="AY160" s="92"/>
      <c r="AZ160" s="92"/>
    </row>
    <row r="161" spans="1:52" x14ac:dyDescent="0.25">
      <c r="A161" s="519"/>
      <c r="B161" s="183" t="s">
        <v>22</v>
      </c>
      <c r="C161" s="187">
        <v>18.989999999999998</v>
      </c>
      <c r="D161" s="187">
        <v>19.059999999999999</v>
      </c>
      <c r="E161" s="187">
        <v>18.940000000000001</v>
      </c>
      <c r="F161" s="168">
        <f t="shared" ref="F161:F173" si="198">AVERAGE(C161:E161)</f>
        <v>18.996666666666666</v>
      </c>
      <c r="G161" s="173">
        <v>6.64</v>
      </c>
      <c r="H161" s="173">
        <v>6.51</v>
      </c>
      <c r="I161" s="173">
        <v>6.64</v>
      </c>
      <c r="J161" s="168">
        <f t="shared" ref="J161:J173" si="199">AVERAGE(G161:I161)</f>
        <v>6.5966666666666667</v>
      </c>
      <c r="K161" s="237">
        <f t="shared" ref="K161:K173" si="200">PI()*((F161/2)^2)*J161</f>
        <v>1869.6883646355391</v>
      </c>
      <c r="L161" s="519"/>
      <c r="M161" s="139" t="s">
        <v>22</v>
      </c>
      <c r="N161" s="173">
        <v>18.16</v>
      </c>
      <c r="O161" s="173">
        <v>18.39</v>
      </c>
      <c r="P161" s="173">
        <v>18.350000000000001</v>
      </c>
      <c r="Q161" s="168">
        <f t="shared" ref="Q161:Q173" si="201">AVERAGE(N161:P161)</f>
        <v>18.3</v>
      </c>
      <c r="R161" s="189">
        <v>6.26</v>
      </c>
      <c r="S161" s="173">
        <v>6.35</v>
      </c>
      <c r="T161" s="173">
        <v>6.26</v>
      </c>
      <c r="U161" s="168">
        <f t="shared" ref="U161:U173" si="202">AVERAGE(R161:T161)</f>
        <v>6.2899999999999991</v>
      </c>
      <c r="V161" s="240">
        <f t="shared" ref="V161:V166" si="203">PI()*((Q161/2)^2)*U161</f>
        <v>1654.4083230136782</v>
      </c>
      <c r="W161" s="27">
        <f>((F161-Q161)/F161)*100</f>
        <v>3.6673100543955015</v>
      </c>
      <c r="X161" s="27">
        <f>((J161-U161)/J161)*100</f>
        <v>4.64881253158162</v>
      </c>
      <c r="Y161" s="27">
        <f>((K161-V161)/K161)*100</f>
        <v>11.514220535026205</v>
      </c>
      <c r="AC161" s="66"/>
      <c r="AD161" s="91"/>
      <c r="AE161" s="92"/>
      <c r="AF161" s="92"/>
      <c r="AG161" s="92"/>
      <c r="AH161" s="92"/>
      <c r="AI161" s="92"/>
      <c r="AJ161" s="92"/>
      <c r="AK161" s="92"/>
      <c r="AL161" s="92"/>
      <c r="AM161" s="92"/>
      <c r="AO161" s="66"/>
      <c r="AP161" s="91"/>
      <c r="AQ161" s="92"/>
      <c r="AR161" s="92"/>
      <c r="AS161" s="92"/>
      <c r="AT161" s="92"/>
      <c r="AU161" s="92"/>
      <c r="AV161" s="92"/>
      <c r="AW161" s="92"/>
      <c r="AX161" s="92"/>
      <c r="AY161" s="92"/>
      <c r="AZ161" s="92"/>
    </row>
    <row r="162" spans="1:52" x14ac:dyDescent="0.25">
      <c r="A162" s="519"/>
      <c r="B162" s="183" t="s">
        <v>23</v>
      </c>
      <c r="C162" s="187">
        <v>18.88</v>
      </c>
      <c r="D162" s="187">
        <v>19.010000000000002</v>
      </c>
      <c r="E162" s="187">
        <v>18.86</v>
      </c>
      <c r="F162" s="168">
        <f t="shared" si="198"/>
        <v>18.916666666666668</v>
      </c>
      <c r="G162" s="173">
        <v>6.77</v>
      </c>
      <c r="H162" s="173">
        <v>6.63</v>
      </c>
      <c r="I162" s="173">
        <v>6.63</v>
      </c>
      <c r="J162" s="168">
        <f t="shared" si="199"/>
        <v>6.6766666666666659</v>
      </c>
      <c r="K162" s="237">
        <f t="shared" si="200"/>
        <v>1876.4577840115589</v>
      </c>
      <c r="L162" s="519"/>
      <c r="M162" s="139" t="s">
        <v>23</v>
      </c>
      <c r="N162" s="173">
        <v>18.28</v>
      </c>
      <c r="O162" s="173">
        <v>18.13</v>
      </c>
      <c r="P162" s="173">
        <v>18.34</v>
      </c>
      <c r="Q162" s="168">
        <f t="shared" si="201"/>
        <v>18.25</v>
      </c>
      <c r="R162" s="189">
        <v>6.36</v>
      </c>
      <c r="S162" s="173">
        <v>6.36</v>
      </c>
      <c r="T162" s="173">
        <v>6.45</v>
      </c>
      <c r="U162" s="168">
        <f t="shared" si="202"/>
        <v>6.3900000000000006</v>
      </c>
      <c r="V162" s="240">
        <f t="shared" si="203"/>
        <v>1671.5388583400354</v>
      </c>
      <c r="W162" s="27">
        <f t="shared" ref="W162:W166" si="204">((F162-Q162)/F162)*100</f>
        <v>3.5242290748898739</v>
      </c>
      <c r="X162" s="27">
        <f t="shared" ref="X162:X166" si="205">((J162-U162)/J162)*100</f>
        <v>4.2935596605092163</v>
      </c>
      <c r="Y162" s="27">
        <f t="shared" ref="Y162:Y165" si="206">((K162-V162)/K162)*100</f>
        <v>10.920518831680855</v>
      </c>
      <c r="AC162" s="66"/>
      <c r="AD162" s="91"/>
      <c r="AE162" s="92"/>
      <c r="AF162" s="92"/>
      <c r="AG162" s="92"/>
      <c r="AH162" s="92"/>
      <c r="AI162" s="92"/>
      <c r="AJ162" s="92"/>
      <c r="AK162" s="92"/>
      <c r="AL162" s="92"/>
      <c r="AM162" s="92"/>
      <c r="AO162" s="66"/>
      <c r="AP162" s="91"/>
      <c r="AQ162" s="92"/>
      <c r="AR162" s="92"/>
      <c r="AS162" s="92"/>
      <c r="AT162" s="92"/>
      <c r="AU162" s="92"/>
      <c r="AV162" s="92"/>
      <c r="AW162" s="92"/>
      <c r="AX162" s="92"/>
      <c r="AY162" s="92"/>
      <c r="AZ162" s="92"/>
    </row>
    <row r="163" spans="1:52" x14ac:dyDescent="0.25">
      <c r="A163" s="519"/>
      <c r="B163" s="183" t="s">
        <v>24</v>
      </c>
      <c r="C163" s="187">
        <v>18.989999999999998</v>
      </c>
      <c r="D163" s="187">
        <v>18.940000000000001</v>
      </c>
      <c r="E163" s="187">
        <v>19.12</v>
      </c>
      <c r="F163" s="168">
        <f t="shared" si="198"/>
        <v>19.016666666666666</v>
      </c>
      <c r="G163" s="173">
        <v>6.46</v>
      </c>
      <c r="H163" s="173">
        <v>6.4</v>
      </c>
      <c r="I163" s="173">
        <v>6.33</v>
      </c>
      <c r="J163" s="168">
        <f t="shared" si="199"/>
        <v>6.3966666666666656</v>
      </c>
      <c r="K163" s="237">
        <f t="shared" si="200"/>
        <v>1816.8220389525386</v>
      </c>
      <c r="L163" s="519"/>
      <c r="M163" s="139" t="s">
        <v>24</v>
      </c>
      <c r="N163" s="173">
        <v>18.18</v>
      </c>
      <c r="O163" s="173">
        <v>18.34</v>
      </c>
      <c r="P163" s="173">
        <v>18.11</v>
      </c>
      <c r="Q163" s="168">
        <f t="shared" si="201"/>
        <v>18.209999999999997</v>
      </c>
      <c r="R163" s="189">
        <v>6.11</v>
      </c>
      <c r="S163" s="173">
        <v>6.1</v>
      </c>
      <c r="T163" s="173">
        <v>6.15</v>
      </c>
      <c r="U163" s="168">
        <f t="shared" si="202"/>
        <v>6.12</v>
      </c>
      <c r="V163" s="240">
        <f t="shared" si="203"/>
        <v>1593.9004568241901</v>
      </c>
      <c r="W163" s="27">
        <f t="shared" si="204"/>
        <v>4.241893076248914</v>
      </c>
      <c r="X163" s="27">
        <f t="shared" si="205"/>
        <v>4.3251693590411495</v>
      </c>
      <c r="Y163" s="27">
        <f t="shared" si="206"/>
        <v>12.269863385016542</v>
      </c>
      <c r="AC163" s="66"/>
      <c r="AD163" s="91"/>
      <c r="AE163" s="92"/>
      <c r="AF163" s="92"/>
      <c r="AG163" s="92"/>
      <c r="AH163" s="92"/>
      <c r="AI163" s="92"/>
      <c r="AJ163" s="92"/>
      <c r="AK163" s="92"/>
      <c r="AL163" s="92"/>
      <c r="AM163" s="92"/>
      <c r="AO163" s="66"/>
      <c r="AP163" s="91"/>
      <c r="AQ163" s="92"/>
      <c r="AR163" s="92"/>
      <c r="AS163" s="92"/>
      <c r="AT163" s="92"/>
      <c r="AU163" s="92"/>
      <c r="AV163" s="92"/>
      <c r="AW163" s="92"/>
      <c r="AX163" s="92"/>
      <c r="AY163" s="92"/>
      <c r="AZ163" s="92"/>
    </row>
    <row r="164" spans="1:52" x14ac:dyDescent="0.25">
      <c r="A164" s="519"/>
      <c r="B164" s="183" t="s">
        <v>25</v>
      </c>
      <c r="C164" s="187">
        <v>19.059999999999999</v>
      </c>
      <c r="D164" s="187">
        <v>18.920000000000002</v>
      </c>
      <c r="E164" s="187">
        <v>19.04</v>
      </c>
      <c r="F164" s="168">
        <f t="shared" si="198"/>
        <v>19.006666666666668</v>
      </c>
      <c r="G164" s="173">
        <v>6.43</v>
      </c>
      <c r="H164" s="173">
        <v>6.64</v>
      </c>
      <c r="I164" s="173">
        <v>6.55</v>
      </c>
      <c r="J164" s="168">
        <f t="shared" si="199"/>
        <v>6.54</v>
      </c>
      <c r="K164" s="237">
        <f t="shared" si="200"/>
        <v>1855.5794158577551</v>
      </c>
      <c r="L164" s="519"/>
      <c r="M164" s="139" t="s">
        <v>25</v>
      </c>
      <c r="N164" s="173">
        <v>18.21</v>
      </c>
      <c r="O164" s="173">
        <v>18.440000000000001</v>
      </c>
      <c r="P164" s="173">
        <v>18.2</v>
      </c>
      <c r="Q164" s="168">
        <f t="shared" si="201"/>
        <v>18.283333333333335</v>
      </c>
      <c r="R164" s="189">
        <v>6.25</v>
      </c>
      <c r="S164" s="173">
        <v>6.25</v>
      </c>
      <c r="T164" s="173">
        <v>6.3</v>
      </c>
      <c r="U164" s="168">
        <f t="shared" si="202"/>
        <v>6.2666666666666666</v>
      </c>
      <c r="V164" s="240">
        <f t="shared" si="203"/>
        <v>1645.2701950203748</v>
      </c>
      <c r="W164" s="27">
        <f t="shared" si="204"/>
        <v>3.8056822167660438</v>
      </c>
      <c r="X164" s="27">
        <f t="shared" si="205"/>
        <v>4.1794087665647313</v>
      </c>
      <c r="Y164" s="27">
        <f t="shared" si="206"/>
        <v>11.33388412482272</v>
      </c>
      <c r="AC164" s="66"/>
      <c r="AD164" s="91"/>
      <c r="AE164" s="92"/>
      <c r="AF164" s="92"/>
      <c r="AG164" s="92"/>
      <c r="AH164" s="92"/>
      <c r="AI164" s="92"/>
      <c r="AJ164" s="92"/>
      <c r="AK164" s="92"/>
      <c r="AL164" s="92"/>
      <c r="AM164" s="92"/>
      <c r="AO164" s="66"/>
      <c r="AP164" s="91"/>
      <c r="AQ164" s="92"/>
      <c r="AR164" s="92"/>
      <c r="AS164" s="92"/>
      <c r="AT164" s="92"/>
      <c r="AU164" s="92"/>
      <c r="AV164" s="92"/>
      <c r="AW164" s="92"/>
      <c r="AX164" s="92"/>
      <c r="AY164" s="92"/>
      <c r="AZ164" s="92"/>
    </row>
    <row r="165" spans="1:52" x14ac:dyDescent="0.25">
      <c r="A165" s="519"/>
      <c r="B165" s="183" t="s">
        <v>26</v>
      </c>
      <c r="C165" s="187">
        <v>19.03</v>
      </c>
      <c r="D165" s="187">
        <v>18.89</v>
      </c>
      <c r="E165" s="187">
        <v>19.100000000000001</v>
      </c>
      <c r="F165" s="168">
        <f t="shared" si="198"/>
        <v>19.006666666666668</v>
      </c>
      <c r="G165" s="173">
        <v>6.47</v>
      </c>
      <c r="H165" s="173">
        <v>6.43</v>
      </c>
      <c r="I165" s="173">
        <v>6.45</v>
      </c>
      <c r="J165" s="168">
        <f t="shared" si="199"/>
        <v>6.4499999999999993</v>
      </c>
      <c r="K165" s="237">
        <f t="shared" si="200"/>
        <v>1830.0439193092536</v>
      </c>
      <c r="L165" s="519"/>
      <c r="M165" s="139" t="s">
        <v>26</v>
      </c>
      <c r="N165" s="173">
        <v>18.12</v>
      </c>
      <c r="O165" s="173">
        <v>18.29</v>
      </c>
      <c r="P165" s="173">
        <v>18.04</v>
      </c>
      <c r="Q165" s="168">
        <f t="shared" si="201"/>
        <v>18.149999999999999</v>
      </c>
      <c r="R165" s="189">
        <v>6.14</v>
      </c>
      <c r="S165" s="173">
        <v>6.15</v>
      </c>
      <c r="T165" s="173">
        <v>6.11</v>
      </c>
      <c r="U165" s="168">
        <f t="shared" si="202"/>
        <v>6.1333333333333329</v>
      </c>
      <c r="V165" s="240">
        <f t="shared" si="203"/>
        <v>1586.8640024216813</v>
      </c>
      <c r="W165" s="27">
        <f t="shared" si="204"/>
        <v>4.5071904594879113</v>
      </c>
      <c r="X165" s="27">
        <f t="shared" si="205"/>
        <v>4.9095607235142085</v>
      </c>
      <c r="Y165" s="27">
        <f t="shared" si="206"/>
        <v>13.288201136689661</v>
      </c>
      <c r="AC165" s="66"/>
      <c r="AD165" s="91"/>
      <c r="AE165" s="92"/>
      <c r="AF165" s="92"/>
      <c r="AG165" s="92"/>
      <c r="AH165" s="92"/>
      <c r="AI165" s="92"/>
      <c r="AJ165" s="92"/>
      <c r="AK165" s="92"/>
      <c r="AL165" s="92"/>
      <c r="AM165" s="92"/>
      <c r="AO165" s="66"/>
      <c r="AP165" s="91"/>
      <c r="AQ165" s="92"/>
      <c r="AR165" s="92"/>
      <c r="AS165" s="92"/>
      <c r="AT165" s="92"/>
      <c r="AU165" s="92"/>
      <c r="AV165" s="92"/>
      <c r="AW165" s="92"/>
      <c r="AX165" s="92"/>
      <c r="AY165" s="92"/>
      <c r="AZ165" s="92"/>
    </row>
    <row r="166" spans="1:52" ht="15.75" thickBot="1" x14ac:dyDescent="0.3">
      <c r="A166" s="520"/>
      <c r="B166" s="184" t="s">
        <v>27</v>
      </c>
      <c r="C166" s="188">
        <v>19.100000000000001</v>
      </c>
      <c r="D166" s="188">
        <v>18.96</v>
      </c>
      <c r="E166" s="188">
        <v>19.079999999999998</v>
      </c>
      <c r="F166" s="169">
        <f t="shared" si="198"/>
        <v>19.046666666666667</v>
      </c>
      <c r="G166" s="179">
        <v>6.6</v>
      </c>
      <c r="H166" s="179">
        <v>6.61</v>
      </c>
      <c r="I166" s="179">
        <v>6.62</v>
      </c>
      <c r="J166" s="180">
        <f t="shared" si="199"/>
        <v>6.61</v>
      </c>
      <c r="K166" s="238">
        <f t="shared" si="200"/>
        <v>1883.3424852062883</v>
      </c>
      <c r="L166" s="520"/>
      <c r="M166" s="140" t="s">
        <v>27</v>
      </c>
      <c r="N166" s="179">
        <v>18.440000000000001</v>
      </c>
      <c r="O166" s="179">
        <v>18.45</v>
      </c>
      <c r="P166" s="179">
        <v>18.399999999999999</v>
      </c>
      <c r="Q166" s="169">
        <f t="shared" si="201"/>
        <v>18.43</v>
      </c>
      <c r="R166" s="190">
        <v>6.3</v>
      </c>
      <c r="S166" s="179">
        <v>6.41</v>
      </c>
      <c r="T166" s="179">
        <v>6.29</v>
      </c>
      <c r="U166" s="169">
        <f t="shared" si="202"/>
        <v>6.333333333333333</v>
      </c>
      <c r="V166" s="241">
        <f t="shared" si="203"/>
        <v>1689.5571946603268</v>
      </c>
      <c r="W166" s="27">
        <f t="shared" si="204"/>
        <v>3.237661883094157</v>
      </c>
      <c r="X166" s="27">
        <f t="shared" si="205"/>
        <v>4.1855774079677346</v>
      </c>
      <c r="Y166" s="61">
        <f>((K166-V166)/K166)*100</f>
        <v>10.289434453273943</v>
      </c>
      <c r="AC166" s="66"/>
      <c r="AD166" s="91"/>
      <c r="AE166" s="92"/>
      <c r="AF166" s="92"/>
      <c r="AG166" s="92"/>
      <c r="AH166" s="92"/>
      <c r="AI166" s="92"/>
      <c r="AJ166" s="92"/>
      <c r="AK166" s="92"/>
      <c r="AL166" s="92"/>
      <c r="AM166" s="92"/>
      <c r="AO166" s="66"/>
      <c r="AP166" s="91"/>
      <c r="AQ166" s="92"/>
      <c r="AR166" s="92"/>
      <c r="AS166" s="92"/>
      <c r="AT166" s="92"/>
      <c r="AU166" s="92"/>
      <c r="AV166" s="92"/>
      <c r="AW166" s="92"/>
      <c r="AX166" s="92"/>
      <c r="AY166" s="92"/>
      <c r="AZ166" s="92"/>
    </row>
    <row r="167" spans="1:52" ht="15" customHeight="1" x14ac:dyDescent="0.25">
      <c r="A167" s="521" t="s">
        <v>220</v>
      </c>
      <c r="B167" s="144" t="s">
        <v>21</v>
      </c>
      <c r="C167" s="170">
        <v>18.78</v>
      </c>
      <c r="D167" s="170">
        <v>18.89</v>
      </c>
      <c r="E167" s="170">
        <v>18.829999999999998</v>
      </c>
      <c r="F167" s="167">
        <f t="shared" si="198"/>
        <v>18.833333333333332</v>
      </c>
      <c r="G167" s="173">
        <v>6.62</v>
      </c>
      <c r="H167" s="173">
        <v>6.6</v>
      </c>
      <c r="I167" s="173">
        <v>6.66</v>
      </c>
      <c r="J167" s="175">
        <f t="shared" si="199"/>
        <v>6.626666666666666</v>
      </c>
      <c r="K167" s="236">
        <f>PI()*((F167/2)^2)*J167</f>
        <v>1846.0327136169412</v>
      </c>
      <c r="L167" s="521" t="s">
        <v>220</v>
      </c>
      <c r="M167" s="137" t="s">
        <v>21</v>
      </c>
      <c r="N167" s="173">
        <v>17.850000000000001</v>
      </c>
      <c r="O167" s="173">
        <v>17.77</v>
      </c>
      <c r="P167" s="173">
        <v>17.7</v>
      </c>
      <c r="Q167" s="167">
        <f t="shared" si="201"/>
        <v>17.773333333333337</v>
      </c>
      <c r="R167" s="189">
        <v>6.43</v>
      </c>
      <c r="S167" s="173">
        <v>6.36</v>
      </c>
      <c r="T167" s="173">
        <v>6.47</v>
      </c>
      <c r="U167" s="167">
        <f t="shared" si="202"/>
        <v>6.419999999999999</v>
      </c>
      <c r="V167" s="239">
        <f>PI()*((Q167/2)^2)*U167</f>
        <v>1592.8052609732351</v>
      </c>
      <c r="W167" s="23">
        <f>((F167-Q167)/F167)*100</f>
        <v>5.6283185840707715</v>
      </c>
      <c r="X167" s="23">
        <f>((J167-U167)/J167)*100</f>
        <v>3.1187122736418562</v>
      </c>
      <c r="Y167" s="23">
        <f>((K167-V167)/K167)*100</f>
        <v>13.717387063393707</v>
      </c>
      <c r="AC167" s="70"/>
      <c r="AD167" s="99"/>
      <c r="AE167" s="92"/>
      <c r="AF167" s="92"/>
      <c r="AG167" s="92"/>
      <c r="AH167" s="92"/>
      <c r="AI167" s="92"/>
      <c r="AJ167" s="92"/>
      <c r="AK167" s="92"/>
      <c r="AL167" s="92"/>
      <c r="AM167" s="92"/>
      <c r="AO167" s="70"/>
      <c r="AP167" s="99"/>
      <c r="AQ167" s="92"/>
      <c r="AR167" s="92"/>
      <c r="AS167" s="92"/>
      <c r="AT167" s="92"/>
      <c r="AU167" s="92"/>
      <c r="AV167" s="92"/>
      <c r="AW167" s="92"/>
      <c r="AX167" s="92"/>
      <c r="AY167" s="92"/>
      <c r="AZ167" s="92"/>
    </row>
    <row r="168" spans="1:52" x14ac:dyDescent="0.25">
      <c r="A168" s="521"/>
      <c r="B168" s="166" t="s">
        <v>22</v>
      </c>
      <c r="C168" s="187">
        <v>19.149999999999999</v>
      </c>
      <c r="D168" s="187">
        <v>18.79</v>
      </c>
      <c r="E168" s="187">
        <v>18.260000000000002</v>
      </c>
      <c r="F168" s="168">
        <f t="shared" si="198"/>
        <v>18.733333333333334</v>
      </c>
      <c r="G168" s="173">
        <v>6.48</v>
      </c>
      <c r="H168" s="173">
        <v>6.51</v>
      </c>
      <c r="I168" s="173">
        <v>6.49</v>
      </c>
      <c r="J168" s="168">
        <f t="shared" si="199"/>
        <v>6.4933333333333332</v>
      </c>
      <c r="K168" s="237">
        <f t="shared" si="200"/>
        <v>1789.7307539598592</v>
      </c>
      <c r="L168" s="521"/>
      <c r="M168" s="137" t="s">
        <v>22</v>
      </c>
      <c r="N168" s="173">
        <v>18</v>
      </c>
      <c r="O168" s="173">
        <v>17.600000000000001</v>
      </c>
      <c r="P168" s="173">
        <v>17.95</v>
      </c>
      <c r="Q168" s="168">
        <f t="shared" si="201"/>
        <v>17.849999999999998</v>
      </c>
      <c r="R168" s="189">
        <v>6.33</v>
      </c>
      <c r="S168" s="173">
        <v>6.32</v>
      </c>
      <c r="T168" s="173">
        <v>6.28</v>
      </c>
      <c r="U168" s="168">
        <f t="shared" si="202"/>
        <v>6.31</v>
      </c>
      <c r="V168" s="240">
        <f t="shared" ref="V168:V173" si="207">PI()*((Q168/2)^2)*U168</f>
        <v>1579.0492710609224</v>
      </c>
      <c r="W168" s="27">
        <f>((F168-Q168)/F168)*100</f>
        <v>4.7153024911032189</v>
      </c>
      <c r="X168" s="27">
        <f>((J168-U168)/J168)*100</f>
        <v>2.823408624229983</v>
      </c>
      <c r="Y168" s="27">
        <f>((K168-V168)/K168)*100</f>
        <v>11.771685904865556</v>
      </c>
      <c r="AC168" s="66"/>
      <c r="AD168" s="99"/>
      <c r="AE168" s="92"/>
      <c r="AF168" s="92"/>
      <c r="AG168" s="92"/>
      <c r="AH168" s="92"/>
      <c r="AI168" s="92"/>
      <c r="AJ168" s="92"/>
      <c r="AK168" s="92"/>
      <c r="AL168" s="92"/>
      <c r="AM168" s="92"/>
      <c r="AO168" s="66"/>
      <c r="AP168" s="99"/>
      <c r="AQ168" s="92"/>
      <c r="AR168" s="92"/>
      <c r="AS168" s="92"/>
      <c r="AT168" s="92"/>
      <c r="AU168" s="92"/>
      <c r="AV168" s="92"/>
      <c r="AW168" s="92"/>
      <c r="AX168" s="92"/>
      <c r="AY168" s="92"/>
      <c r="AZ168" s="92"/>
    </row>
    <row r="169" spans="1:52" x14ac:dyDescent="0.25">
      <c r="A169" s="521"/>
      <c r="B169" s="166" t="s">
        <v>23</v>
      </c>
      <c r="C169" s="187">
        <v>18.91</v>
      </c>
      <c r="D169" s="187">
        <v>18.809999999999999</v>
      </c>
      <c r="E169" s="187">
        <v>18.899999999999999</v>
      </c>
      <c r="F169" s="168">
        <f t="shared" si="198"/>
        <v>18.873333333333331</v>
      </c>
      <c r="G169" s="173">
        <v>6.45</v>
      </c>
      <c r="H169" s="173">
        <v>6.39</v>
      </c>
      <c r="I169" s="173">
        <v>6.51</v>
      </c>
      <c r="J169" s="168">
        <f t="shared" si="199"/>
        <v>6.45</v>
      </c>
      <c r="K169" s="237">
        <f t="shared" si="200"/>
        <v>1804.4581604198872</v>
      </c>
      <c r="L169" s="521"/>
      <c r="M169" s="137" t="s">
        <v>23</v>
      </c>
      <c r="N169" s="173">
        <v>17.82</v>
      </c>
      <c r="O169" s="173">
        <v>17.7</v>
      </c>
      <c r="P169" s="173">
        <v>17.77</v>
      </c>
      <c r="Q169" s="168">
        <f t="shared" si="201"/>
        <v>17.763333333333332</v>
      </c>
      <c r="R169" s="189">
        <v>6.25</v>
      </c>
      <c r="S169" s="173">
        <v>6.26</v>
      </c>
      <c r="T169" s="173">
        <v>6.33</v>
      </c>
      <c r="U169" s="168">
        <f t="shared" si="202"/>
        <v>6.28</v>
      </c>
      <c r="V169" s="240">
        <f t="shared" si="207"/>
        <v>1556.3184146860194</v>
      </c>
      <c r="W169" s="27">
        <f t="shared" ref="W169:W173" si="208">((F169-Q169)/F169)*100</f>
        <v>5.8813140233133145</v>
      </c>
      <c r="X169" s="27">
        <f t="shared" ref="X169:X173" si="209">((J169-U169)/J169)*100</f>
        <v>2.6356589147286811</v>
      </c>
      <c r="Y169" s="27">
        <f t="shared" ref="Y169:Y172" si="210">((K169-V169)/K169)*100</f>
        <v>13.751482366104131</v>
      </c>
      <c r="AC169" s="66"/>
      <c r="AD169" s="99"/>
      <c r="AE169" s="92"/>
      <c r="AF169" s="92"/>
      <c r="AG169" s="92"/>
      <c r="AH169" s="92"/>
      <c r="AI169" s="92"/>
      <c r="AJ169" s="92"/>
      <c r="AK169" s="92"/>
      <c r="AL169" s="92"/>
      <c r="AM169" s="92"/>
      <c r="AO169" s="66"/>
      <c r="AP169" s="99"/>
      <c r="AQ169" s="92"/>
      <c r="AR169" s="92"/>
      <c r="AS169" s="92"/>
      <c r="AT169" s="92"/>
      <c r="AU169" s="92"/>
      <c r="AV169" s="92"/>
      <c r="AW169" s="92"/>
      <c r="AX169" s="92"/>
      <c r="AY169" s="92"/>
      <c r="AZ169" s="92"/>
    </row>
    <row r="170" spans="1:52" x14ac:dyDescent="0.25">
      <c r="A170" s="521"/>
      <c r="B170" s="166" t="s">
        <v>24</v>
      </c>
      <c r="C170" s="187">
        <v>19.27</v>
      </c>
      <c r="D170" s="187">
        <v>19.29</v>
      </c>
      <c r="E170" s="187">
        <v>19.260000000000002</v>
      </c>
      <c r="F170" s="168">
        <f t="shared" si="198"/>
        <v>19.273333333333337</v>
      </c>
      <c r="G170" s="173">
        <v>6.19</v>
      </c>
      <c r="H170" s="173">
        <v>6.17</v>
      </c>
      <c r="I170" s="173">
        <v>6.18</v>
      </c>
      <c r="J170" s="168">
        <f t="shared" si="199"/>
        <v>6.18</v>
      </c>
      <c r="K170" s="237">
        <f t="shared" si="200"/>
        <v>1802.9846183768702</v>
      </c>
      <c r="L170" s="521"/>
      <c r="M170" s="137" t="s">
        <v>24</v>
      </c>
      <c r="N170" s="173">
        <v>18.29</v>
      </c>
      <c r="O170" s="173">
        <v>18.2</v>
      </c>
      <c r="P170" s="173">
        <v>18.25</v>
      </c>
      <c r="Q170" s="168">
        <f t="shared" si="201"/>
        <v>18.246666666666666</v>
      </c>
      <c r="R170" s="189">
        <v>6.02</v>
      </c>
      <c r="S170" s="173">
        <v>5.96</v>
      </c>
      <c r="T170" s="173">
        <v>6.01</v>
      </c>
      <c r="U170" s="168">
        <f t="shared" si="202"/>
        <v>5.996666666666667</v>
      </c>
      <c r="V170" s="240">
        <f t="shared" si="207"/>
        <v>1568.0751293874844</v>
      </c>
      <c r="W170" s="27">
        <f t="shared" si="208"/>
        <v>5.3268765133172122</v>
      </c>
      <c r="X170" s="27">
        <f t="shared" si="209"/>
        <v>2.9665587918015</v>
      </c>
      <c r="Y170" s="27">
        <f t="shared" si="210"/>
        <v>13.028923630023101</v>
      </c>
      <c r="AC170" s="66"/>
      <c r="AD170" s="99"/>
      <c r="AE170" s="92"/>
      <c r="AF170" s="92"/>
      <c r="AG170" s="92"/>
      <c r="AH170" s="92"/>
      <c r="AI170" s="92"/>
      <c r="AJ170" s="92"/>
      <c r="AK170" s="92"/>
      <c r="AL170" s="92"/>
      <c r="AM170" s="92"/>
      <c r="AO170" s="66"/>
      <c r="AP170" s="99"/>
      <c r="AQ170" s="92"/>
      <c r="AR170" s="92"/>
      <c r="AS170" s="92"/>
      <c r="AT170" s="92"/>
      <c r="AU170" s="92"/>
      <c r="AV170" s="92"/>
      <c r="AW170" s="92"/>
      <c r="AX170" s="92"/>
      <c r="AY170" s="92"/>
      <c r="AZ170" s="92"/>
    </row>
    <row r="171" spans="1:52" x14ac:dyDescent="0.25">
      <c r="A171" s="521"/>
      <c r="B171" s="166" t="s">
        <v>25</v>
      </c>
      <c r="C171" s="187">
        <v>18.79</v>
      </c>
      <c r="D171" s="187">
        <v>18.86</v>
      </c>
      <c r="E171" s="187">
        <v>18.829999999999998</v>
      </c>
      <c r="F171" s="168">
        <f t="shared" si="198"/>
        <v>18.826666666666664</v>
      </c>
      <c r="G171" s="173">
        <v>6.46</v>
      </c>
      <c r="H171" s="173">
        <v>6.48</v>
      </c>
      <c r="I171" s="173">
        <v>6.52</v>
      </c>
      <c r="J171" s="168">
        <f t="shared" si="199"/>
        <v>6.4866666666666672</v>
      </c>
      <c r="K171" s="237">
        <f t="shared" si="200"/>
        <v>1805.7529342053872</v>
      </c>
      <c r="L171" s="521"/>
      <c r="M171" s="137" t="s">
        <v>25</v>
      </c>
      <c r="N171" s="173">
        <v>17.809999999999999</v>
      </c>
      <c r="O171" s="173">
        <v>17.829999999999998</v>
      </c>
      <c r="P171" s="173">
        <v>17.87</v>
      </c>
      <c r="Q171" s="168">
        <f t="shared" si="201"/>
        <v>17.83666666666667</v>
      </c>
      <c r="R171" s="189">
        <v>6.4</v>
      </c>
      <c r="S171" s="173">
        <v>6.32</v>
      </c>
      <c r="T171" s="173">
        <v>6.28</v>
      </c>
      <c r="U171" s="168">
        <f t="shared" si="202"/>
        <v>6.333333333333333</v>
      </c>
      <c r="V171" s="240">
        <f t="shared" si="207"/>
        <v>1582.5215039785544</v>
      </c>
      <c r="W171" s="27">
        <f t="shared" si="208"/>
        <v>5.2584985835693789</v>
      </c>
      <c r="X171" s="27">
        <f t="shared" si="209"/>
        <v>2.3638232271325927</v>
      </c>
      <c r="Y171" s="27">
        <f t="shared" si="210"/>
        <v>12.36223549735306</v>
      </c>
      <c r="AC171" s="66"/>
      <c r="AD171" s="99"/>
      <c r="AE171" s="92"/>
      <c r="AF171" s="92"/>
      <c r="AG171" s="92"/>
      <c r="AH171" s="92"/>
      <c r="AI171" s="92"/>
      <c r="AJ171" s="92"/>
      <c r="AK171" s="92"/>
      <c r="AL171" s="92"/>
      <c r="AM171" s="92"/>
      <c r="AO171" s="66"/>
      <c r="AP171" s="99"/>
      <c r="AQ171" s="92"/>
      <c r="AR171" s="92"/>
      <c r="AS171" s="92"/>
      <c r="AT171" s="92"/>
      <c r="AU171" s="92"/>
      <c r="AV171" s="92"/>
      <c r="AW171" s="92"/>
      <c r="AX171" s="92"/>
      <c r="AY171" s="92"/>
      <c r="AZ171" s="92"/>
    </row>
    <row r="172" spans="1:52" x14ac:dyDescent="0.25">
      <c r="A172" s="521"/>
      <c r="B172" s="166" t="s">
        <v>26</v>
      </c>
      <c r="C172" s="187">
        <v>18.87</v>
      </c>
      <c r="D172" s="187">
        <v>18.87</v>
      </c>
      <c r="E172" s="187">
        <v>18.87</v>
      </c>
      <c r="F172" s="168">
        <f t="shared" si="198"/>
        <v>18.87</v>
      </c>
      <c r="G172" s="173">
        <v>6.48</v>
      </c>
      <c r="H172" s="173">
        <v>6.54</v>
      </c>
      <c r="I172" s="173">
        <v>6.53</v>
      </c>
      <c r="J172" s="168">
        <f t="shared" si="199"/>
        <v>6.5166666666666666</v>
      </c>
      <c r="K172" s="237">
        <f t="shared" si="200"/>
        <v>1822.4649670951405</v>
      </c>
      <c r="L172" s="521"/>
      <c r="M172" s="137" t="s">
        <v>26</v>
      </c>
      <c r="N172" s="173">
        <v>17.78</v>
      </c>
      <c r="O172" s="173">
        <v>17.82</v>
      </c>
      <c r="P172" s="173">
        <v>17.87</v>
      </c>
      <c r="Q172" s="168">
        <f t="shared" si="201"/>
        <v>17.823333333333334</v>
      </c>
      <c r="R172" s="189">
        <v>6.29</v>
      </c>
      <c r="S172" s="173">
        <v>6.37</v>
      </c>
      <c r="T172" s="173">
        <v>6.31</v>
      </c>
      <c r="U172" s="168">
        <f t="shared" si="202"/>
        <v>6.3233333333333333</v>
      </c>
      <c r="V172" s="240">
        <f t="shared" si="207"/>
        <v>1577.6614593580525</v>
      </c>
      <c r="W172" s="27">
        <f t="shared" si="208"/>
        <v>5.5467231937820181</v>
      </c>
      <c r="X172" s="27">
        <f t="shared" si="209"/>
        <v>2.9667519181585682</v>
      </c>
      <c r="Y172" s="27">
        <f t="shared" si="210"/>
        <v>13.432549440293752</v>
      </c>
      <c r="AC172" s="66"/>
      <c r="AD172" s="99"/>
      <c r="AE172" s="92"/>
      <c r="AF172" s="92"/>
      <c r="AG172" s="92"/>
      <c r="AH172" s="92"/>
      <c r="AI172" s="92"/>
      <c r="AJ172" s="92"/>
      <c r="AK172" s="92"/>
      <c r="AL172" s="92"/>
      <c r="AM172" s="92"/>
      <c r="AO172" s="66"/>
      <c r="AP172" s="99"/>
      <c r="AQ172" s="92"/>
      <c r="AR172" s="92"/>
      <c r="AS172" s="92"/>
      <c r="AT172" s="92"/>
      <c r="AU172" s="92"/>
      <c r="AV172" s="92"/>
      <c r="AW172" s="92"/>
      <c r="AX172" s="92"/>
      <c r="AY172" s="92"/>
      <c r="AZ172" s="92"/>
    </row>
    <row r="173" spans="1:52" ht="15.75" thickBot="1" x14ac:dyDescent="0.3">
      <c r="A173" s="522"/>
      <c r="B173" s="185" t="s">
        <v>27</v>
      </c>
      <c r="C173" s="188">
        <v>18.89</v>
      </c>
      <c r="D173" s="188">
        <v>18.91</v>
      </c>
      <c r="E173" s="188">
        <v>18.79</v>
      </c>
      <c r="F173" s="169">
        <f t="shared" si="198"/>
        <v>18.863333333333333</v>
      </c>
      <c r="G173" s="179">
        <v>6.61</v>
      </c>
      <c r="H173" s="179">
        <v>6.56</v>
      </c>
      <c r="I173" s="179">
        <v>6.51</v>
      </c>
      <c r="J173" s="180">
        <f t="shared" si="199"/>
        <v>6.56</v>
      </c>
      <c r="K173" s="238">
        <f t="shared" si="200"/>
        <v>1833.2875924310677</v>
      </c>
      <c r="L173" s="522"/>
      <c r="M173" s="138" t="s">
        <v>27</v>
      </c>
      <c r="N173" s="179">
        <v>17.77</v>
      </c>
      <c r="O173" s="179">
        <v>17.84</v>
      </c>
      <c r="P173" s="179">
        <v>17.62</v>
      </c>
      <c r="Q173" s="169">
        <f t="shared" si="201"/>
        <v>17.743333333333336</v>
      </c>
      <c r="R173" s="190">
        <v>6.38</v>
      </c>
      <c r="S173" s="179">
        <v>6.45</v>
      </c>
      <c r="T173" s="179">
        <v>6.46</v>
      </c>
      <c r="U173" s="169">
        <f t="shared" si="202"/>
        <v>6.43</v>
      </c>
      <c r="V173" s="241">
        <f t="shared" si="207"/>
        <v>1589.9053736444996</v>
      </c>
      <c r="W173" s="27">
        <f t="shared" si="208"/>
        <v>5.9374447782293549</v>
      </c>
      <c r="X173" s="27">
        <f t="shared" si="209"/>
        <v>1.9817073170731694</v>
      </c>
      <c r="Y173" s="61">
        <f>((K173-V173)/K173)*100</f>
        <v>13.275724975797507</v>
      </c>
      <c r="AC173" s="66"/>
      <c r="AD173" s="99"/>
      <c r="AE173" s="92"/>
      <c r="AF173" s="92"/>
      <c r="AG173" s="92"/>
      <c r="AH173" s="92"/>
      <c r="AI173" s="92"/>
      <c r="AJ173" s="92"/>
      <c r="AK173" s="92"/>
      <c r="AL173" s="92"/>
      <c r="AM173" s="92"/>
      <c r="AO173" s="66"/>
      <c r="AP173" s="99"/>
      <c r="AQ173" s="92"/>
      <c r="AR173" s="92"/>
      <c r="AS173" s="92"/>
      <c r="AT173" s="92"/>
      <c r="AU173" s="92"/>
      <c r="AV173" s="92"/>
      <c r="AW173" s="92"/>
      <c r="AX173" s="92"/>
      <c r="AY173" s="92"/>
      <c r="AZ173" s="92"/>
    </row>
    <row r="174" spans="1:52" ht="16.5" thickBot="1" x14ac:dyDescent="0.3">
      <c r="A174" s="72" t="s">
        <v>221</v>
      </c>
      <c r="B174" s="182" t="s">
        <v>4</v>
      </c>
      <c r="C174" s="182"/>
      <c r="D174" s="182"/>
      <c r="E174" s="182"/>
      <c r="F174" s="182"/>
      <c r="G174" s="73"/>
      <c r="H174" s="73"/>
      <c r="I174" s="73"/>
      <c r="J174" s="74"/>
      <c r="K174" s="204"/>
      <c r="L174" s="72" t="s">
        <v>218</v>
      </c>
      <c r="M174" s="76" t="s">
        <v>200</v>
      </c>
      <c r="N174" s="73"/>
      <c r="O174" s="73"/>
      <c r="P174" s="73"/>
      <c r="Q174" s="73"/>
      <c r="R174" s="73"/>
      <c r="S174" s="73"/>
      <c r="T174" s="73"/>
      <c r="U174" s="74"/>
      <c r="V174" s="204"/>
      <c r="W174" s="204"/>
      <c r="X174" s="204"/>
      <c r="Y174" s="24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 ht="15.75" thickBot="1" x14ac:dyDescent="0.3">
      <c r="A175" s="77" t="s">
        <v>12</v>
      </c>
      <c r="B175" s="78" t="s">
        <v>6</v>
      </c>
      <c r="C175" s="79" t="s">
        <v>13</v>
      </c>
      <c r="D175" s="79" t="s">
        <v>14</v>
      </c>
      <c r="E175" s="79" t="s">
        <v>15</v>
      </c>
      <c r="F175" s="80" t="s">
        <v>16</v>
      </c>
      <c r="G175" s="81" t="s">
        <v>17</v>
      </c>
      <c r="H175" s="82" t="s">
        <v>18</v>
      </c>
      <c r="I175" s="82" t="s">
        <v>19</v>
      </c>
      <c r="J175" s="83" t="s">
        <v>16</v>
      </c>
      <c r="K175" s="201" t="s">
        <v>183</v>
      </c>
      <c r="L175" s="77" t="s">
        <v>12</v>
      </c>
      <c r="M175" s="78" t="s">
        <v>6</v>
      </c>
      <c r="N175" s="79" t="s">
        <v>13</v>
      </c>
      <c r="O175" s="79" t="s">
        <v>14</v>
      </c>
      <c r="P175" s="79" t="s">
        <v>15</v>
      </c>
      <c r="Q175" s="80" t="s">
        <v>16</v>
      </c>
      <c r="R175" s="81" t="s">
        <v>17</v>
      </c>
      <c r="S175" s="82" t="s">
        <v>18</v>
      </c>
      <c r="T175" s="82" t="s">
        <v>19</v>
      </c>
      <c r="U175" s="83" t="s">
        <v>16</v>
      </c>
      <c r="V175" s="84" t="s">
        <v>183</v>
      </c>
      <c r="W175" s="201" t="s">
        <v>184</v>
      </c>
      <c r="X175" s="201" t="s">
        <v>185</v>
      </c>
      <c r="Y175" s="194" t="s">
        <v>186</v>
      </c>
      <c r="AC175" s="85"/>
      <c r="AD175" s="85"/>
      <c r="AE175" s="86"/>
      <c r="AF175" s="86"/>
      <c r="AG175" s="86"/>
      <c r="AH175" s="86"/>
      <c r="AI175" s="86"/>
      <c r="AJ175" s="86"/>
      <c r="AK175" s="86"/>
      <c r="AL175" s="86"/>
      <c r="AM175" s="86"/>
      <c r="AO175" s="85"/>
      <c r="AP175" s="85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</row>
    <row r="176" spans="1:52" ht="15" customHeight="1" x14ac:dyDescent="0.25">
      <c r="A176" s="518" t="s">
        <v>222</v>
      </c>
      <c r="B176" s="174" t="s">
        <v>21</v>
      </c>
      <c r="C176" s="170">
        <v>19.09</v>
      </c>
      <c r="D176" s="170">
        <v>18.96</v>
      </c>
      <c r="E176" s="170">
        <v>19.09</v>
      </c>
      <c r="F176" s="167">
        <f>AVERAGE(C176:E176)</f>
        <v>19.046666666666667</v>
      </c>
      <c r="G176" s="181">
        <v>6.53</v>
      </c>
      <c r="H176" s="181">
        <v>6.34</v>
      </c>
      <c r="I176" s="181">
        <v>6.37</v>
      </c>
      <c r="J176" s="175">
        <f>AVERAGE(G176:I176)</f>
        <v>6.413333333333334</v>
      </c>
      <c r="K176" s="236">
        <f>PI()*((F176/2)^2)*J176</f>
        <v>1827.3075852430152</v>
      </c>
      <c r="L176" s="518" t="s">
        <v>219</v>
      </c>
      <c r="M176" s="141" t="s">
        <v>21</v>
      </c>
      <c r="N176" s="181">
        <v>17.96</v>
      </c>
      <c r="O176" s="181">
        <v>18.18</v>
      </c>
      <c r="P176" s="181">
        <v>18.13</v>
      </c>
      <c r="Q176" s="167">
        <f>AVERAGE(N176:P176)</f>
        <v>18.09</v>
      </c>
      <c r="R176" s="228">
        <v>6.05</v>
      </c>
      <c r="S176" s="181">
        <v>6.08</v>
      </c>
      <c r="T176" s="181">
        <v>6.1</v>
      </c>
      <c r="U176" s="167">
        <f>AVERAGE(R176:T176)</f>
        <v>6.0766666666666653</v>
      </c>
      <c r="V176" s="239">
        <f>PI()*((Q176/2)^2)*U176</f>
        <v>1561.8252113066667</v>
      </c>
      <c r="W176" s="23">
        <f>((F176-Q176)/F176)*100</f>
        <v>5.0227511375568792</v>
      </c>
      <c r="X176" s="23">
        <f>((J176-U176)/J176)*100</f>
        <v>5.2494802494802801</v>
      </c>
      <c r="Y176" s="23">
        <f>((K176-V176)/K176)*100</f>
        <v>14.5286089807941</v>
      </c>
      <c r="AC176" s="66"/>
      <c r="AD176" s="91"/>
      <c r="AE176" s="92"/>
      <c r="AF176" s="92"/>
      <c r="AG176" s="92"/>
      <c r="AH176" s="92"/>
      <c r="AI176" s="92"/>
      <c r="AJ176" s="92"/>
      <c r="AK176" s="92"/>
      <c r="AL176" s="92"/>
      <c r="AM176" s="92"/>
      <c r="AO176" s="66"/>
      <c r="AP176" s="91"/>
      <c r="AQ176" s="92"/>
      <c r="AR176" s="92"/>
      <c r="AS176" s="92"/>
      <c r="AT176" s="92"/>
      <c r="AU176" s="92"/>
      <c r="AV176" s="92"/>
      <c r="AW176" s="92"/>
      <c r="AX176" s="92"/>
      <c r="AY176" s="92"/>
      <c r="AZ176" s="92"/>
    </row>
    <row r="177" spans="1:52" x14ac:dyDescent="0.25">
      <c r="A177" s="519"/>
      <c r="B177" s="183" t="s">
        <v>22</v>
      </c>
      <c r="C177" s="187">
        <v>19.010000000000002</v>
      </c>
      <c r="D177" s="187">
        <v>19.04</v>
      </c>
      <c r="E177" s="187">
        <v>18.97</v>
      </c>
      <c r="F177" s="168">
        <f t="shared" ref="F177:F189" si="211">AVERAGE(C177:E177)</f>
        <v>19.006666666666664</v>
      </c>
      <c r="G177" s="173">
        <v>6.5</v>
      </c>
      <c r="H177" s="173">
        <v>6.5</v>
      </c>
      <c r="I177" s="173">
        <v>6.52</v>
      </c>
      <c r="J177" s="168">
        <f t="shared" ref="J177:J189" si="212">AVERAGE(G177:I177)</f>
        <v>6.5066666666666668</v>
      </c>
      <c r="K177" s="237">
        <f t="shared" ref="K177:K189" si="213">PI()*((F177/2)^2)*J177</f>
        <v>1846.1218245434945</v>
      </c>
      <c r="L177" s="519"/>
      <c r="M177" s="139" t="s">
        <v>22</v>
      </c>
      <c r="N177" s="173">
        <v>18.09</v>
      </c>
      <c r="O177" s="173">
        <v>18.100000000000001</v>
      </c>
      <c r="P177" s="173">
        <v>18.059999999999999</v>
      </c>
      <c r="Q177" s="168">
        <f t="shared" ref="Q177:Q189" si="214">AVERAGE(N177:P177)</f>
        <v>18.083333333333332</v>
      </c>
      <c r="R177" s="189">
        <v>6.19</v>
      </c>
      <c r="S177" s="173">
        <v>6.33</v>
      </c>
      <c r="T177" s="173">
        <v>6.22</v>
      </c>
      <c r="U177" s="168">
        <f t="shared" ref="U177:U189" si="215">AVERAGE(R177:T177)</f>
        <v>6.2466666666666661</v>
      </c>
      <c r="V177" s="240">
        <f t="shared" ref="V177:V182" si="216">PI()*((Q177/2)^2)*U177</f>
        <v>1604.3354827268711</v>
      </c>
      <c r="W177" s="27">
        <f>((F177-Q177)/F177)*100</f>
        <v>4.8579445808488186</v>
      </c>
      <c r="X177" s="27">
        <f>((J177-U177)/J177)*100</f>
        <v>3.9959016393442721</v>
      </c>
      <c r="Y177" s="27">
        <f>((K177-V177)/K177)*100</f>
        <v>13.09698734948935</v>
      </c>
      <c r="AC177" s="66"/>
      <c r="AD177" s="91"/>
      <c r="AE177" s="92"/>
      <c r="AF177" s="92"/>
      <c r="AG177" s="92"/>
      <c r="AH177" s="92"/>
      <c r="AI177" s="92"/>
      <c r="AJ177" s="92"/>
      <c r="AK177" s="92"/>
      <c r="AL177" s="92"/>
      <c r="AM177" s="92"/>
      <c r="AO177" s="66"/>
      <c r="AP177" s="91"/>
      <c r="AQ177" s="92"/>
      <c r="AR177" s="92"/>
      <c r="AS177" s="92"/>
      <c r="AT177" s="92"/>
      <c r="AU177" s="92"/>
      <c r="AV177" s="92"/>
      <c r="AW177" s="92"/>
      <c r="AX177" s="92"/>
      <c r="AY177" s="92"/>
      <c r="AZ177" s="92"/>
    </row>
    <row r="178" spans="1:52" x14ac:dyDescent="0.25">
      <c r="A178" s="519"/>
      <c r="B178" s="183" t="s">
        <v>23</v>
      </c>
      <c r="C178" s="187">
        <v>19.13</v>
      </c>
      <c r="D178" s="187">
        <v>18.98</v>
      </c>
      <c r="E178" s="187">
        <v>19.149999999999999</v>
      </c>
      <c r="F178" s="168">
        <f t="shared" si="211"/>
        <v>19.086666666666666</v>
      </c>
      <c r="G178" s="173">
        <v>6.42</v>
      </c>
      <c r="H178" s="173">
        <v>6.43</v>
      </c>
      <c r="I178" s="173">
        <v>6.39</v>
      </c>
      <c r="J178" s="168">
        <f t="shared" si="212"/>
        <v>6.4133333333333331</v>
      </c>
      <c r="K178" s="237">
        <f t="shared" si="213"/>
        <v>1834.9907200871698</v>
      </c>
      <c r="L178" s="519"/>
      <c r="M178" s="139" t="s">
        <v>23</v>
      </c>
      <c r="N178" s="173">
        <v>17.95</v>
      </c>
      <c r="O178" s="173">
        <v>17.96</v>
      </c>
      <c r="P178" s="173">
        <v>18</v>
      </c>
      <c r="Q178" s="168">
        <f t="shared" si="214"/>
        <v>17.97</v>
      </c>
      <c r="R178" s="189">
        <v>6.01</v>
      </c>
      <c r="S178" s="173">
        <v>6.04</v>
      </c>
      <c r="T178" s="173">
        <v>6.09</v>
      </c>
      <c r="U178" s="168">
        <f t="shared" si="215"/>
        <v>6.0466666666666669</v>
      </c>
      <c r="V178" s="240">
        <f t="shared" si="216"/>
        <v>1533.5645598457631</v>
      </c>
      <c r="W178" s="27">
        <f t="shared" ref="W178:W182" si="217">((F178-Q178)/F178)*100</f>
        <v>5.8505064617534082</v>
      </c>
      <c r="X178" s="27">
        <f t="shared" ref="X178:X182" si="218">((J178-U178)/J178)*100</f>
        <v>5.7172557172557115</v>
      </c>
      <c r="Y178" s="27">
        <f t="shared" ref="Y178:Y181" si="219">((K178-V178)/K178)*100</f>
        <v>16.426576818169831</v>
      </c>
      <c r="AC178" s="66"/>
      <c r="AD178" s="91"/>
      <c r="AE178" s="92"/>
      <c r="AF178" s="92"/>
      <c r="AG178" s="92"/>
      <c r="AH178" s="92"/>
      <c r="AI178" s="92"/>
      <c r="AJ178" s="92"/>
      <c r="AK178" s="92"/>
      <c r="AL178" s="92"/>
      <c r="AM178" s="92"/>
      <c r="AO178" s="66"/>
      <c r="AP178" s="91"/>
      <c r="AQ178" s="92"/>
      <c r="AR178" s="92"/>
      <c r="AS178" s="92"/>
      <c r="AT178" s="92"/>
      <c r="AU178" s="92"/>
      <c r="AV178" s="92"/>
      <c r="AW178" s="92"/>
      <c r="AX178" s="92"/>
      <c r="AY178" s="92"/>
      <c r="AZ178" s="92"/>
    </row>
    <row r="179" spans="1:52" x14ac:dyDescent="0.25">
      <c r="A179" s="519"/>
      <c r="B179" s="183" t="s">
        <v>24</v>
      </c>
      <c r="C179" s="187">
        <v>19.09</v>
      </c>
      <c r="D179" s="187">
        <v>19</v>
      </c>
      <c r="E179" s="187">
        <v>19.010000000000002</v>
      </c>
      <c r="F179" s="168">
        <f t="shared" si="211"/>
        <v>19.033333333333335</v>
      </c>
      <c r="G179" s="173">
        <v>6.36</v>
      </c>
      <c r="H179" s="173">
        <v>6.35</v>
      </c>
      <c r="I179" s="173">
        <v>6.29</v>
      </c>
      <c r="J179" s="168">
        <f t="shared" si="212"/>
        <v>6.333333333333333</v>
      </c>
      <c r="K179" s="237">
        <f t="shared" si="213"/>
        <v>1801.9881663900303</v>
      </c>
      <c r="L179" s="519"/>
      <c r="M179" s="139" t="s">
        <v>24</v>
      </c>
      <c r="N179" s="173">
        <v>17.91</v>
      </c>
      <c r="O179" s="173">
        <v>17.93</v>
      </c>
      <c r="P179" s="173">
        <v>18.02</v>
      </c>
      <c r="Q179" s="168">
        <f t="shared" si="214"/>
        <v>17.953333333333333</v>
      </c>
      <c r="R179" s="189">
        <v>5.97</v>
      </c>
      <c r="S179" s="173">
        <v>5.93</v>
      </c>
      <c r="T179" s="173">
        <v>5.93</v>
      </c>
      <c r="U179" s="168">
        <f t="shared" si="215"/>
        <v>5.9433333333333325</v>
      </c>
      <c r="V179" s="240">
        <f t="shared" si="216"/>
        <v>1504.5622413948217</v>
      </c>
      <c r="W179" s="27">
        <f t="shared" si="217"/>
        <v>5.6742556917688356</v>
      </c>
      <c r="X179" s="27">
        <f t="shared" si="218"/>
        <v>6.1578947368421142</v>
      </c>
      <c r="Y179" s="27">
        <f t="shared" si="219"/>
        <v>16.505431641709926</v>
      </c>
      <c r="AC179" s="66"/>
      <c r="AD179" s="91"/>
      <c r="AE179" s="92"/>
      <c r="AF179" s="92"/>
      <c r="AG179" s="92"/>
      <c r="AH179" s="92"/>
      <c r="AI179" s="92"/>
      <c r="AJ179" s="92"/>
      <c r="AK179" s="92"/>
      <c r="AL179" s="92"/>
      <c r="AM179" s="92"/>
      <c r="AO179" s="66"/>
      <c r="AP179" s="91"/>
      <c r="AQ179" s="92"/>
      <c r="AR179" s="92"/>
      <c r="AS179" s="92"/>
      <c r="AT179" s="92"/>
      <c r="AU179" s="92"/>
      <c r="AV179" s="92"/>
      <c r="AW179" s="92"/>
      <c r="AX179" s="92"/>
      <c r="AY179" s="92"/>
      <c r="AZ179" s="92"/>
    </row>
    <row r="180" spans="1:52" x14ac:dyDescent="0.25">
      <c r="A180" s="519"/>
      <c r="B180" s="183" t="s">
        <v>25</v>
      </c>
      <c r="C180" s="187">
        <v>19</v>
      </c>
      <c r="D180" s="187">
        <v>19.100000000000001</v>
      </c>
      <c r="E180" s="187">
        <v>19.010000000000002</v>
      </c>
      <c r="F180" s="168">
        <f t="shared" si="211"/>
        <v>19.036666666666665</v>
      </c>
      <c r="G180" s="173">
        <v>6.45</v>
      </c>
      <c r="H180" s="173">
        <v>6.41</v>
      </c>
      <c r="I180" s="173">
        <v>6.43</v>
      </c>
      <c r="J180" s="168">
        <f t="shared" si="212"/>
        <v>6.43</v>
      </c>
      <c r="K180" s="237">
        <f t="shared" si="213"/>
        <v>1830.1330552812808</v>
      </c>
      <c r="L180" s="519"/>
      <c r="M180" s="139" t="s">
        <v>25</v>
      </c>
      <c r="N180" s="173">
        <v>18.02</v>
      </c>
      <c r="O180" s="173">
        <v>18.02</v>
      </c>
      <c r="P180" s="173">
        <v>18.149999999999999</v>
      </c>
      <c r="Q180" s="168">
        <f t="shared" si="214"/>
        <v>18.063333333333333</v>
      </c>
      <c r="R180" s="189">
        <v>6.03</v>
      </c>
      <c r="S180" s="173">
        <v>6.07</v>
      </c>
      <c r="T180" s="173">
        <v>6.01</v>
      </c>
      <c r="U180" s="168">
        <f t="shared" si="215"/>
        <v>6.0366666666666662</v>
      </c>
      <c r="V180" s="240">
        <f t="shared" si="216"/>
        <v>1546.9734834150445</v>
      </c>
      <c r="W180" s="27">
        <f t="shared" si="217"/>
        <v>5.1129399404657647</v>
      </c>
      <c r="X180" s="27">
        <f t="shared" si="218"/>
        <v>6.117159149818562</v>
      </c>
      <c r="Y180" s="27">
        <f t="shared" si="219"/>
        <v>15.472075707780512</v>
      </c>
      <c r="AC180" s="66"/>
      <c r="AD180" s="91"/>
      <c r="AE180" s="92"/>
      <c r="AF180" s="92"/>
      <c r="AG180" s="92"/>
      <c r="AH180" s="92"/>
      <c r="AI180" s="92"/>
      <c r="AJ180" s="92"/>
      <c r="AK180" s="92"/>
      <c r="AL180" s="92"/>
      <c r="AM180" s="92"/>
      <c r="AO180" s="66"/>
      <c r="AP180" s="91"/>
      <c r="AQ180" s="92"/>
      <c r="AR180" s="92"/>
      <c r="AS180" s="92"/>
      <c r="AT180" s="92"/>
      <c r="AU180" s="92"/>
      <c r="AV180" s="92"/>
      <c r="AW180" s="92"/>
      <c r="AX180" s="92"/>
      <c r="AY180" s="92"/>
      <c r="AZ180" s="92"/>
    </row>
    <row r="181" spans="1:52" x14ac:dyDescent="0.25">
      <c r="A181" s="519"/>
      <c r="B181" s="183" t="s">
        <v>26</v>
      </c>
      <c r="C181" s="187">
        <v>18.96</v>
      </c>
      <c r="D181" s="187">
        <v>19.13</v>
      </c>
      <c r="E181" s="187">
        <v>19.05</v>
      </c>
      <c r="F181" s="168">
        <f t="shared" si="211"/>
        <v>19.046666666666667</v>
      </c>
      <c r="G181" s="173">
        <v>6.37</v>
      </c>
      <c r="H181" s="173">
        <v>6.33</v>
      </c>
      <c r="I181" s="173">
        <v>6.39</v>
      </c>
      <c r="J181" s="168">
        <f t="shared" si="212"/>
        <v>6.3633333333333333</v>
      </c>
      <c r="K181" s="237">
        <f t="shared" si="213"/>
        <v>1813.0614242354031</v>
      </c>
      <c r="L181" s="519"/>
      <c r="M181" s="139" t="s">
        <v>26</v>
      </c>
      <c r="N181" s="173">
        <v>18.18</v>
      </c>
      <c r="O181" s="173">
        <v>18.3</v>
      </c>
      <c r="P181" s="173">
        <v>18.239999999999998</v>
      </c>
      <c r="Q181" s="168">
        <f t="shared" si="214"/>
        <v>18.239999999999998</v>
      </c>
      <c r="R181" s="189">
        <v>6.17</v>
      </c>
      <c r="S181" s="173">
        <v>6.02</v>
      </c>
      <c r="T181" s="173">
        <v>6.08</v>
      </c>
      <c r="U181" s="168">
        <f t="shared" si="215"/>
        <v>6.09</v>
      </c>
      <c r="V181" s="240">
        <f t="shared" si="216"/>
        <v>1591.3175116010398</v>
      </c>
      <c r="W181" s="27">
        <f t="shared" si="217"/>
        <v>4.2352117605880384</v>
      </c>
      <c r="X181" s="27">
        <f t="shared" si="218"/>
        <v>4.2954426401257217</v>
      </c>
      <c r="Y181" s="27">
        <f t="shared" si="219"/>
        <v>12.230358534481329</v>
      </c>
      <c r="AC181" s="66"/>
      <c r="AD181" s="91"/>
      <c r="AE181" s="92"/>
      <c r="AF181" s="92"/>
      <c r="AG181" s="92"/>
      <c r="AH181" s="92"/>
      <c r="AI181" s="92"/>
      <c r="AJ181" s="92"/>
      <c r="AK181" s="92"/>
      <c r="AL181" s="92"/>
      <c r="AM181" s="92"/>
      <c r="AO181" s="66"/>
      <c r="AP181" s="91"/>
      <c r="AQ181" s="92"/>
      <c r="AR181" s="92"/>
      <c r="AS181" s="92"/>
      <c r="AT181" s="92"/>
      <c r="AU181" s="92"/>
      <c r="AV181" s="92"/>
      <c r="AW181" s="92"/>
      <c r="AX181" s="92"/>
      <c r="AY181" s="92"/>
      <c r="AZ181" s="92"/>
    </row>
    <row r="182" spans="1:52" ht="15.75" thickBot="1" x14ac:dyDescent="0.3">
      <c r="A182" s="520"/>
      <c r="B182" s="184" t="s">
        <v>27</v>
      </c>
      <c r="C182" s="188">
        <v>18.82</v>
      </c>
      <c r="D182" s="188">
        <v>19.010000000000002</v>
      </c>
      <c r="E182" s="188">
        <v>18.93</v>
      </c>
      <c r="F182" s="169">
        <f t="shared" si="211"/>
        <v>18.919999999999998</v>
      </c>
      <c r="G182" s="179">
        <v>6.73</v>
      </c>
      <c r="H182" s="179">
        <v>6.61</v>
      </c>
      <c r="I182" s="179">
        <v>6.57</v>
      </c>
      <c r="J182" s="180">
        <f t="shared" si="212"/>
        <v>6.6366666666666667</v>
      </c>
      <c r="K182" s="238">
        <f t="shared" si="213"/>
        <v>1865.8733028597687</v>
      </c>
      <c r="L182" s="520"/>
      <c r="M182" s="140" t="s">
        <v>27</v>
      </c>
      <c r="N182" s="179">
        <v>18.13</v>
      </c>
      <c r="O182" s="179">
        <v>18.059999999999999</v>
      </c>
      <c r="P182" s="179">
        <v>17.96</v>
      </c>
      <c r="Q182" s="169">
        <f t="shared" si="214"/>
        <v>18.05</v>
      </c>
      <c r="R182" s="190">
        <v>6.32</v>
      </c>
      <c r="S182" s="179">
        <v>6.26</v>
      </c>
      <c r="T182" s="179">
        <v>6.28</v>
      </c>
      <c r="U182" s="169">
        <f t="shared" si="215"/>
        <v>6.2866666666666662</v>
      </c>
      <c r="V182" s="241">
        <f t="shared" si="216"/>
        <v>1608.6617205191346</v>
      </c>
      <c r="W182" s="27">
        <f t="shared" si="217"/>
        <v>4.598308668076097</v>
      </c>
      <c r="X182" s="27">
        <f t="shared" si="218"/>
        <v>5.2737317930688175</v>
      </c>
      <c r="Y182" s="61">
        <f>((K182-V182)/K182)*100</f>
        <v>13.785050782730721</v>
      </c>
      <c r="AC182" s="66"/>
      <c r="AD182" s="91"/>
      <c r="AE182" s="92"/>
      <c r="AF182" s="92"/>
      <c r="AG182" s="92"/>
      <c r="AH182" s="92"/>
      <c r="AI182" s="92"/>
      <c r="AJ182" s="92"/>
      <c r="AK182" s="92"/>
      <c r="AL182" s="92"/>
      <c r="AM182" s="92"/>
      <c r="AO182" s="66"/>
      <c r="AP182" s="91"/>
      <c r="AQ182" s="92"/>
      <c r="AR182" s="92"/>
      <c r="AS182" s="92"/>
      <c r="AT182" s="92"/>
      <c r="AU182" s="92"/>
      <c r="AV182" s="92"/>
      <c r="AW182" s="92"/>
      <c r="AX182" s="92"/>
      <c r="AY182" s="92"/>
      <c r="AZ182" s="92"/>
    </row>
    <row r="183" spans="1:52" ht="15" customHeight="1" x14ac:dyDescent="0.25">
      <c r="A183" s="521" t="s">
        <v>223</v>
      </c>
      <c r="B183" s="144" t="s">
        <v>21</v>
      </c>
      <c r="C183" s="170">
        <v>19</v>
      </c>
      <c r="D183" s="170">
        <v>18.760000000000002</v>
      </c>
      <c r="E183" s="170">
        <v>19.02</v>
      </c>
      <c r="F183" s="167">
        <f t="shared" si="211"/>
        <v>18.926666666666666</v>
      </c>
      <c r="G183" s="173">
        <v>6.59</v>
      </c>
      <c r="H183" s="173">
        <v>6.56</v>
      </c>
      <c r="I183" s="173">
        <v>6.61</v>
      </c>
      <c r="J183" s="175">
        <f t="shared" si="212"/>
        <v>6.586666666666666</v>
      </c>
      <c r="K183" s="236">
        <f>PI()*((F183/2)^2)*J183</f>
        <v>1853.1212399176832</v>
      </c>
      <c r="L183" s="521" t="s">
        <v>220</v>
      </c>
      <c r="M183" s="137" t="s">
        <v>21</v>
      </c>
      <c r="N183" s="173">
        <v>17.579999999999998</v>
      </c>
      <c r="O183" s="173">
        <v>17.54</v>
      </c>
      <c r="P183" s="173">
        <v>17.64</v>
      </c>
      <c r="Q183" s="167">
        <f t="shared" si="214"/>
        <v>17.586666666666666</v>
      </c>
      <c r="R183" s="189">
        <v>6.35</v>
      </c>
      <c r="S183" s="173">
        <v>6.26</v>
      </c>
      <c r="T183" s="173">
        <v>6.47</v>
      </c>
      <c r="U183" s="167">
        <f t="shared" si="215"/>
        <v>6.3599999999999994</v>
      </c>
      <c r="V183" s="239">
        <f>PI()*((Q183/2)^2)*U183</f>
        <v>1544.9486931195074</v>
      </c>
      <c r="W183" s="23">
        <f>((F183-Q183)/F183)*100</f>
        <v>7.0799577315956324</v>
      </c>
      <c r="X183" s="23">
        <f>((J183-U183)/J183)*100</f>
        <v>3.4412955465587034</v>
      </c>
      <c r="Y183" s="23">
        <f>((K183-V183)/K183)*100</f>
        <v>16.629918224447362</v>
      </c>
      <c r="AC183" s="70"/>
      <c r="AD183" s="99"/>
      <c r="AE183" s="92"/>
      <c r="AF183" s="92"/>
      <c r="AG183" s="92"/>
      <c r="AH183" s="92"/>
      <c r="AI183" s="92"/>
      <c r="AJ183" s="92"/>
      <c r="AK183" s="92"/>
      <c r="AL183" s="92"/>
      <c r="AM183" s="92"/>
      <c r="AO183" s="70"/>
      <c r="AP183" s="99"/>
      <c r="AQ183" s="92"/>
      <c r="AR183" s="92"/>
      <c r="AS183" s="92"/>
      <c r="AT183" s="92"/>
      <c r="AU183" s="92"/>
      <c r="AV183" s="92"/>
      <c r="AW183" s="92"/>
      <c r="AX183" s="92"/>
      <c r="AY183" s="92"/>
      <c r="AZ183" s="92"/>
    </row>
    <row r="184" spans="1:52" x14ac:dyDescent="0.25">
      <c r="A184" s="521"/>
      <c r="B184" s="166" t="s">
        <v>22</v>
      </c>
      <c r="C184" s="187">
        <v>18.940000000000001</v>
      </c>
      <c r="D184" s="187">
        <v>18.89</v>
      </c>
      <c r="E184" s="187">
        <v>18.87</v>
      </c>
      <c r="F184" s="168">
        <f t="shared" si="211"/>
        <v>18.900000000000002</v>
      </c>
      <c r="G184" s="173">
        <v>6.54</v>
      </c>
      <c r="H184" s="173">
        <v>6.47</v>
      </c>
      <c r="I184" s="173">
        <v>6.46</v>
      </c>
      <c r="J184" s="168">
        <f t="shared" si="212"/>
        <v>6.4899999999999993</v>
      </c>
      <c r="K184" s="237">
        <f t="shared" si="213"/>
        <v>1820.7829858773446</v>
      </c>
      <c r="L184" s="521"/>
      <c r="M184" s="137" t="s">
        <v>22</v>
      </c>
      <c r="N184" s="173">
        <v>17.64</v>
      </c>
      <c r="O184" s="173">
        <v>17.72</v>
      </c>
      <c r="P184" s="173">
        <v>17.68</v>
      </c>
      <c r="Q184" s="168">
        <f t="shared" si="214"/>
        <v>17.68</v>
      </c>
      <c r="R184" s="189">
        <v>6.25</v>
      </c>
      <c r="S184" s="173">
        <v>6.21</v>
      </c>
      <c r="T184" s="173">
        <v>6.25</v>
      </c>
      <c r="U184" s="168">
        <f t="shared" si="215"/>
        <v>6.2366666666666672</v>
      </c>
      <c r="V184" s="240">
        <f t="shared" ref="V184:V189" si="220">PI()*((Q184/2)^2)*U184</f>
        <v>1531.1119127015195</v>
      </c>
      <c r="W184" s="27">
        <f>((F184-Q184)/F184)*100</f>
        <v>6.4550264550264673</v>
      </c>
      <c r="X184" s="27">
        <f>((J184-U184)/J184)*100</f>
        <v>3.9034411915767659</v>
      </c>
      <c r="Y184" s="27">
        <f>((K184-V184)/K184)*100</f>
        <v>15.909148724621183</v>
      </c>
      <c r="AC184" s="66"/>
      <c r="AD184" s="99"/>
      <c r="AE184" s="92"/>
      <c r="AF184" s="92"/>
      <c r="AG184" s="92"/>
      <c r="AH184" s="92"/>
      <c r="AI184" s="92"/>
      <c r="AJ184" s="92"/>
      <c r="AK184" s="92"/>
      <c r="AL184" s="92"/>
      <c r="AM184" s="92"/>
      <c r="AO184" s="66"/>
      <c r="AP184" s="99"/>
      <c r="AQ184" s="92"/>
      <c r="AR184" s="92"/>
      <c r="AS184" s="92"/>
      <c r="AT184" s="92"/>
      <c r="AU184" s="92"/>
      <c r="AV184" s="92"/>
      <c r="AW184" s="92"/>
      <c r="AX184" s="92"/>
      <c r="AY184" s="92"/>
      <c r="AZ184" s="92"/>
    </row>
    <row r="185" spans="1:52" x14ac:dyDescent="0.25">
      <c r="A185" s="521"/>
      <c r="B185" s="166" t="s">
        <v>23</v>
      </c>
      <c r="C185" s="187">
        <v>19</v>
      </c>
      <c r="D185" s="187">
        <v>18.850000000000001</v>
      </c>
      <c r="E185" s="187">
        <v>18.93</v>
      </c>
      <c r="F185" s="168">
        <f t="shared" si="211"/>
        <v>18.926666666666666</v>
      </c>
      <c r="G185" s="173">
        <v>6.57</v>
      </c>
      <c r="H185" s="173">
        <v>6.69</v>
      </c>
      <c r="I185" s="173">
        <v>6.69</v>
      </c>
      <c r="J185" s="168">
        <f t="shared" si="212"/>
        <v>6.6500000000000012</v>
      </c>
      <c r="K185" s="237">
        <f t="shared" si="213"/>
        <v>1870.9397133784307</v>
      </c>
      <c r="L185" s="521"/>
      <c r="M185" s="137" t="s">
        <v>23</v>
      </c>
      <c r="N185" s="173">
        <v>17.78</v>
      </c>
      <c r="O185" s="173">
        <v>17.72</v>
      </c>
      <c r="P185" s="173">
        <v>17.75</v>
      </c>
      <c r="Q185" s="168">
        <f t="shared" si="214"/>
        <v>17.75</v>
      </c>
      <c r="R185" s="189">
        <v>6.46</v>
      </c>
      <c r="S185" s="173">
        <v>6.25</v>
      </c>
      <c r="T185" s="173">
        <v>6.4</v>
      </c>
      <c r="U185" s="168">
        <f t="shared" si="215"/>
        <v>6.37</v>
      </c>
      <c r="V185" s="240">
        <f t="shared" si="220"/>
        <v>1576.2533714089525</v>
      </c>
      <c r="W185" s="27">
        <f t="shared" ref="W185:W189" si="221">((F185-Q185)/F185)*100</f>
        <v>6.2169778090877026</v>
      </c>
      <c r="X185" s="27">
        <f t="shared" ref="X185:X189" si="222">((J185-U185)/J185)*100</f>
        <v>4.2105263157894903</v>
      </c>
      <c r="Y185" s="27">
        <f t="shared" ref="Y185:Y188" si="223">((K185-V185)/K185)*100</f>
        <v>15.750712856340588</v>
      </c>
      <c r="AC185" s="66"/>
      <c r="AD185" s="99"/>
      <c r="AE185" s="92"/>
      <c r="AF185" s="92"/>
      <c r="AG185" s="92"/>
      <c r="AH185" s="92"/>
      <c r="AI185" s="92"/>
      <c r="AJ185" s="92"/>
      <c r="AK185" s="92"/>
      <c r="AL185" s="92"/>
      <c r="AM185" s="92"/>
      <c r="AO185" s="66"/>
      <c r="AP185" s="99"/>
      <c r="AQ185" s="92"/>
      <c r="AR185" s="92"/>
      <c r="AS185" s="92"/>
      <c r="AT185" s="92"/>
      <c r="AU185" s="92"/>
      <c r="AV185" s="92"/>
      <c r="AW185" s="92"/>
      <c r="AX185" s="92"/>
      <c r="AY185" s="92"/>
      <c r="AZ185" s="92"/>
    </row>
    <row r="186" spans="1:52" x14ac:dyDescent="0.25">
      <c r="A186" s="521"/>
      <c r="B186" s="166" t="s">
        <v>24</v>
      </c>
      <c r="C186" s="187">
        <v>18.899999999999999</v>
      </c>
      <c r="D186" s="187">
        <v>18.86</v>
      </c>
      <c r="E186" s="187">
        <v>18.809999999999999</v>
      </c>
      <c r="F186" s="168">
        <f t="shared" si="211"/>
        <v>18.856666666666666</v>
      </c>
      <c r="G186" s="173">
        <v>6.5</v>
      </c>
      <c r="H186" s="173">
        <v>6.44</v>
      </c>
      <c r="I186" s="173">
        <v>6.43</v>
      </c>
      <c r="J186" s="168">
        <f t="shared" si="212"/>
        <v>6.456666666666667</v>
      </c>
      <c r="K186" s="237">
        <f t="shared" si="213"/>
        <v>1803.1343855744933</v>
      </c>
      <c r="L186" s="521"/>
      <c r="M186" s="137" t="s">
        <v>24</v>
      </c>
      <c r="N186" s="173">
        <v>17.670000000000002</v>
      </c>
      <c r="O186" s="173">
        <v>17.59</v>
      </c>
      <c r="P186" s="173">
        <v>17.670000000000002</v>
      </c>
      <c r="Q186" s="168">
        <f t="shared" si="214"/>
        <v>17.643333333333334</v>
      </c>
      <c r="R186" s="189">
        <v>6.17</v>
      </c>
      <c r="S186" s="173">
        <v>6.29</v>
      </c>
      <c r="T186" s="173">
        <v>6.11</v>
      </c>
      <c r="U186" s="168">
        <f t="shared" si="215"/>
        <v>6.19</v>
      </c>
      <c r="V186" s="240">
        <f t="shared" si="220"/>
        <v>1513.3584601148812</v>
      </c>
      <c r="W186" s="27">
        <f t="shared" si="221"/>
        <v>6.4345059218667027</v>
      </c>
      <c r="X186" s="27">
        <f t="shared" si="222"/>
        <v>4.130098089829632</v>
      </c>
      <c r="Y186" s="27">
        <f t="shared" si="223"/>
        <v>16.07067824660707</v>
      </c>
      <c r="AC186" s="66"/>
      <c r="AD186" s="99"/>
      <c r="AE186" s="92"/>
      <c r="AF186" s="92"/>
      <c r="AG186" s="92"/>
      <c r="AH186" s="92"/>
      <c r="AI186" s="92"/>
      <c r="AJ186" s="92"/>
      <c r="AK186" s="92"/>
      <c r="AL186" s="92"/>
      <c r="AM186" s="92"/>
      <c r="AO186" s="66"/>
      <c r="AP186" s="99"/>
      <c r="AQ186" s="92"/>
      <c r="AR186" s="92"/>
      <c r="AS186" s="92"/>
      <c r="AT186" s="92"/>
      <c r="AU186" s="92"/>
      <c r="AV186" s="92"/>
      <c r="AW186" s="92"/>
      <c r="AX186" s="92"/>
      <c r="AY186" s="92"/>
      <c r="AZ186" s="92"/>
    </row>
    <row r="187" spans="1:52" x14ac:dyDescent="0.25">
      <c r="A187" s="521"/>
      <c r="B187" s="166" t="s">
        <v>25</v>
      </c>
      <c r="C187" s="187">
        <v>18.850000000000001</v>
      </c>
      <c r="D187" s="187">
        <v>18.940000000000001</v>
      </c>
      <c r="E187" s="187">
        <v>18.88</v>
      </c>
      <c r="F187" s="168">
        <f t="shared" si="211"/>
        <v>18.89</v>
      </c>
      <c r="G187" s="173">
        <v>6.61</v>
      </c>
      <c r="H187" s="173">
        <v>6.6</v>
      </c>
      <c r="I187" s="173">
        <v>6.59</v>
      </c>
      <c r="J187" s="168">
        <f t="shared" si="212"/>
        <v>6.6000000000000005</v>
      </c>
      <c r="K187" s="237">
        <f t="shared" si="213"/>
        <v>1849.6848214762806</v>
      </c>
      <c r="L187" s="521"/>
      <c r="M187" s="137" t="s">
        <v>25</v>
      </c>
      <c r="N187" s="173">
        <v>17.649999999999999</v>
      </c>
      <c r="O187" s="173">
        <v>17.86</v>
      </c>
      <c r="P187" s="173">
        <v>17.82</v>
      </c>
      <c r="Q187" s="168">
        <f t="shared" si="214"/>
        <v>17.776666666666667</v>
      </c>
      <c r="R187" s="189">
        <v>6.31</v>
      </c>
      <c r="S187" s="173">
        <v>6.37</v>
      </c>
      <c r="T187" s="173">
        <v>6.26</v>
      </c>
      <c r="U187" s="168">
        <f t="shared" si="215"/>
        <v>6.3133333333333326</v>
      </c>
      <c r="V187" s="240">
        <f t="shared" si="220"/>
        <v>1566.9287867209764</v>
      </c>
      <c r="W187" s="27">
        <f t="shared" si="221"/>
        <v>5.8937709546497263</v>
      </c>
      <c r="X187" s="27">
        <f t="shared" si="222"/>
        <v>4.3434343434343621</v>
      </c>
      <c r="Y187" s="27">
        <f t="shared" si="223"/>
        <v>15.286714334911903</v>
      </c>
      <c r="AC187" s="66"/>
      <c r="AD187" s="99"/>
      <c r="AE187" s="92"/>
      <c r="AF187" s="92"/>
      <c r="AG187" s="92"/>
      <c r="AH187" s="92"/>
      <c r="AI187" s="92"/>
      <c r="AJ187" s="92"/>
      <c r="AK187" s="92"/>
      <c r="AL187" s="92"/>
      <c r="AM187" s="92"/>
      <c r="AO187" s="66"/>
      <c r="AP187" s="99"/>
      <c r="AQ187" s="92"/>
      <c r="AR187" s="92"/>
      <c r="AS187" s="92"/>
      <c r="AT187" s="92"/>
      <c r="AU187" s="92"/>
      <c r="AV187" s="92"/>
      <c r="AW187" s="92"/>
      <c r="AX187" s="92"/>
      <c r="AY187" s="92"/>
      <c r="AZ187" s="92"/>
    </row>
    <row r="188" spans="1:52" x14ac:dyDescent="0.25">
      <c r="A188" s="521"/>
      <c r="B188" s="166" t="s">
        <v>26</v>
      </c>
      <c r="C188" s="187">
        <v>18.850000000000001</v>
      </c>
      <c r="D188" s="187">
        <v>18.809999999999999</v>
      </c>
      <c r="E188" s="187">
        <v>18.75</v>
      </c>
      <c r="F188" s="168">
        <f t="shared" si="211"/>
        <v>18.803333333333331</v>
      </c>
      <c r="G188" s="173">
        <v>6.36</v>
      </c>
      <c r="H188" s="173">
        <v>6.38</v>
      </c>
      <c r="I188" s="173">
        <v>6.35</v>
      </c>
      <c r="J188" s="168">
        <f t="shared" si="212"/>
        <v>6.3633333333333333</v>
      </c>
      <c r="K188" s="237">
        <f t="shared" si="213"/>
        <v>1767.0313108934972</v>
      </c>
      <c r="L188" s="521"/>
      <c r="M188" s="137" t="s">
        <v>26</v>
      </c>
      <c r="N188" s="173">
        <v>17.72</v>
      </c>
      <c r="O188" s="173">
        <v>17.690000000000001</v>
      </c>
      <c r="P188" s="173">
        <v>17.649999999999999</v>
      </c>
      <c r="Q188" s="168">
        <f t="shared" si="214"/>
        <v>17.686666666666664</v>
      </c>
      <c r="R188" s="189">
        <v>6.12</v>
      </c>
      <c r="S188" s="173">
        <v>6.17</v>
      </c>
      <c r="T188" s="173">
        <v>6.11</v>
      </c>
      <c r="U188" s="168">
        <f t="shared" si="215"/>
        <v>6.1333333333333329</v>
      </c>
      <c r="V188" s="240">
        <f t="shared" si="220"/>
        <v>1506.8791767978853</v>
      </c>
      <c r="W188" s="27">
        <f t="shared" si="221"/>
        <v>5.9386633575607197</v>
      </c>
      <c r="X188" s="27">
        <f t="shared" si="222"/>
        <v>3.614457831325308</v>
      </c>
      <c r="Y188" s="27">
        <f t="shared" si="223"/>
        <v>14.722553725664675</v>
      </c>
      <c r="AC188" s="66"/>
      <c r="AD188" s="99"/>
      <c r="AE188" s="92"/>
      <c r="AF188" s="92"/>
      <c r="AG188" s="92"/>
      <c r="AH188" s="92"/>
      <c r="AI188" s="92"/>
      <c r="AJ188" s="92"/>
      <c r="AK188" s="92"/>
      <c r="AL188" s="92"/>
      <c r="AM188" s="92"/>
      <c r="AO188" s="66"/>
      <c r="AP188" s="99"/>
      <c r="AQ188" s="92"/>
      <c r="AR188" s="92"/>
      <c r="AS188" s="92"/>
      <c r="AT188" s="92"/>
      <c r="AU188" s="92"/>
      <c r="AV188" s="92"/>
      <c r="AW188" s="92"/>
      <c r="AX188" s="92"/>
      <c r="AY188" s="92"/>
      <c r="AZ188" s="92"/>
    </row>
    <row r="189" spans="1:52" ht="15.75" thickBot="1" x14ac:dyDescent="0.3">
      <c r="A189" s="522"/>
      <c r="B189" s="185" t="s">
        <v>27</v>
      </c>
      <c r="C189" s="188">
        <v>18.829999999999998</v>
      </c>
      <c r="D189" s="188">
        <v>18.97</v>
      </c>
      <c r="E189" s="188">
        <v>18.899999999999999</v>
      </c>
      <c r="F189" s="169">
        <f t="shared" si="211"/>
        <v>18.899999999999999</v>
      </c>
      <c r="G189" s="179">
        <v>6.52</v>
      </c>
      <c r="H189" s="179">
        <v>6.57</v>
      </c>
      <c r="I189" s="179">
        <v>6.55</v>
      </c>
      <c r="J189" s="180">
        <f t="shared" si="212"/>
        <v>6.5466666666666669</v>
      </c>
      <c r="K189" s="238">
        <f t="shared" si="213"/>
        <v>1836.6809369610189</v>
      </c>
      <c r="L189" s="522"/>
      <c r="M189" s="138" t="s">
        <v>27</v>
      </c>
      <c r="N189" s="179">
        <v>17.72</v>
      </c>
      <c r="O189" s="179">
        <v>17.89</v>
      </c>
      <c r="P189" s="179">
        <v>17.72</v>
      </c>
      <c r="Q189" s="169">
        <f t="shared" si="214"/>
        <v>17.776666666666667</v>
      </c>
      <c r="R189" s="190">
        <v>6.24</v>
      </c>
      <c r="S189" s="179">
        <v>6.39</v>
      </c>
      <c r="T189" s="179">
        <v>6.33</v>
      </c>
      <c r="U189" s="169">
        <f t="shared" si="215"/>
        <v>6.32</v>
      </c>
      <c r="V189" s="241">
        <f t="shared" si="220"/>
        <v>1568.5834105717906</v>
      </c>
      <c r="W189" s="27">
        <f t="shared" si="221"/>
        <v>5.9435626102292662</v>
      </c>
      <c r="X189" s="27">
        <f t="shared" si="222"/>
        <v>3.462321792260691</v>
      </c>
      <c r="Y189" s="61">
        <f>((K189-V189)/K189)*100</f>
        <v>14.596848096699022</v>
      </c>
      <c r="AC189" s="66"/>
      <c r="AD189" s="99"/>
      <c r="AE189" s="92"/>
      <c r="AF189" s="92"/>
      <c r="AG189" s="92"/>
      <c r="AH189" s="92"/>
      <c r="AI189" s="92"/>
      <c r="AJ189" s="92"/>
      <c r="AK189" s="92"/>
      <c r="AL189" s="92"/>
      <c r="AM189" s="92"/>
      <c r="AO189" s="66"/>
      <c r="AP189" s="99"/>
      <c r="AQ189" s="92"/>
      <c r="AR189" s="92"/>
      <c r="AS189" s="92"/>
      <c r="AT189" s="92"/>
      <c r="AU189" s="92"/>
      <c r="AV189" s="92"/>
      <c r="AW189" s="92"/>
      <c r="AX189" s="92"/>
      <c r="AY189" s="92"/>
      <c r="AZ189" s="92"/>
    </row>
    <row r="190" spans="1:52" ht="16.5" thickBot="1" x14ac:dyDescent="0.3">
      <c r="A190" s="72" t="s">
        <v>224</v>
      </c>
      <c r="B190" s="182" t="s">
        <v>4</v>
      </c>
      <c r="C190" s="182"/>
      <c r="D190" s="182"/>
      <c r="E190" s="182"/>
      <c r="F190" s="182"/>
      <c r="G190" s="73"/>
      <c r="H190" s="73"/>
      <c r="I190" s="73"/>
      <c r="J190" s="74"/>
      <c r="K190" s="204"/>
      <c r="L190" s="72" t="s">
        <v>218</v>
      </c>
      <c r="M190" s="76" t="s">
        <v>5</v>
      </c>
      <c r="N190" s="73"/>
      <c r="O190" s="73"/>
      <c r="P190" s="73"/>
      <c r="Q190" s="73"/>
      <c r="R190" s="73"/>
      <c r="S190" s="73"/>
      <c r="T190" s="73"/>
      <c r="U190" s="74"/>
      <c r="V190" s="204"/>
      <c r="W190" s="204"/>
      <c r="X190" s="204"/>
      <c r="Y190" s="24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 ht="15.75" thickBot="1" x14ac:dyDescent="0.3">
      <c r="A191" s="77" t="s">
        <v>12</v>
      </c>
      <c r="B191" s="78" t="s">
        <v>6</v>
      </c>
      <c r="C191" s="79" t="s">
        <v>13</v>
      </c>
      <c r="D191" s="79" t="s">
        <v>14</v>
      </c>
      <c r="E191" s="79" t="s">
        <v>15</v>
      </c>
      <c r="F191" s="80" t="s">
        <v>16</v>
      </c>
      <c r="G191" s="81" t="s">
        <v>17</v>
      </c>
      <c r="H191" s="82" t="s">
        <v>18</v>
      </c>
      <c r="I191" s="82" t="s">
        <v>19</v>
      </c>
      <c r="J191" s="83" t="s">
        <v>16</v>
      </c>
      <c r="K191" s="201" t="s">
        <v>183</v>
      </c>
      <c r="L191" s="77" t="s">
        <v>12</v>
      </c>
      <c r="M191" s="78" t="s">
        <v>6</v>
      </c>
      <c r="N191" s="79" t="s">
        <v>13</v>
      </c>
      <c r="O191" s="79" t="s">
        <v>14</v>
      </c>
      <c r="P191" s="79" t="s">
        <v>15</v>
      </c>
      <c r="Q191" s="80" t="s">
        <v>16</v>
      </c>
      <c r="R191" s="81" t="s">
        <v>17</v>
      </c>
      <c r="S191" s="82" t="s">
        <v>18</v>
      </c>
      <c r="T191" s="82" t="s">
        <v>19</v>
      </c>
      <c r="U191" s="83" t="s">
        <v>16</v>
      </c>
      <c r="V191" s="84" t="s">
        <v>183</v>
      </c>
      <c r="W191" s="201" t="s">
        <v>184</v>
      </c>
      <c r="X191" s="201" t="s">
        <v>185</v>
      </c>
      <c r="Y191" s="194" t="s">
        <v>186</v>
      </c>
      <c r="AC191" s="85"/>
      <c r="AD191" s="85"/>
      <c r="AE191" s="86"/>
      <c r="AF191" s="86"/>
      <c r="AG191" s="86"/>
      <c r="AH191" s="86"/>
      <c r="AI191" s="86"/>
      <c r="AJ191" s="86"/>
      <c r="AK191" s="86"/>
      <c r="AL191" s="86"/>
      <c r="AM191" s="86"/>
      <c r="AO191" s="85"/>
      <c r="AP191" s="85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</row>
    <row r="192" spans="1:52" ht="15" customHeight="1" x14ac:dyDescent="0.25">
      <c r="A192" s="518" t="s">
        <v>219</v>
      </c>
      <c r="B192" s="174" t="s">
        <v>21</v>
      </c>
      <c r="C192" s="170">
        <v>19.14</v>
      </c>
      <c r="D192" s="170">
        <v>19.07</v>
      </c>
      <c r="E192" s="170">
        <v>19</v>
      </c>
      <c r="F192" s="167">
        <f>AVERAGE(C192:E192)</f>
        <v>19.07</v>
      </c>
      <c r="G192" s="181">
        <v>6.53</v>
      </c>
      <c r="H192" s="181">
        <v>6.51</v>
      </c>
      <c r="I192" s="181">
        <v>6.49</v>
      </c>
      <c r="J192" s="175">
        <f>AVERAGE(G192:I192)</f>
        <v>6.5100000000000007</v>
      </c>
      <c r="K192" s="236">
        <f>PI()*((F192/2)^2)*J192</f>
        <v>1859.3975570342798</v>
      </c>
      <c r="L192" s="518" t="s">
        <v>219</v>
      </c>
      <c r="M192" s="141" t="s">
        <v>21</v>
      </c>
      <c r="N192" s="181">
        <v>17.21</v>
      </c>
      <c r="O192" s="181">
        <v>17.23</v>
      </c>
      <c r="P192" s="181">
        <v>17.48</v>
      </c>
      <c r="Q192" s="175">
        <f>AVERAGE(N192:P192)</f>
        <v>17.306666666666668</v>
      </c>
      <c r="R192" s="228">
        <v>5.91</v>
      </c>
      <c r="S192" s="181">
        <v>5.87</v>
      </c>
      <c r="T192" s="181">
        <v>5.89</v>
      </c>
      <c r="U192" s="175">
        <f>AVERAGE(R192:T192)</f>
        <v>5.8900000000000006</v>
      </c>
      <c r="V192" s="239">
        <f>PI()*((Q192/2)^2)*U192</f>
        <v>1385.5813666323083</v>
      </c>
      <c r="W192" s="23">
        <f>((F192-Q192)/F192)*100</f>
        <v>9.2466352036357193</v>
      </c>
      <c r="X192" s="23">
        <f>((J192-U192)/J192)*100</f>
        <v>9.5238095238095255</v>
      </c>
      <c r="Y192" s="23">
        <f>((K192-V192)/K192)*100</f>
        <v>25.482242278391688</v>
      </c>
      <c r="AC192" s="66"/>
      <c r="AD192" s="91"/>
      <c r="AE192" s="92"/>
      <c r="AF192" s="92"/>
      <c r="AG192" s="92"/>
      <c r="AH192" s="92"/>
      <c r="AI192" s="92"/>
      <c r="AJ192" s="92"/>
      <c r="AK192" s="92"/>
      <c r="AL192" s="92"/>
      <c r="AM192" s="92"/>
      <c r="AO192" s="66"/>
      <c r="AP192" s="91"/>
      <c r="AQ192" s="92"/>
      <c r="AR192" s="92"/>
      <c r="AS192" s="92"/>
      <c r="AT192" s="92"/>
      <c r="AU192" s="92"/>
      <c r="AV192" s="92"/>
      <c r="AW192" s="92"/>
      <c r="AX192" s="92"/>
      <c r="AY192" s="92"/>
      <c r="AZ192" s="92"/>
    </row>
    <row r="193" spans="1:52" x14ac:dyDescent="0.25">
      <c r="A193" s="519"/>
      <c r="B193" s="183" t="s">
        <v>22</v>
      </c>
      <c r="C193" s="187">
        <v>19.05</v>
      </c>
      <c r="D193" s="187">
        <v>19.07</v>
      </c>
      <c r="E193" s="187">
        <v>19.010000000000002</v>
      </c>
      <c r="F193" s="168">
        <f t="shared" ref="F193:F205" si="224">AVERAGE(C193:E193)</f>
        <v>19.043333333333337</v>
      </c>
      <c r="G193" s="173">
        <v>6.5</v>
      </c>
      <c r="H193" s="173">
        <v>6.44</v>
      </c>
      <c r="I193" s="173">
        <v>6.36</v>
      </c>
      <c r="J193" s="168">
        <f t="shared" ref="J193:J205" si="225">AVERAGE(G193:I193)</f>
        <v>6.4333333333333336</v>
      </c>
      <c r="K193" s="237">
        <f t="shared" ref="K193:K205" si="226">PI()*((F193/2)^2)*J193</f>
        <v>1832.3645215908984</v>
      </c>
      <c r="L193" s="519"/>
      <c r="M193" s="139" t="s">
        <v>22</v>
      </c>
      <c r="N193" s="173">
        <v>17.440000000000001</v>
      </c>
      <c r="O193" s="173">
        <v>17.13</v>
      </c>
      <c r="P193" s="173">
        <v>17.41</v>
      </c>
      <c r="Q193" s="168">
        <f t="shared" ref="Q193:Q205" si="227">AVERAGE(N193:P193)</f>
        <v>17.326666666666668</v>
      </c>
      <c r="R193" s="189">
        <v>5.82</v>
      </c>
      <c r="S193" s="173">
        <v>5.76</v>
      </c>
      <c r="T193" s="173">
        <v>5.81</v>
      </c>
      <c r="U193" s="168">
        <f t="shared" ref="U193:U205" si="228">AVERAGE(R193:T193)</f>
        <v>5.7966666666666669</v>
      </c>
      <c r="V193" s="240">
        <f t="shared" ref="V193:V198" si="229">PI()*((Q193/2)^2)*U193</f>
        <v>1366.7788493121507</v>
      </c>
      <c r="W193" s="27">
        <f>((F193-Q193)/F193)*100</f>
        <v>9.0145282688605022</v>
      </c>
      <c r="X193" s="27">
        <f>((J193-U193)/J193)*100</f>
        <v>9.8963730569948183</v>
      </c>
      <c r="Y193" s="27">
        <f>((K193-V193)/K193)*100</f>
        <v>25.409009331533895</v>
      </c>
      <c r="AC193" s="66"/>
      <c r="AD193" s="91"/>
      <c r="AE193" s="92"/>
      <c r="AF193" s="92"/>
      <c r="AG193" s="92"/>
      <c r="AH193" s="92"/>
      <c r="AI193" s="92"/>
      <c r="AJ193" s="92"/>
      <c r="AK193" s="92"/>
      <c r="AL193" s="92"/>
      <c r="AM193" s="92"/>
      <c r="AO193" s="66"/>
      <c r="AP193" s="91"/>
      <c r="AQ193" s="92"/>
      <c r="AR193" s="92"/>
      <c r="AS193" s="92"/>
      <c r="AT193" s="92"/>
      <c r="AU193" s="92"/>
      <c r="AV193" s="92"/>
      <c r="AW193" s="92"/>
      <c r="AX193" s="92"/>
      <c r="AY193" s="92"/>
      <c r="AZ193" s="92"/>
    </row>
    <row r="194" spans="1:52" x14ac:dyDescent="0.25">
      <c r="A194" s="519"/>
      <c r="B194" s="183" t="s">
        <v>23</v>
      </c>
      <c r="C194" s="187">
        <v>19.09</v>
      </c>
      <c r="D194" s="187">
        <v>19.21</v>
      </c>
      <c r="E194" s="187">
        <v>19</v>
      </c>
      <c r="F194" s="168">
        <f t="shared" si="224"/>
        <v>19.099999999999998</v>
      </c>
      <c r="G194" s="173">
        <v>6.57</v>
      </c>
      <c r="H194" s="173">
        <v>6.6</v>
      </c>
      <c r="I194" s="173">
        <v>6.59</v>
      </c>
      <c r="J194" s="168">
        <f t="shared" si="225"/>
        <v>6.586666666666666</v>
      </c>
      <c r="K194" s="237">
        <f t="shared" si="226"/>
        <v>1887.2190049410317</v>
      </c>
      <c r="L194" s="519"/>
      <c r="M194" s="139" t="s">
        <v>23</v>
      </c>
      <c r="N194" s="173">
        <v>17.170000000000002</v>
      </c>
      <c r="O194" s="173">
        <v>17.45</v>
      </c>
      <c r="P194" s="173">
        <v>17.149999999999999</v>
      </c>
      <c r="Q194" s="168">
        <f t="shared" si="227"/>
        <v>17.256666666666668</v>
      </c>
      <c r="R194" s="189">
        <v>5.9</v>
      </c>
      <c r="S194" s="173">
        <v>5.92</v>
      </c>
      <c r="T194" s="173">
        <v>5.91</v>
      </c>
      <c r="U194" s="168">
        <f t="shared" si="228"/>
        <v>5.91</v>
      </c>
      <c r="V194" s="240">
        <f t="shared" si="229"/>
        <v>1382.2645903075074</v>
      </c>
      <c r="W194" s="27">
        <f t="shared" ref="W194:W198" si="230">((F194-Q194)/F194)*100</f>
        <v>9.6509598603839279</v>
      </c>
      <c r="X194" s="27">
        <f t="shared" ref="X194:X198" si="231">((J194-U194)/J194)*100</f>
        <v>10.273279352226709</v>
      </c>
      <c r="Y194" s="27">
        <f t="shared" ref="Y194:Y197" si="232">((K194-V194)/K194)*100</f>
        <v>26.756535055628174</v>
      </c>
      <c r="AC194" s="66"/>
      <c r="AD194" s="91"/>
      <c r="AE194" s="92"/>
      <c r="AF194" s="92"/>
      <c r="AG194" s="92"/>
      <c r="AH194" s="92"/>
      <c r="AI194" s="92"/>
      <c r="AJ194" s="92"/>
      <c r="AK194" s="92"/>
      <c r="AL194" s="92"/>
      <c r="AM194" s="92"/>
      <c r="AO194" s="66"/>
      <c r="AP194" s="91"/>
      <c r="AQ194" s="92"/>
      <c r="AR194" s="92"/>
      <c r="AS194" s="92"/>
      <c r="AT194" s="92"/>
      <c r="AU194" s="92"/>
      <c r="AV194" s="92"/>
      <c r="AW194" s="92"/>
      <c r="AX194" s="92"/>
      <c r="AY194" s="92"/>
      <c r="AZ194" s="92"/>
    </row>
    <row r="195" spans="1:52" x14ac:dyDescent="0.25">
      <c r="A195" s="519"/>
      <c r="B195" s="183" t="s">
        <v>24</v>
      </c>
      <c r="C195" s="187">
        <v>19.04</v>
      </c>
      <c r="D195" s="187">
        <v>19.239999999999998</v>
      </c>
      <c r="E195" s="187">
        <v>19.03</v>
      </c>
      <c r="F195" s="168">
        <f t="shared" si="224"/>
        <v>19.103333333333335</v>
      </c>
      <c r="G195" s="173">
        <v>6.54</v>
      </c>
      <c r="H195" s="173">
        <v>6.6</v>
      </c>
      <c r="I195" s="173">
        <v>6.57</v>
      </c>
      <c r="J195" s="168">
        <f t="shared" si="225"/>
        <v>6.57</v>
      </c>
      <c r="K195" s="237">
        <f t="shared" si="226"/>
        <v>1883.1007589374833</v>
      </c>
      <c r="L195" s="519"/>
      <c r="M195" s="139" t="s">
        <v>24</v>
      </c>
      <c r="N195" s="173">
        <v>17.309999999999999</v>
      </c>
      <c r="O195" s="173">
        <v>17.239999999999998</v>
      </c>
      <c r="P195" s="173">
        <v>17.3</v>
      </c>
      <c r="Q195" s="168">
        <f t="shared" si="227"/>
        <v>17.283333333333331</v>
      </c>
      <c r="R195" s="189">
        <v>5.85</v>
      </c>
      <c r="S195" s="173">
        <v>5.89</v>
      </c>
      <c r="T195" s="173">
        <v>5.81</v>
      </c>
      <c r="U195" s="168">
        <f t="shared" si="228"/>
        <v>5.8499999999999988</v>
      </c>
      <c r="V195" s="240">
        <f t="shared" si="229"/>
        <v>1372.4633610586441</v>
      </c>
      <c r="W195" s="27">
        <f t="shared" si="230"/>
        <v>9.5271331355784525</v>
      </c>
      <c r="X195" s="27">
        <f t="shared" si="231"/>
        <v>10.958904109589064</v>
      </c>
      <c r="Y195" s="27">
        <f t="shared" si="232"/>
        <v>27.116838833783923</v>
      </c>
      <c r="AC195" s="66"/>
      <c r="AD195" s="91"/>
      <c r="AE195" s="92"/>
      <c r="AF195" s="92"/>
      <c r="AG195" s="92"/>
      <c r="AH195" s="92"/>
      <c r="AI195" s="92"/>
      <c r="AJ195" s="92"/>
      <c r="AK195" s="92"/>
      <c r="AL195" s="92"/>
      <c r="AM195" s="92"/>
      <c r="AO195" s="66"/>
      <c r="AP195" s="91"/>
      <c r="AQ195" s="92"/>
      <c r="AR195" s="92"/>
      <c r="AS195" s="92"/>
      <c r="AT195" s="92"/>
      <c r="AU195" s="92"/>
      <c r="AV195" s="92"/>
      <c r="AW195" s="92"/>
      <c r="AX195" s="92"/>
      <c r="AY195" s="92"/>
      <c r="AZ195" s="92"/>
    </row>
    <row r="196" spans="1:52" x14ac:dyDescent="0.25">
      <c r="A196" s="519"/>
      <c r="B196" s="183" t="s">
        <v>25</v>
      </c>
      <c r="C196" s="187">
        <v>19.190000000000001</v>
      </c>
      <c r="D196" s="187">
        <v>19.05</v>
      </c>
      <c r="E196" s="187">
        <v>19.18</v>
      </c>
      <c r="F196" s="168">
        <f t="shared" si="224"/>
        <v>19.14</v>
      </c>
      <c r="G196" s="173">
        <v>6.64</v>
      </c>
      <c r="H196" s="173">
        <v>6.65</v>
      </c>
      <c r="I196" s="173">
        <v>6.7</v>
      </c>
      <c r="J196" s="168">
        <f t="shared" si="225"/>
        <v>6.6633333333333331</v>
      </c>
      <c r="K196" s="237">
        <f t="shared" si="226"/>
        <v>1917.1905853016399</v>
      </c>
      <c r="L196" s="519"/>
      <c r="M196" s="139" t="s">
        <v>25</v>
      </c>
      <c r="N196" s="173">
        <v>17.32</v>
      </c>
      <c r="O196" s="173">
        <v>17.3</v>
      </c>
      <c r="P196" s="173">
        <v>17.29</v>
      </c>
      <c r="Q196" s="168">
        <f t="shared" si="227"/>
        <v>17.303333333333335</v>
      </c>
      <c r="R196" s="189">
        <v>5.94</v>
      </c>
      <c r="S196" s="173">
        <v>5.93</v>
      </c>
      <c r="T196" s="173">
        <v>5.95</v>
      </c>
      <c r="U196" s="168">
        <f t="shared" si="228"/>
        <v>5.94</v>
      </c>
      <c r="V196" s="240">
        <f t="shared" si="229"/>
        <v>1396.8053013699998</v>
      </c>
      <c r="W196" s="27">
        <f t="shared" si="230"/>
        <v>9.5959595959595934</v>
      </c>
      <c r="X196" s="27">
        <f t="shared" si="231"/>
        <v>10.855427713856921</v>
      </c>
      <c r="Y196" s="27">
        <f t="shared" si="232"/>
        <v>27.14311701305197</v>
      </c>
      <c r="AC196" s="66"/>
      <c r="AD196" s="91"/>
      <c r="AE196" s="92"/>
      <c r="AF196" s="92"/>
      <c r="AG196" s="92"/>
      <c r="AH196" s="92"/>
      <c r="AI196" s="92"/>
      <c r="AJ196" s="92"/>
      <c r="AK196" s="92"/>
      <c r="AL196" s="92"/>
      <c r="AM196" s="92"/>
      <c r="AO196" s="66"/>
      <c r="AP196" s="91"/>
      <c r="AQ196" s="92"/>
      <c r="AR196" s="92"/>
      <c r="AS196" s="92"/>
      <c r="AT196" s="92"/>
      <c r="AU196" s="92"/>
      <c r="AV196" s="92"/>
      <c r="AW196" s="92"/>
      <c r="AX196" s="92"/>
      <c r="AY196" s="92"/>
      <c r="AZ196" s="92"/>
    </row>
    <row r="197" spans="1:52" x14ac:dyDescent="0.25">
      <c r="A197" s="519"/>
      <c r="B197" s="183" t="s">
        <v>26</v>
      </c>
      <c r="C197" s="187">
        <v>19.11</v>
      </c>
      <c r="D197" s="187">
        <v>19.12</v>
      </c>
      <c r="E197" s="187">
        <v>19</v>
      </c>
      <c r="F197" s="168">
        <f t="shared" si="224"/>
        <v>19.076666666666668</v>
      </c>
      <c r="G197" s="173">
        <v>6.61</v>
      </c>
      <c r="H197" s="173">
        <v>6.55</v>
      </c>
      <c r="I197" s="173">
        <v>6.54</v>
      </c>
      <c r="J197" s="168">
        <f t="shared" si="225"/>
        <v>6.5666666666666664</v>
      </c>
      <c r="K197" s="237">
        <f t="shared" si="226"/>
        <v>1876.8943855415946</v>
      </c>
      <c r="L197" s="519"/>
      <c r="M197" s="139" t="s">
        <v>26</v>
      </c>
      <c r="N197" s="173">
        <v>17.190000000000001</v>
      </c>
      <c r="O197" s="173">
        <v>17.04</v>
      </c>
      <c r="P197" s="173">
        <v>17.18</v>
      </c>
      <c r="Q197" s="168">
        <f t="shared" si="227"/>
        <v>17.136666666666667</v>
      </c>
      <c r="R197" s="189">
        <v>5.9</v>
      </c>
      <c r="S197" s="173">
        <v>5.91</v>
      </c>
      <c r="T197" s="173">
        <v>5.9</v>
      </c>
      <c r="U197" s="168">
        <f t="shared" si="228"/>
        <v>5.9033333333333333</v>
      </c>
      <c r="V197" s="240">
        <f t="shared" si="229"/>
        <v>1361.5697249367934</v>
      </c>
      <c r="W197" s="27">
        <f t="shared" si="230"/>
        <v>10.169491525423735</v>
      </c>
      <c r="X197" s="27">
        <f t="shared" si="231"/>
        <v>10.101522842639591</v>
      </c>
      <c r="Y197" s="27">
        <f t="shared" si="232"/>
        <v>27.456241788271946</v>
      </c>
      <c r="AC197" s="66"/>
      <c r="AD197" s="91"/>
      <c r="AE197" s="92"/>
      <c r="AF197" s="92"/>
      <c r="AG197" s="92"/>
      <c r="AH197" s="92"/>
      <c r="AI197" s="92"/>
      <c r="AJ197" s="92"/>
      <c r="AK197" s="92"/>
      <c r="AL197" s="92"/>
      <c r="AM197" s="92"/>
      <c r="AO197" s="66"/>
      <c r="AP197" s="91"/>
      <c r="AQ197" s="92"/>
      <c r="AR197" s="92"/>
      <c r="AS197" s="92"/>
      <c r="AT197" s="92"/>
      <c r="AU197" s="92"/>
      <c r="AV197" s="92"/>
      <c r="AW197" s="92"/>
      <c r="AX197" s="92"/>
      <c r="AY197" s="92"/>
      <c r="AZ197" s="92"/>
    </row>
    <row r="198" spans="1:52" ht="15.75" thickBot="1" x14ac:dyDescent="0.3">
      <c r="A198" s="520"/>
      <c r="B198" s="184" t="s">
        <v>27</v>
      </c>
      <c r="C198" s="188">
        <v>19.13</v>
      </c>
      <c r="D198" s="188">
        <v>19.05</v>
      </c>
      <c r="E198" s="188">
        <v>19.04</v>
      </c>
      <c r="F198" s="169">
        <f t="shared" si="224"/>
        <v>19.073333333333334</v>
      </c>
      <c r="G198" s="179">
        <v>6.42</v>
      </c>
      <c r="H198" s="179">
        <v>6.5</v>
      </c>
      <c r="I198" s="179">
        <v>6.46</v>
      </c>
      <c r="J198" s="180">
        <f t="shared" si="225"/>
        <v>6.46</v>
      </c>
      <c r="K198" s="238">
        <f t="shared" si="226"/>
        <v>1845.7615590316414</v>
      </c>
      <c r="L198" s="520"/>
      <c r="M198" s="140" t="s">
        <v>27</v>
      </c>
      <c r="N198" s="179">
        <v>17.350000000000001</v>
      </c>
      <c r="O198" s="179">
        <v>17.13</v>
      </c>
      <c r="P198" s="179">
        <v>17.38</v>
      </c>
      <c r="Q198" s="180">
        <f t="shared" si="227"/>
        <v>17.286666666666665</v>
      </c>
      <c r="R198" s="190">
        <v>5.89</v>
      </c>
      <c r="S198" s="179">
        <v>5.8</v>
      </c>
      <c r="T198" s="179">
        <v>5.81</v>
      </c>
      <c r="U198" s="180">
        <f t="shared" si="228"/>
        <v>5.833333333333333</v>
      </c>
      <c r="V198" s="241">
        <f t="shared" si="229"/>
        <v>1369.0811493149488</v>
      </c>
      <c r="W198" s="27">
        <f t="shared" si="230"/>
        <v>9.3673540720028079</v>
      </c>
      <c r="X198" s="27">
        <f t="shared" si="231"/>
        <v>9.7007223942208505</v>
      </c>
      <c r="Y198" s="61">
        <f>((K198-V198)/K198)*100</f>
        <v>25.82567652816314</v>
      </c>
      <c r="AC198" s="66"/>
      <c r="AD198" s="91"/>
      <c r="AE198" s="92"/>
      <c r="AF198" s="92"/>
      <c r="AG198" s="92"/>
      <c r="AH198" s="92"/>
      <c r="AI198" s="92"/>
      <c r="AJ198" s="92"/>
      <c r="AK198" s="92"/>
      <c r="AL198" s="92"/>
      <c r="AM198" s="92"/>
      <c r="AO198" s="66"/>
      <c r="AP198" s="91"/>
      <c r="AQ198" s="92"/>
      <c r="AR198" s="92"/>
      <c r="AS198" s="92"/>
      <c r="AT198" s="92"/>
      <c r="AU198" s="92"/>
      <c r="AV198" s="92"/>
      <c r="AW198" s="92"/>
      <c r="AX198" s="92"/>
      <c r="AY198" s="92"/>
      <c r="AZ198" s="92"/>
    </row>
    <row r="199" spans="1:52" ht="15" customHeight="1" x14ac:dyDescent="0.25">
      <c r="A199" s="521" t="s">
        <v>220</v>
      </c>
      <c r="B199" s="144" t="s">
        <v>21</v>
      </c>
      <c r="C199" s="170">
        <v>18.96</v>
      </c>
      <c r="D199" s="170">
        <v>18.920000000000002</v>
      </c>
      <c r="E199" s="170">
        <v>18.93</v>
      </c>
      <c r="F199" s="167">
        <f t="shared" si="224"/>
        <v>18.936666666666667</v>
      </c>
      <c r="G199" s="173">
        <v>6.35</v>
      </c>
      <c r="H199" s="173">
        <v>6.27</v>
      </c>
      <c r="I199" s="173">
        <v>6.34</v>
      </c>
      <c r="J199" s="175">
        <f t="shared" si="225"/>
        <v>6.32</v>
      </c>
      <c r="K199" s="236">
        <f>PI()*((F199/2)^2)*J199</f>
        <v>1779.9755169874911</v>
      </c>
      <c r="L199" s="521" t="s">
        <v>220</v>
      </c>
      <c r="M199" s="137" t="s">
        <v>21</v>
      </c>
      <c r="N199" s="173">
        <v>17.43</v>
      </c>
      <c r="O199" s="173">
        <v>17.440000000000001</v>
      </c>
      <c r="P199" s="173">
        <v>17.39</v>
      </c>
      <c r="Q199" s="175">
        <f t="shared" si="227"/>
        <v>17.420000000000002</v>
      </c>
      <c r="R199" s="189">
        <v>6.02</v>
      </c>
      <c r="S199" s="173">
        <v>6</v>
      </c>
      <c r="T199" s="173">
        <v>5.96</v>
      </c>
      <c r="U199" s="175">
        <f t="shared" si="228"/>
        <v>5.9933333333333332</v>
      </c>
      <c r="V199" s="239">
        <f>PI()*((Q199/2)^2)*U199</f>
        <v>1428.4157013923343</v>
      </c>
      <c r="W199" s="23">
        <f>((F199-Q199)/F199)*100</f>
        <v>8.0091533180777983</v>
      </c>
      <c r="X199" s="23">
        <f>((J199-U199)/J199)*100</f>
        <v>5.1687763713080237</v>
      </c>
      <c r="Y199" s="23">
        <f>((K199-V199)/K199)*100</f>
        <v>19.750823100654333</v>
      </c>
      <c r="AC199" s="70"/>
      <c r="AD199" s="99"/>
      <c r="AE199" s="92"/>
      <c r="AF199" s="92"/>
      <c r="AG199" s="92"/>
      <c r="AH199" s="92"/>
      <c r="AI199" s="92"/>
      <c r="AJ199" s="92"/>
      <c r="AK199" s="92"/>
      <c r="AL199" s="92"/>
      <c r="AM199" s="92"/>
      <c r="AO199" s="70"/>
      <c r="AP199" s="99"/>
      <c r="AQ199" s="92"/>
      <c r="AR199" s="92"/>
      <c r="AS199" s="92"/>
      <c r="AT199" s="92"/>
      <c r="AU199" s="92"/>
      <c r="AV199" s="92"/>
      <c r="AW199" s="92"/>
      <c r="AX199" s="92"/>
      <c r="AY199" s="92"/>
      <c r="AZ199" s="92"/>
    </row>
    <row r="200" spans="1:52" x14ac:dyDescent="0.25">
      <c r="A200" s="521"/>
      <c r="B200" s="166" t="s">
        <v>22</v>
      </c>
      <c r="C200" s="187">
        <v>18.91</v>
      </c>
      <c r="D200" s="187">
        <v>18.89</v>
      </c>
      <c r="E200" s="187">
        <v>18.920000000000002</v>
      </c>
      <c r="F200" s="168">
        <f t="shared" si="224"/>
        <v>18.906666666666666</v>
      </c>
      <c r="G200" s="173">
        <v>6.35</v>
      </c>
      <c r="H200" s="173">
        <v>6.38</v>
      </c>
      <c r="I200" s="173">
        <v>6.41</v>
      </c>
      <c r="J200" s="168">
        <f t="shared" si="225"/>
        <v>6.38</v>
      </c>
      <c r="K200" s="237">
        <f t="shared" si="226"/>
        <v>1791.1852117583483</v>
      </c>
      <c r="L200" s="521"/>
      <c r="M200" s="137" t="s">
        <v>22</v>
      </c>
      <c r="N200" s="173">
        <v>17.3</v>
      </c>
      <c r="O200" s="173">
        <v>17.29</v>
      </c>
      <c r="P200" s="173">
        <v>17.34</v>
      </c>
      <c r="Q200" s="168">
        <f t="shared" si="227"/>
        <v>17.310000000000002</v>
      </c>
      <c r="R200" s="189">
        <v>6.11</v>
      </c>
      <c r="S200" s="173">
        <v>6.15</v>
      </c>
      <c r="T200" s="173">
        <v>6.02</v>
      </c>
      <c r="U200" s="168">
        <f t="shared" si="228"/>
        <v>6.0933333333333337</v>
      </c>
      <c r="V200" s="240">
        <f t="shared" ref="V200:V205" si="233">PI()*((Q200/2)^2)*U200</f>
        <v>1433.9663290773522</v>
      </c>
      <c r="W200" s="27">
        <f>((F200-Q200)/F200)*100</f>
        <v>8.444992947813807</v>
      </c>
      <c r="X200" s="27">
        <f>((J200-U200)/J200)*100</f>
        <v>4.4932079414837967</v>
      </c>
      <c r="Y200" s="27">
        <f>((K200-V200)/K200)*100</f>
        <v>19.943157208758215</v>
      </c>
      <c r="AC200" s="66"/>
      <c r="AD200" s="99"/>
      <c r="AE200" s="92"/>
      <c r="AF200" s="92"/>
      <c r="AG200" s="92"/>
      <c r="AH200" s="92"/>
      <c r="AI200" s="92"/>
      <c r="AJ200" s="92"/>
      <c r="AK200" s="92"/>
      <c r="AL200" s="92"/>
      <c r="AM200" s="92"/>
      <c r="AO200" s="66"/>
      <c r="AP200" s="99"/>
      <c r="AQ200" s="92"/>
      <c r="AR200" s="92"/>
      <c r="AS200" s="92"/>
      <c r="AT200" s="92"/>
      <c r="AU200" s="92"/>
      <c r="AV200" s="92"/>
      <c r="AW200" s="92"/>
      <c r="AX200" s="92"/>
      <c r="AY200" s="92"/>
      <c r="AZ200" s="92"/>
    </row>
    <row r="201" spans="1:52" x14ac:dyDescent="0.25">
      <c r="A201" s="521"/>
      <c r="B201" s="166" t="s">
        <v>23</v>
      </c>
      <c r="C201" s="187">
        <v>18.77</v>
      </c>
      <c r="D201" s="187">
        <v>18.86</v>
      </c>
      <c r="E201" s="187">
        <v>18.78</v>
      </c>
      <c r="F201" s="168">
        <f t="shared" si="224"/>
        <v>18.803333333333331</v>
      </c>
      <c r="G201" s="173">
        <v>6.37</v>
      </c>
      <c r="H201" s="173">
        <v>6.32</v>
      </c>
      <c r="I201" s="173">
        <v>6.33</v>
      </c>
      <c r="J201" s="168">
        <f t="shared" si="225"/>
        <v>6.3400000000000007</v>
      </c>
      <c r="K201" s="237">
        <f t="shared" si="226"/>
        <v>1760.5518875429188</v>
      </c>
      <c r="L201" s="521"/>
      <c r="M201" s="137" t="s">
        <v>23</v>
      </c>
      <c r="N201" s="173">
        <v>17.32</v>
      </c>
      <c r="O201" s="173">
        <v>17.13</v>
      </c>
      <c r="P201" s="173">
        <v>17.05</v>
      </c>
      <c r="Q201" s="168">
        <f t="shared" si="227"/>
        <v>17.166666666666668</v>
      </c>
      <c r="R201" s="189">
        <v>6.01</v>
      </c>
      <c r="S201" s="173">
        <v>5.99</v>
      </c>
      <c r="T201" s="173">
        <v>6.02</v>
      </c>
      <c r="U201" s="168">
        <f t="shared" si="228"/>
        <v>6.0066666666666668</v>
      </c>
      <c r="V201" s="240">
        <f t="shared" si="233"/>
        <v>1390.2578690834555</v>
      </c>
      <c r="W201" s="27">
        <f t="shared" ref="W201:W205" si="234">((F201-Q201)/F201)*100</f>
        <v>8.7041304733203155</v>
      </c>
      <c r="X201" s="27">
        <f t="shared" ref="X201:X205" si="235">((J201-U201)/J201)*100</f>
        <v>5.2576235541535317</v>
      </c>
      <c r="Y201" s="27">
        <f t="shared" ref="Y201:Y204" si="236">((K201-V201)/K201)*100</f>
        <v>21.032837548245016</v>
      </c>
      <c r="AC201" s="66"/>
      <c r="AD201" s="99"/>
      <c r="AE201" s="92"/>
      <c r="AF201" s="92"/>
      <c r="AG201" s="92"/>
      <c r="AH201" s="92"/>
      <c r="AI201" s="92"/>
      <c r="AJ201" s="92"/>
      <c r="AK201" s="92"/>
      <c r="AL201" s="92"/>
      <c r="AM201" s="92"/>
      <c r="AO201" s="66"/>
      <c r="AP201" s="99"/>
      <c r="AQ201" s="92"/>
      <c r="AR201" s="92"/>
      <c r="AS201" s="92"/>
      <c r="AT201" s="92"/>
      <c r="AU201" s="92"/>
      <c r="AV201" s="92"/>
      <c r="AW201" s="92"/>
      <c r="AX201" s="92"/>
      <c r="AY201" s="92"/>
      <c r="AZ201" s="92"/>
    </row>
    <row r="202" spans="1:52" x14ac:dyDescent="0.25">
      <c r="A202" s="521"/>
      <c r="B202" s="166" t="s">
        <v>24</v>
      </c>
      <c r="C202" s="187">
        <v>18.87</v>
      </c>
      <c r="D202" s="187">
        <v>18.920000000000002</v>
      </c>
      <c r="E202" s="187">
        <v>18.84</v>
      </c>
      <c r="F202" s="168">
        <f t="shared" si="224"/>
        <v>18.876666666666669</v>
      </c>
      <c r="G202" s="173">
        <v>6.41</v>
      </c>
      <c r="H202" s="173">
        <v>6.35</v>
      </c>
      <c r="I202" s="173">
        <v>6.34</v>
      </c>
      <c r="J202" s="168">
        <f t="shared" si="225"/>
        <v>6.3666666666666671</v>
      </c>
      <c r="K202" s="237">
        <f t="shared" si="226"/>
        <v>1781.773960506526</v>
      </c>
      <c r="L202" s="521"/>
      <c r="M202" s="137" t="s">
        <v>24</v>
      </c>
      <c r="N202" s="173">
        <v>17.13</v>
      </c>
      <c r="O202" s="173">
        <v>17.239999999999998</v>
      </c>
      <c r="P202" s="173">
        <v>17.27</v>
      </c>
      <c r="Q202" s="168">
        <f t="shared" si="227"/>
        <v>17.213333333333335</v>
      </c>
      <c r="R202" s="189">
        <v>6.01</v>
      </c>
      <c r="S202" s="173">
        <v>6.06</v>
      </c>
      <c r="T202" s="173">
        <v>5.94</v>
      </c>
      <c r="U202" s="168">
        <f t="shared" si="228"/>
        <v>6.0033333333333339</v>
      </c>
      <c r="V202" s="240">
        <f t="shared" si="233"/>
        <v>1397.0511180215294</v>
      </c>
      <c r="W202" s="27">
        <f t="shared" si="234"/>
        <v>8.8115839660957107</v>
      </c>
      <c r="X202" s="27">
        <f t="shared" si="235"/>
        <v>5.7068062827225114</v>
      </c>
      <c r="Y202" s="27">
        <f t="shared" si="236"/>
        <v>21.592123973774253</v>
      </c>
      <c r="AC202" s="66"/>
      <c r="AD202" s="99"/>
      <c r="AE202" s="92"/>
      <c r="AF202" s="92"/>
      <c r="AG202" s="92"/>
      <c r="AH202" s="92"/>
      <c r="AI202" s="92"/>
      <c r="AJ202" s="92"/>
      <c r="AK202" s="92"/>
      <c r="AL202" s="92"/>
      <c r="AM202" s="92"/>
      <c r="AO202" s="66"/>
      <c r="AP202" s="99"/>
      <c r="AQ202" s="92"/>
      <c r="AR202" s="92"/>
      <c r="AS202" s="92"/>
      <c r="AT202" s="92"/>
      <c r="AU202" s="92"/>
      <c r="AV202" s="92"/>
      <c r="AW202" s="92"/>
      <c r="AX202" s="92"/>
      <c r="AY202" s="92"/>
      <c r="AZ202" s="92"/>
    </row>
    <row r="203" spans="1:52" x14ac:dyDescent="0.25">
      <c r="A203" s="521"/>
      <c r="B203" s="166" t="s">
        <v>25</v>
      </c>
      <c r="C203" s="187">
        <v>19.88</v>
      </c>
      <c r="D203" s="187">
        <v>19.649999999999999</v>
      </c>
      <c r="E203" s="187">
        <v>19.940000000000001</v>
      </c>
      <c r="F203" s="168">
        <f t="shared" si="224"/>
        <v>19.823333333333334</v>
      </c>
      <c r="G203" s="173">
        <v>5.98</v>
      </c>
      <c r="H203" s="173">
        <v>5.83</v>
      </c>
      <c r="I203" s="173">
        <v>6.36</v>
      </c>
      <c r="J203" s="168">
        <f t="shared" si="225"/>
        <v>6.0566666666666675</v>
      </c>
      <c r="K203" s="237">
        <f t="shared" si="226"/>
        <v>1869.2910280394858</v>
      </c>
      <c r="L203" s="521"/>
      <c r="M203" s="137" t="s">
        <v>25</v>
      </c>
      <c r="N203" s="173">
        <v>18.2</v>
      </c>
      <c r="O203" s="173">
        <v>17.899999999999999</v>
      </c>
      <c r="P203" s="173">
        <v>18.2</v>
      </c>
      <c r="Q203" s="168">
        <f t="shared" si="227"/>
        <v>18.099999999999998</v>
      </c>
      <c r="R203" s="189">
        <v>6.11</v>
      </c>
      <c r="S203" s="173">
        <v>5.33</v>
      </c>
      <c r="T203" s="173">
        <v>5.3</v>
      </c>
      <c r="U203" s="168">
        <f t="shared" si="228"/>
        <v>5.580000000000001</v>
      </c>
      <c r="V203" s="240">
        <f t="shared" si="233"/>
        <v>1435.7579510933599</v>
      </c>
      <c r="W203" s="27">
        <f t="shared" si="234"/>
        <v>8.6934588868337119</v>
      </c>
      <c r="X203" s="27">
        <f t="shared" si="235"/>
        <v>7.8701155751238279</v>
      </c>
      <c r="Y203" s="27">
        <f t="shared" si="236"/>
        <v>23.192379915331632</v>
      </c>
      <c r="AC203" s="66"/>
      <c r="AD203" s="99"/>
      <c r="AE203" s="92"/>
      <c r="AF203" s="92"/>
      <c r="AG203" s="92"/>
      <c r="AH203" s="92"/>
      <c r="AI203" s="92"/>
      <c r="AJ203" s="92"/>
      <c r="AK203" s="92"/>
      <c r="AL203" s="92"/>
      <c r="AM203" s="92"/>
      <c r="AO203" s="66"/>
      <c r="AP203" s="99"/>
      <c r="AQ203" s="92"/>
      <c r="AR203" s="92"/>
      <c r="AS203" s="92"/>
      <c r="AT203" s="92"/>
      <c r="AU203" s="92"/>
      <c r="AV203" s="92"/>
      <c r="AW203" s="92"/>
      <c r="AX203" s="92"/>
      <c r="AY203" s="92"/>
      <c r="AZ203" s="92"/>
    </row>
    <row r="204" spans="1:52" x14ac:dyDescent="0.25">
      <c r="A204" s="521"/>
      <c r="B204" s="166" t="s">
        <v>26</v>
      </c>
      <c r="C204" s="187">
        <v>18.84</v>
      </c>
      <c r="D204" s="187">
        <v>18.88</v>
      </c>
      <c r="E204" s="187">
        <v>18.920000000000002</v>
      </c>
      <c r="F204" s="168">
        <f t="shared" si="224"/>
        <v>18.88</v>
      </c>
      <c r="G204" s="173">
        <v>6.47</v>
      </c>
      <c r="H204" s="173">
        <v>6.39</v>
      </c>
      <c r="I204" s="173">
        <v>6.42</v>
      </c>
      <c r="J204" s="168">
        <f t="shared" si="225"/>
        <v>6.4266666666666667</v>
      </c>
      <c r="K204" s="237">
        <f t="shared" si="226"/>
        <v>1799.2008025034768</v>
      </c>
      <c r="L204" s="521"/>
      <c r="M204" s="137" t="s">
        <v>26</v>
      </c>
      <c r="N204" s="173">
        <v>17.39</v>
      </c>
      <c r="O204" s="173">
        <v>17.14</v>
      </c>
      <c r="P204" s="173">
        <v>17.39</v>
      </c>
      <c r="Q204" s="168">
        <f t="shared" si="227"/>
        <v>17.306666666666668</v>
      </c>
      <c r="R204" s="189">
        <v>6.14</v>
      </c>
      <c r="S204" s="173">
        <v>6.11</v>
      </c>
      <c r="T204" s="173">
        <v>6.12</v>
      </c>
      <c r="U204" s="168">
        <f t="shared" si="228"/>
        <v>6.123333333333334</v>
      </c>
      <c r="V204" s="240">
        <f t="shared" si="233"/>
        <v>1440.4714037937467</v>
      </c>
      <c r="W204" s="27">
        <f t="shared" si="234"/>
        <v>8.3333333333333197</v>
      </c>
      <c r="X204" s="27">
        <f t="shared" si="235"/>
        <v>4.719917012448124</v>
      </c>
      <c r="Y204" s="27">
        <f t="shared" si="236"/>
        <v>19.938263600737631</v>
      </c>
      <c r="AC204" s="66"/>
      <c r="AD204" s="99"/>
      <c r="AE204" s="92"/>
      <c r="AF204" s="92"/>
      <c r="AG204" s="92"/>
      <c r="AH204" s="92"/>
      <c r="AI204" s="92"/>
      <c r="AJ204" s="92"/>
      <c r="AK204" s="92"/>
      <c r="AL204" s="92"/>
      <c r="AM204" s="92"/>
      <c r="AO204" s="66"/>
      <c r="AP204" s="99"/>
      <c r="AQ204" s="92"/>
      <c r="AR204" s="92"/>
      <c r="AS204" s="92"/>
      <c r="AT204" s="92"/>
      <c r="AU204" s="92"/>
      <c r="AV204" s="92"/>
      <c r="AW204" s="92"/>
      <c r="AX204" s="92"/>
      <c r="AY204" s="92"/>
      <c r="AZ204" s="92"/>
    </row>
    <row r="205" spans="1:52" ht="15.75" thickBot="1" x14ac:dyDescent="0.3">
      <c r="A205" s="522"/>
      <c r="B205" s="185" t="s">
        <v>27</v>
      </c>
      <c r="C205" s="188">
        <v>18.84</v>
      </c>
      <c r="D205" s="188">
        <v>18.899999999999999</v>
      </c>
      <c r="E205" s="188">
        <v>18.920000000000002</v>
      </c>
      <c r="F205" s="169">
        <f t="shared" si="224"/>
        <v>18.886666666666667</v>
      </c>
      <c r="G205" s="179">
        <v>6.35</v>
      </c>
      <c r="H205" s="179">
        <v>6.41</v>
      </c>
      <c r="I205" s="179">
        <v>6.35</v>
      </c>
      <c r="J205" s="180">
        <f t="shared" si="225"/>
        <v>6.37</v>
      </c>
      <c r="K205" s="238">
        <f t="shared" si="226"/>
        <v>1784.5961208478423</v>
      </c>
      <c r="L205" s="522"/>
      <c r="M205" s="138" t="s">
        <v>27</v>
      </c>
      <c r="N205" s="179">
        <v>17.41</v>
      </c>
      <c r="O205" s="179">
        <v>17.350000000000001</v>
      </c>
      <c r="P205" s="179">
        <v>17.329999999999998</v>
      </c>
      <c r="Q205" s="180">
        <f t="shared" si="227"/>
        <v>17.363333333333333</v>
      </c>
      <c r="R205" s="190">
        <v>6.06</v>
      </c>
      <c r="S205" s="179">
        <v>6.08</v>
      </c>
      <c r="T205" s="179">
        <v>6.02</v>
      </c>
      <c r="U205" s="180">
        <f t="shared" si="228"/>
        <v>6.0533333333333337</v>
      </c>
      <c r="V205" s="241">
        <f t="shared" si="233"/>
        <v>1433.3448034844378</v>
      </c>
      <c r="W205" s="27">
        <f t="shared" si="234"/>
        <v>8.0656547829156384</v>
      </c>
      <c r="X205" s="27">
        <f t="shared" si="235"/>
        <v>4.9712192569335389</v>
      </c>
      <c r="Y205" s="61">
        <f>((K205-V205)/K205)*100</f>
        <v>19.682398345488323</v>
      </c>
      <c r="AC205" s="66"/>
      <c r="AD205" s="99"/>
      <c r="AE205" s="92"/>
      <c r="AF205" s="92"/>
      <c r="AG205" s="92"/>
      <c r="AH205" s="92"/>
      <c r="AI205" s="92"/>
      <c r="AJ205" s="92"/>
      <c r="AK205" s="92"/>
      <c r="AL205" s="92"/>
      <c r="AM205" s="92"/>
      <c r="AO205" s="66"/>
      <c r="AP205" s="99"/>
      <c r="AQ205" s="92"/>
      <c r="AR205" s="92"/>
      <c r="AS205" s="92"/>
      <c r="AT205" s="92"/>
      <c r="AU205" s="92"/>
      <c r="AV205" s="92"/>
      <c r="AW205" s="92"/>
      <c r="AX205" s="92"/>
      <c r="AY205" s="92"/>
      <c r="AZ205" s="92"/>
    </row>
    <row r="206" spans="1:52" x14ac:dyDescent="0.25">
      <c r="A206" s="142"/>
      <c r="B206" s="67"/>
      <c r="C206" s="75"/>
      <c r="D206" s="75"/>
      <c r="E206" s="75"/>
      <c r="F206" s="125"/>
      <c r="G206" s="75"/>
      <c r="H206" s="75"/>
      <c r="I206" s="75"/>
      <c r="J206" s="75"/>
      <c r="K206" s="75"/>
      <c r="L206" s="75"/>
      <c r="M206" s="142"/>
      <c r="N206" s="67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C206" s="66"/>
      <c r="AD206" s="99"/>
      <c r="AE206" s="92"/>
      <c r="AF206" s="92"/>
      <c r="AG206" s="92"/>
      <c r="AH206" s="92"/>
      <c r="AI206" s="92"/>
      <c r="AJ206" s="92"/>
      <c r="AK206" s="92"/>
      <c r="AL206" s="92"/>
      <c r="AM206" s="92"/>
      <c r="AO206" s="66"/>
      <c r="AP206" s="99"/>
      <c r="AQ206" s="92"/>
      <c r="AR206" s="92"/>
      <c r="AS206" s="92"/>
      <c r="AT206" s="92"/>
      <c r="AU206" s="92"/>
      <c r="AV206" s="92"/>
      <c r="AW206" s="92"/>
      <c r="AX206" s="92"/>
      <c r="AY206" s="92"/>
      <c r="AZ206" s="92"/>
    </row>
    <row r="207" spans="1:52" x14ac:dyDescent="0.25">
      <c r="A207" s="142"/>
      <c r="B207" s="67"/>
      <c r="C207" s="75"/>
      <c r="D207" s="75"/>
      <c r="E207" s="75"/>
      <c r="F207" s="125"/>
      <c r="G207" s="75"/>
      <c r="H207" s="75"/>
      <c r="I207" s="75"/>
      <c r="J207" s="75"/>
      <c r="K207" s="75"/>
      <c r="L207" s="75"/>
      <c r="M207" s="142"/>
      <c r="N207" s="67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C207" s="66"/>
      <c r="AD207" s="99"/>
      <c r="AE207" s="92"/>
      <c r="AF207" s="92"/>
      <c r="AG207" s="92"/>
      <c r="AH207" s="92"/>
      <c r="AI207" s="92"/>
      <c r="AJ207" s="92"/>
      <c r="AK207" s="92"/>
      <c r="AL207" s="92"/>
      <c r="AM207" s="92"/>
      <c r="AO207" s="66"/>
      <c r="AP207" s="99"/>
      <c r="AQ207" s="92"/>
      <c r="AR207" s="92"/>
      <c r="AS207" s="92"/>
      <c r="AT207" s="92"/>
      <c r="AU207" s="92"/>
      <c r="AV207" s="92"/>
      <c r="AW207" s="92"/>
      <c r="AX207" s="92"/>
      <c r="AY207" s="92"/>
      <c r="AZ207" s="92"/>
    </row>
    <row r="208" spans="1:52" x14ac:dyDescent="0.25">
      <c r="A208" s="142"/>
      <c r="B208" s="67"/>
      <c r="C208" s="75"/>
      <c r="D208" s="75"/>
      <c r="E208" s="75"/>
      <c r="F208" s="125"/>
      <c r="G208" s="75"/>
      <c r="H208" s="75"/>
      <c r="I208" s="75"/>
      <c r="J208" s="75"/>
      <c r="K208" s="75"/>
      <c r="L208" s="75"/>
      <c r="M208" s="142"/>
      <c r="N208" s="67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C208" s="66"/>
      <c r="AD208" s="99"/>
      <c r="AE208" s="92"/>
      <c r="AF208" s="92"/>
      <c r="AG208" s="92"/>
      <c r="AH208" s="92"/>
      <c r="AI208" s="92"/>
      <c r="AJ208" s="92"/>
      <c r="AK208" s="92"/>
      <c r="AL208" s="92"/>
      <c r="AM208" s="92"/>
      <c r="AO208" s="66"/>
      <c r="AP208" s="99"/>
      <c r="AQ208" s="92"/>
      <c r="AR208" s="92"/>
      <c r="AS208" s="92"/>
      <c r="AT208" s="92"/>
      <c r="AU208" s="92"/>
      <c r="AV208" s="92"/>
      <c r="AW208" s="92"/>
      <c r="AX208" s="92"/>
      <c r="AY208" s="92"/>
      <c r="AZ208" s="92"/>
    </row>
    <row r="209" spans="1:52" x14ac:dyDescent="0.25">
      <c r="A209" s="142"/>
      <c r="B209" s="67"/>
      <c r="C209" s="75"/>
      <c r="D209" s="75"/>
      <c r="E209" s="75"/>
      <c r="F209" s="125"/>
      <c r="G209" s="75"/>
      <c r="H209" s="75"/>
      <c r="I209" s="75"/>
      <c r="J209" s="75"/>
      <c r="K209" s="75"/>
      <c r="L209" s="75"/>
      <c r="M209" s="142"/>
      <c r="N209" s="67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C209" s="66"/>
      <c r="AD209" s="99"/>
      <c r="AE209" s="92"/>
      <c r="AF209" s="92"/>
      <c r="AG209" s="92"/>
      <c r="AH209" s="92"/>
      <c r="AI209" s="92"/>
      <c r="AJ209" s="92"/>
      <c r="AK209" s="92"/>
      <c r="AL209" s="92"/>
      <c r="AM209" s="92"/>
      <c r="AO209" s="66"/>
      <c r="AP209" s="99"/>
      <c r="AQ209" s="92"/>
      <c r="AR209" s="92"/>
      <c r="AS209" s="92"/>
      <c r="AT209" s="92"/>
      <c r="AU209" s="92"/>
      <c r="AV209" s="92"/>
      <c r="AW209" s="92"/>
      <c r="AX209" s="92"/>
      <c r="AY209" s="92"/>
      <c r="AZ209" s="92"/>
    </row>
    <row r="210" spans="1:52" x14ac:dyDescent="0.25">
      <c r="A210" s="142"/>
      <c r="B210" s="67"/>
      <c r="C210" s="75"/>
      <c r="D210" s="75"/>
      <c r="E210" s="75"/>
      <c r="F210" s="125"/>
      <c r="G210" s="75"/>
      <c r="H210" s="75"/>
      <c r="I210" s="75"/>
      <c r="J210" s="75"/>
      <c r="K210" s="75"/>
      <c r="L210" s="75"/>
      <c r="M210" s="142"/>
      <c r="N210" s="67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C210" s="66"/>
      <c r="AD210" s="99"/>
      <c r="AE210" s="92"/>
      <c r="AF210" s="92"/>
      <c r="AG210" s="92"/>
      <c r="AH210" s="92"/>
      <c r="AI210" s="92"/>
      <c r="AJ210" s="92"/>
      <c r="AK210" s="92"/>
      <c r="AL210" s="92"/>
      <c r="AM210" s="92"/>
      <c r="AO210" s="66"/>
      <c r="AP210" s="99"/>
      <c r="AQ210" s="92"/>
      <c r="AR210" s="92"/>
      <c r="AS210" s="92"/>
      <c r="AT210" s="92"/>
      <c r="AU210" s="92"/>
      <c r="AV210" s="92"/>
      <c r="AW210" s="92"/>
      <c r="AX210" s="92"/>
      <c r="AY210" s="92"/>
      <c r="AZ210" s="92"/>
    </row>
    <row r="211" spans="1:52" x14ac:dyDescent="0.25">
      <c r="A211" s="142"/>
      <c r="B211" s="67"/>
      <c r="C211" s="75"/>
      <c r="D211" s="75"/>
      <c r="E211" s="75"/>
      <c r="F211" s="125"/>
      <c r="G211" s="75"/>
      <c r="H211" s="75"/>
      <c r="I211" s="75"/>
      <c r="J211" s="75"/>
      <c r="K211" s="75"/>
      <c r="L211" s="75"/>
      <c r="M211" s="142"/>
      <c r="N211" s="67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C211" s="66"/>
      <c r="AD211" s="99"/>
      <c r="AE211" s="92"/>
      <c r="AF211" s="92"/>
      <c r="AG211" s="92"/>
      <c r="AH211" s="92"/>
      <c r="AI211" s="92"/>
      <c r="AJ211" s="92"/>
      <c r="AK211" s="92"/>
      <c r="AL211" s="92"/>
      <c r="AM211" s="92"/>
      <c r="AO211" s="66"/>
      <c r="AP211" s="99"/>
      <c r="AQ211" s="92"/>
      <c r="AR211" s="92"/>
      <c r="AS211" s="92"/>
      <c r="AT211" s="92"/>
      <c r="AU211" s="92"/>
      <c r="AV211" s="92"/>
      <c r="AW211" s="92"/>
      <c r="AX211" s="92"/>
      <c r="AY211" s="92"/>
      <c r="AZ211" s="92"/>
    </row>
    <row r="212" spans="1:52" x14ac:dyDescent="0.25">
      <c r="A212" s="116"/>
      <c r="B212" s="91"/>
      <c r="C212" s="75"/>
      <c r="D212" s="75"/>
      <c r="E212" s="75"/>
      <c r="F212" s="125"/>
      <c r="G212" s="75"/>
      <c r="H212" s="75"/>
      <c r="I212" s="75"/>
      <c r="J212" s="75"/>
      <c r="K212" s="75"/>
      <c r="L212" s="75"/>
      <c r="M212" s="116"/>
      <c r="N212" s="91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C212" s="117"/>
      <c r="AD212" s="99"/>
      <c r="AE212" s="92"/>
      <c r="AF212" s="92"/>
      <c r="AG212" s="92"/>
      <c r="AH212" s="92"/>
      <c r="AI212" s="92"/>
      <c r="AJ212" s="92"/>
      <c r="AK212" s="92"/>
      <c r="AL212" s="92"/>
      <c r="AM212" s="92"/>
      <c r="AO212" s="66"/>
      <c r="AP212" s="99"/>
      <c r="AQ212" s="92"/>
      <c r="AR212" s="92"/>
      <c r="AS212" s="92"/>
      <c r="AT212" s="92"/>
      <c r="AU212" s="92"/>
      <c r="AV212" s="92"/>
      <c r="AW212" s="92"/>
      <c r="AX212" s="92"/>
      <c r="AY212" s="92"/>
      <c r="AZ212" s="92"/>
    </row>
    <row r="213" spans="1:52" ht="15.75" x14ac:dyDescent="0.25">
      <c r="A213" s="124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4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AC213" s="3"/>
      <c r="AE213" s="3"/>
      <c r="AF213" s="3"/>
      <c r="AG213" s="3"/>
      <c r="AH213" s="3"/>
      <c r="AI213" s="3"/>
      <c r="AJ213" s="3"/>
      <c r="AK213" s="3"/>
      <c r="AL213" s="3"/>
      <c r="AM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</row>
    <row r="214" spans="1:52" x14ac:dyDescent="0.25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86"/>
      <c r="AF214" s="86"/>
      <c r="AG214" s="86"/>
      <c r="AH214" s="86"/>
      <c r="AI214" s="86"/>
      <c r="AJ214" s="86"/>
      <c r="AK214" s="86"/>
      <c r="AL214" s="86"/>
      <c r="AM214" s="86"/>
      <c r="AO214" s="85"/>
      <c r="AP214" s="85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</row>
    <row r="215" spans="1:52" ht="15" customHeight="1" x14ac:dyDescent="0.25">
      <c r="A215" s="155"/>
      <c r="B215" s="91"/>
      <c r="C215" s="120"/>
      <c r="D215" s="120"/>
      <c r="E215" s="120"/>
      <c r="F215" s="125"/>
      <c r="G215" s="120"/>
      <c r="H215" s="120"/>
      <c r="I215" s="120"/>
      <c r="J215" s="125"/>
      <c r="K215" s="125"/>
      <c r="L215" s="116"/>
      <c r="M215" s="91"/>
      <c r="N215" s="120"/>
      <c r="O215" s="120"/>
      <c r="P215" s="120"/>
      <c r="Q215" s="125"/>
      <c r="R215" s="120"/>
      <c r="S215" s="120"/>
      <c r="T215" s="120"/>
      <c r="U215" s="125"/>
      <c r="V215" s="125"/>
      <c r="W215" s="125"/>
      <c r="X215" s="125"/>
      <c r="Y215" s="125"/>
      <c r="Z215" s="69"/>
      <c r="AA215" s="69"/>
      <c r="AB215" s="69"/>
      <c r="AC215" s="68"/>
      <c r="AD215" s="69"/>
      <c r="AE215" s="92"/>
      <c r="AF215" s="92"/>
      <c r="AG215" s="92"/>
      <c r="AH215" s="92"/>
      <c r="AI215" s="92"/>
      <c r="AJ215" s="92"/>
      <c r="AK215" s="92"/>
      <c r="AL215" s="92"/>
      <c r="AM215" s="92"/>
      <c r="AO215" s="66"/>
      <c r="AP215" s="91"/>
      <c r="AQ215" s="92"/>
      <c r="AR215" s="92"/>
      <c r="AS215" s="92"/>
      <c r="AT215" s="92"/>
      <c r="AU215" s="92"/>
      <c r="AV215" s="92"/>
      <c r="AW215" s="92"/>
      <c r="AX215" s="92"/>
      <c r="AY215" s="92"/>
      <c r="AZ215" s="92"/>
    </row>
    <row r="216" spans="1:52" x14ac:dyDescent="0.25">
      <c r="A216" s="155"/>
      <c r="B216" s="91"/>
      <c r="C216" s="120"/>
      <c r="D216" s="120"/>
      <c r="E216" s="120"/>
      <c r="F216" s="125"/>
      <c r="G216" s="120"/>
      <c r="H216" s="120"/>
      <c r="I216" s="120"/>
      <c r="J216" s="125"/>
      <c r="K216" s="125"/>
      <c r="L216" s="116"/>
      <c r="M216" s="91"/>
      <c r="N216" s="120"/>
      <c r="O216" s="120"/>
      <c r="P216" s="120"/>
      <c r="Q216" s="125"/>
      <c r="R216" s="120"/>
      <c r="S216" s="120"/>
      <c r="T216" s="120"/>
      <c r="U216" s="125"/>
      <c r="V216" s="125"/>
      <c r="W216" s="125"/>
      <c r="X216" s="125"/>
      <c r="Y216" s="125"/>
      <c r="Z216" s="69"/>
      <c r="AA216" s="69"/>
      <c r="AB216" s="69"/>
      <c r="AC216" s="68"/>
      <c r="AD216" s="69"/>
      <c r="AE216" s="92"/>
      <c r="AF216" s="92"/>
      <c r="AG216" s="92"/>
      <c r="AH216" s="92"/>
      <c r="AI216" s="92"/>
      <c r="AJ216" s="92"/>
      <c r="AK216" s="92"/>
      <c r="AL216" s="92"/>
      <c r="AM216" s="92"/>
      <c r="AO216" s="66"/>
      <c r="AP216" s="91"/>
      <c r="AQ216" s="92"/>
      <c r="AR216" s="92"/>
      <c r="AS216" s="92"/>
      <c r="AT216" s="92"/>
      <c r="AU216" s="92"/>
      <c r="AV216" s="92"/>
      <c r="AW216" s="92"/>
      <c r="AX216" s="92"/>
      <c r="AY216" s="92"/>
      <c r="AZ216" s="92"/>
    </row>
    <row r="217" spans="1:52" x14ac:dyDescent="0.25">
      <c r="A217" s="155"/>
      <c r="B217" s="91"/>
      <c r="C217" s="120"/>
      <c r="D217" s="120"/>
      <c r="E217" s="120"/>
      <c r="F217" s="125"/>
      <c r="G217" s="120"/>
      <c r="H217" s="120"/>
      <c r="I217" s="120"/>
      <c r="J217" s="125"/>
      <c r="K217" s="125"/>
      <c r="L217" s="116"/>
      <c r="M217" s="91"/>
      <c r="N217" s="120"/>
      <c r="O217" s="120"/>
      <c r="P217" s="120"/>
      <c r="Q217" s="125"/>
      <c r="R217" s="120"/>
      <c r="S217" s="120"/>
      <c r="T217" s="120"/>
      <c r="U217" s="125"/>
      <c r="V217" s="125"/>
      <c r="W217" s="125"/>
      <c r="X217" s="125"/>
      <c r="Y217" s="125"/>
      <c r="Z217" s="69"/>
      <c r="AA217" s="69"/>
      <c r="AB217" s="69"/>
      <c r="AC217" s="68"/>
      <c r="AD217" s="69"/>
      <c r="AE217" s="92"/>
      <c r="AF217" s="92"/>
      <c r="AG217" s="92"/>
      <c r="AH217" s="92"/>
      <c r="AI217" s="92"/>
      <c r="AJ217" s="92"/>
      <c r="AK217" s="92"/>
      <c r="AL217" s="92"/>
      <c r="AM217" s="92"/>
      <c r="AO217" s="66"/>
      <c r="AP217" s="91"/>
      <c r="AQ217" s="92"/>
      <c r="AR217" s="92"/>
      <c r="AS217" s="92"/>
      <c r="AT217" s="92"/>
      <c r="AU217" s="92"/>
      <c r="AV217" s="92"/>
      <c r="AW217" s="92"/>
      <c r="AX217" s="92"/>
      <c r="AY217" s="92"/>
      <c r="AZ217" s="92"/>
    </row>
    <row r="218" spans="1:52" x14ac:dyDescent="0.25">
      <c r="A218" s="155"/>
      <c r="B218" s="91"/>
      <c r="C218" s="120"/>
      <c r="D218" s="120"/>
      <c r="E218" s="120"/>
      <c r="F218" s="125"/>
      <c r="G218" s="120"/>
      <c r="H218" s="120"/>
      <c r="I218" s="120"/>
      <c r="J218" s="125"/>
      <c r="K218" s="125"/>
      <c r="L218" s="116"/>
      <c r="M218" s="91"/>
      <c r="N218" s="120"/>
      <c r="O218" s="120"/>
      <c r="P218" s="120"/>
      <c r="Q218" s="125"/>
      <c r="R218" s="120"/>
      <c r="S218" s="120"/>
      <c r="T218" s="120"/>
      <c r="U218" s="125"/>
      <c r="V218" s="125"/>
      <c r="W218" s="125"/>
      <c r="X218" s="125"/>
      <c r="Y218" s="125"/>
      <c r="Z218" s="69"/>
      <c r="AA218" s="69"/>
      <c r="AB218" s="69"/>
      <c r="AC218" s="68"/>
      <c r="AD218" s="69"/>
      <c r="AE218" s="92"/>
      <c r="AF218" s="92"/>
      <c r="AG218" s="92"/>
      <c r="AH218" s="92"/>
      <c r="AI218" s="92"/>
      <c r="AJ218" s="92"/>
      <c r="AK218" s="92"/>
      <c r="AL218" s="92"/>
      <c r="AM218" s="92"/>
      <c r="AO218" s="66"/>
      <c r="AP218" s="91"/>
      <c r="AQ218" s="92"/>
      <c r="AR218" s="92"/>
      <c r="AS218" s="92"/>
      <c r="AT218" s="92"/>
      <c r="AU218" s="92"/>
      <c r="AV218" s="92"/>
      <c r="AW218" s="92"/>
      <c r="AX218" s="92"/>
      <c r="AY218" s="92"/>
      <c r="AZ218" s="92"/>
    </row>
    <row r="219" spans="1:52" x14ac:dyDescent="0.25">
      <c r="A219" s="155"/>
      <c r="B219" s="91"/>
      <c r="C219" s="120"/>
      <c r="D219" s="120"/>
      <c r="E219" s="120"/>
      <c r="F219" s="125"/>
      <c r="G219" s="120"/>
      <c r="H219" s="120"/>
      <c r="I219" s="120"/>
      <c r="J219" s="125"/>
      <c r="K219" s="125"/>
      <c r="L219" s="116"/>
      <c r="M219" s="91"/>
      <c r="N219" s="120"/>
      <c r="O219" s="120"/>
      <c r="P219" s="120"/>
      <c r="Q219" s="125"/>
      <c r="R219" s="120"/>
      <c r="S219" s="120"/>
      <c r="T219" s="120"/>
      <c r="U219" s="125"/>
      <c r="V219" s="125"/>
      <c r="W219" s="125"/>
      <c r="X219" s="125"/>
      <c r="Y219" s="125"/>
      <c r="Z219" s="69"/>
      <c r="AA219" s="69"/>
      <c r="AB219" s="69"/>
      <c r="AC219" s="68"/>
      <c r="AD219" s="69"/>
      <c r="AE219" s="92"/>
      <c r="AF219" s="92"/>
      <c r="AG219" s="92"/>
      <c r="AH219" s="92"/>
      <c r="AI219" s="92"/>
      <c r="AJ219" s="92"/>
      <c r="AK219" s="92"/>
      <c r="AL219" s="92"/>
      <c r="AM219" s="92"/>
      <c r="AO219" s="66"/>
      <c r="AP219" s="91"/>
      <c r="AQ219" s="92"/>
      <c r="AR219" s="92"/>
      <c r="AS219" s="92"/>
      <c r="AT219" s="92"/>
      <c r="AU219" s="92"/>
      <c r="AV219" s="92"/>
      <c r="AW219" s="92"/>
      <c r="AX219" s="92"/>
      <c r="AY219" s="92"/>
      <c r="AZ219" s="92"/>
    </row>
    <row r="220" spans="1:52" x14ac:dyDescent="0.25">
      <c r="A220" s="155"/>
      <c r="B220" s="91"/>
      <c r="C220" s="120"/>
      <c r="D220" s="120"/>
      <c r="E220" s="120"/>
      <c r="F220" s="125"/>
      <c r="G220" s="120"/>
      <c r="H220" s="120"/>
      <c r="I220" s="120"/>
      <c r="J220" s="125"/>
      <c r="K220" s="125"/>
      <c r="L220" s="116"/>
      <c r="M220" s="91"/>
      <c r="N220" s="120"/>
      <c r="O220" s="120"/>
      <c r="P220" s="120"/>
      <c r="Q220" s="125"/>
      <c r="R220" s="120"/>
      <c r="S220" s="120"/>
      <c r="T220" s="120"/>
      <c r="U220" s="125"/>
      <c r="V220" s="125"/>
      <c r="W220" s="125"/>
      <c r="X220" s="125"/>
      <c r="Y220" s="125"/>
      <c r="Z220" s="69"/>
      <c r="AA220" s="69"/>
      <c r="AB220" s="69"/>
      <c r="AC220" s="68"/>
      <c r="AD220" s="69"/>
      <c r="AE220" s="92"/>
      <c r="AF220" s="92"/>
      <c r="AG220" s="92"/>
      <c r="AH220" s="92"/>
      <c r="AI220" s="92"/>
      <c r="AJ220" s="92"/>
      <c r="AK220" s="92"/>
      <c r="AL220" s="92"/>
      <c r="AM220" s="92"/>
      <c r="AO220" s="66"/>
      <c r="AP220" s="91"/>
      <c r="AQ220" s="92"/>
      <c r="AR220" s="92"/>
      <c r="AS220" s="92"/>
      <c r="AT220" s="92"/>
      <c r="AU220" s="92"/>
      <c r="AV220" s="92"/>
      <c r="AW220" s="92"/>
      <c r="AX220" s="92"/>
      <c r="AY220" s="92"/>
      <c r="AZ220" s="92"/>
    </row>
    <row r="221" spans="1:52" x14ac:dyDescent="0.25">
      <c r="A221" s="155"/>
      <c r="B221" s="91"/>
      <c r="C221" s="120"/>
      <c r="D221" s="120"/>
      <c r="E221" s="120"/>
      <c r="F221" s="125"/>
      <c r="G221" s="120"/>
      <c r="H221" s="120"/>
      <c r="I221" s="120"/>
      <c r="J221" s="125"/>
      <c r="K221" s="125"/>
      <c r="L221" s="116"/>
      <c r="M221" s="91"/>
      <c r="N221" s="120"/>
      <c r="O221" s="120"/>
      <c r="P221" s="120"/>
      <c r="Q221" s="125"/>
      <c r="R221" s="120"/>
      <c r="S221" s="120"/>
      <c r="T221" s="120"/>
      <c r="U221" s="125"/>
      <c r="V221" s="125"/>
      <c r="W221" s="125"/>
      <c r="X221" s="125"/>
      <c r="Y221" s="125"/>
      <c r="Z221" s="69"/>
      <c r="AA221" s="69"/>
      <c r="AB221" s="69"/>
      <c r="AC221" s="68"/>
      <c r="AD221" s="69"/>
      <c r="AE221" s="92"/>
      <c r="AF221" s="92"/>
      <c r="AG221" s="92"/>
      <c r="AH221" s="92"/>
      <c r="AI221" s="92"/>
      <c r="AJ221" s="92"/>
      <c r="AK221" s="92"/>
      <c r="AL221" s="92"/>
      <c r="AM221" s="92"/>
      <c r="AO221" s="66"/>
      <c r="AP221" s="91"/>
      <c r="AQ221" s="92"/>
      <c r="AR221" s="92"/>
      <c r="AS221" s="92"/>
      <c r="AT221" s="92"/>
      <c r="AU221" s="92"/>
      <c r="AV221" s="92"/>
      <c r="AW221" s="92"/>
      <c r="AX221" s="92"/>
      <c r="AY221" s="92"/>
      <c r="AZ221" s="92"/>
    </row>
    <row r="222" spans="1:52" ht="15" customHeight="1" x14ac:dyDescent="0.25">
      <c r="A222" s="155"/>
      <c r="B222" s="85"/>
      <c r="C222" s="120"/>
      <c r="D222" s="120"/>
      <c r="E222" s="120"/>
      <c r="F222" s="125"/>
      <c r="G222" s="120"/>
      <c r="H222" s="120"/>
      <c r="I222" s="120"/>
      <c r="J222" s="125"/>
      <c r="K222" s="125"/>
      <c r="L222" s="155"/>
      <c r="M222" s="85"/>
      <c r="N222" s="120"/>
      <c r="O222" s="120"/>
      <c r="P222" s="120"/>
      <c r="Q222" s="125"/>
      <c r="R222" s="120"/>
      <c r="S222" s="120"/>
      <c r="T222" s="120"/>
      <c r="U222" s="125"/>
      <c r="V222" s="125"/>
      <c r="W222" s="125"/>
      <c r="X222" s="125"/>
      <c r="Y222" s="125"/>
      <c r="Z222" s="69"/>
      <c r="AA222" s="69"/>
      <c r="AB222" s="69"/>
      <c r="AC222" s="68"/>
      <c r="AD222" s="69"/>
      <c r="AE222" s="92"/>
      <c r="AF222" s="92"/>
      <c r="AG222" s="92"/>
      <c r="AH222" s="92"/>
      <c r="AI222" s="92"/>
      <c r="AJ222" s="92"/>
      <c r="AK222" s="92"/>
      <c r="AL222" s="92"/>
      <c r="AM222" s="92"/>
      <c r="AO222" s="70"/>
      <c r="AP222" s="99"/>
      <c r="AQ222" s="92"/>
      <c r="AR222" s="92"/>
      <c r="AS222" s="92"/>
      <c r="AT222" s="92"/>
      <c r="AU222" s="92"/>
      <c r="AV222" s="92"/>
      <c r="AW222" s="92"/>
      <c r="AX222" s="92"/>
      <c r="AY222" s="92"/>
      <c r="AZ222" s="92"/>
    </row>
    <row r="223" spans="1:52" x14ac:dyDescent="0.25">
      <c r="A223" s="155"/>
      <c r="B223" s="85"/>
      <c r="C223" s="120"/>
      <c r="D223" s="120"/>
      <c r="E223" s="120"/>
      <c r="F223" s="125"/>
      <c r="G223" s="120"/>
      <c r="H223" s="120"/>
      <c r="I223" s="120"/>
      <c r="J223" s="125"/>
      <c r="K223" s="125"/>
      <c r="L223" s="155"/>
      <c r="M223" s="85"/>
      <c r="N223" s="120"/>
      <c r="O223" s="120"/>
      <c r="P223" s="120"/>
      <c r="Q223" s="125"/>
      <c r="R223" s="120"/>
      <c r="S223" s="120"/>
      <c r="T223" s="120"/>
      <c r="U223" s="125"/>
      <c r="V223" s="125"/>
      <c r="W223" s="125"/>
      <c r="X223" s="125"/>
      <c r="Y223" s="125"/>
      <c r="Z223" s="69"/>
      <c r="AA223" s="69"/>
      <c r="AB223" s="69"/>
      <c r="AC223" s="68"/>
      <c r="AD223" s="69"/>
      <c r="AE223" s="92"/>
      <c r="AF223" s="92"/>
      <c r="AG223" s="92"/>
      <c r="AH223" s="92"/>
      <c r="AI223" s="92"/>
      <c r="AJ223" s="92"/>
      <c r="AK223" s="92"/>
      <c r="AL223" s="92"/>
      <c r="AM223" s="92"/>
      <c r="AO223" s="66"/>
      <c r="AP223" s="99"/>
      <c r="AQ223" s="92"/>
      <c r="AR223" s="92"/>
      <c r="AS223" s="92"/>
      <c r="AT223" s="92"/>
      <c r="AU223" s="92"/>
      <c r="AV223" s="92"/>
      <c r="AW223" s="92"/>
      <c r="AX223" s="92"/>
      <c r="AY223" s="92"/>
      <c r="AZ223" s="92"/>
    </row>
    <row r="224" spans="1:52" x14ac:dyDescent="0.25">
      <c r="A224" s="155"/>
      <c r="B224" s="85"/>
      <c r="C224" s="120"/>
      <c r="D224" s="120"/>
      <c r="E224" s="120"/>
      <c r="F224" s="125"/>
      <c r="G224" s="120"/>
      <c r="H224" s="120"/>
      <c r="I224" s="120"/>
      <c r="J224" s="125"/>
      <c r="K224" s="125"/>
      <c r="L224" s="155"/>
      <c r="M224" s="85"/>
      <c r="N224" s="120"/>
      <c r="O224" s="120"/>
      <c r="P224" s="120"/>
      <c r="Q224" s="125"/>
      <c r="R224" s="120"/>
      <c r="S224" s="120"/>
      <c r="T224" s="120"/>
      <c r="U224" s="125"/>
      <c r="V224" s="125"/>
      <c r="W224" s="125"/>
      <c r="X224" s="125"/>
      <c r="Y224" s="125"/>
      <c r="Z224" s="69"/>
      <c r="AA224" s="69"/>
      <c r="AB224" s="69"/>
      <c r="AC224" s="68"/>
      <c r="AD224" s="69"/>
      <c r="AE224" s="92"/>
      <c r="AF224" s="92"/>
      <c r="AG224" s="92"/>
      <c r="AH224" s="92"/>
      <c r="AI224" s="92"/>
      <c r="AJ224" s="92"/>
      <c r="AK224" s="92"/>
      <c r="AL224" s="92"/>
      <c r="AM224" s="92"/>
      <c r="AO224" s="66"/>
      <c r="AP224" s="99"/>
      <c r="AQ224" s="92"/>
      <c r="AR224" s="92"/>
      <c r="AS224" s="92"/>
      <c r="AT224" s="92"/>
      <c r="AU224" s="92"/>
      <c r="AV224" s="92"/>
      <c r="AW224" s="92"/>
      <c r="AX224" s="92"/>
      <c r="AY224" s="92"/>
      <c r="AZ224" s="92"/>
    </row>
    <row r="225" spans="1:52" x14ac:dyDescent="0.25">
      <c r="A225" s="155"/>
      <c r="B225" s="203"/>
      <c r="C225" s="120"/>
      <c r="D225" s="120"/>
      <c r="E225" s="120"/>
      <c r="F225" s="125"/>
      <c r="G225" s="120"/>
      <c r="H225" s="120"/>
      <c r="I225" s="120"/>
      <c r="J225" s="125"/>
      <c r="K225" s="125"/>
      <c r="L225" s="155"/>
      <c r="M225" s="203"/>
      <c r="N225" s="120"/>
      <c r="O225" s="120"/>
      <c r="P225" s="120"/>
      <c r="Q225" s="125"/>
      <c r="R225" s="120"/>
      <c r="S225" s="120"/>
      <c r="T225" s="120"/>
      <c r="U225" s="125"/>
      <c r="V225" s="125"/>
      <c r="W225" s="125"/>
      <c r="X225" s="125"/>
      <c r="Y225" s="125"/>
      <c r="Z225" s="69"/>
      <c r="AA225" s="69"/>
      <c r="AB225" s="69"/>
      <c r="AC225" s="68"/>
      <c r="AD225" s="69"/>
      <c r="AE225" s="92"/>
      <c r="AF225" s="92"/>
      <c r="AG225" s="92"/>
      <c r="AH225" s="92"/>
      <c r="AI225" s="92"/>
      <c r="AJ225" s="92"/>
      <c r="AK225" s="92"/>
      <c r="AL225" s="92"/>
      <c r="AM225" s="92"/>
      <c r="AO225" s="66"/>
      <c r="AP225" s="99"/>
      <c r="AQ225" s="92"/>
      <c r="AR225" s="92"/>
      <c r="AS225" s="92"/>
      <c r="AT225" s="92"/>
      <c r="AU225" s="92"/>
      <c r="AV225" s="92"/>
      <c r="AW225" s="92"/>
      <c r="AX225" s="92"/>
      <c r="AY225" s="92"/>
      <c r="AZ225" s="92"/>
    </row>
    <row r="226" spans="1:52" x14ac:dyDescent="0.25">
      <c r="A226" s="155"/>
      <c r="B226" s="203"/>
      <c r="C226" s="120"/>
      <c r="D226" s="120"/>
      <c r="E226" s="120"/>
      <c r="F226" s="125"/>
      <c r="G226" s="120"/>
      <c r="H226" s="120"/>
      <c r="I226" s="120"/>
      <c r="J226" s="125"/>
      <c r="K226" s="125"/>
      <c r="L226" s="155"/>
      <c r="M226" s="203"/>
      <c r="N226" s="120"/>
      <c r="O226" s="120"/>
      <c r="P226" s="120"/>
      <c r="Q226" s="125"/>
      <c r="R226" s="120"/>
      <c r="S226" s="120"/>
      <c r="T226" s="120"/>
      <c r="U226" s="125"/>
      <c r="V226" s="125"/>
      <c r="W226" s="125"/>
      <c r="X226" s="125"/>
      <c r="Y226" s="125"/>
      <c r="Z226" s="69"/>
      <c r="AA226" s="69"/>
      <c r="AB226" s="69"/>
      <c r="AC226" s="68"/>
      <c r="AD226" s="69"/>
      <c r="AE226" s="92"/>
      <c r="AF226" s="92"/>
      <c r="AG226" s="92"/>
      <c r="AH226" s="92"/>
      <c r="AI226" s="92"/>
      <c r="AJ226" s="92"/>
      <c r="AK226" s="92"/>
      <c r="AL226" s="92"/>
      <c r="AM226" s="92"/>
      <c r="AO226" s="66"/>
      <c r="AP226" s="99"/>
      <c r="AQ226" s="92"/>
      <c r="AR226" s="92"/>
      <c r="AS226" s="92"/>
      <c r="AT226" s="92"/>
      <c r="AU226" s="92"/>
      <c r="AV226" s="92"/>
      <c r="AW226" s="92"/>
      <c r="AX226" s="92"/>
      <c r="AY226" s="92"/>
      <c r="AZ226" s="92"/>
    </row>
    <row r="227" spans="1:52" x14ac:dyDescent="0.25">
      <c r="A227" s="155"/>
      <c r="B227" s="203"/>
      <c r="C227" s="120"/>
      <c r="D227" s="120"/>
      <c r="E227" s="120"/>
      <c r="F227" s="125"/>
      <c r="G227" s="120"/>
      <c r="H227" s="120"/>
      <c r="I227" s="120"/>
      <c r="J227" s="125"/>
      <c r="K227" s="125"/>
      <c r="L227" s="155"/>
      <c r="M227" s="203"/>
      <c r="N227" s="120"/>
      <c r="O227" s="120"/>
      <c r="P227" s="120"/>
      <c r="Q227" s="125"/>
      <c r="R227" s="120"/>
      <c r="S227" s="120"/>
      <c r="T227" s="120"/>
      <c r="U227" s="125"/>
      <c r="V227" s="125"/>
      <c r="W227" s="125"/>
      <c r="X227" s="125"/>
      <c r="Y227" s="125"/>
      <c r="Z227" s="69"/>
      <c r="AA227" s="69"/>
      <c r="AB227" s="69"/>
      <c r="AC227" s="68"/>
      <c r="AD227" s="69"/>
      <c r="AE227" s="92"/>
      <c r="AF227" s="92"/>
      <c r="AG227" s="92"/>
      <c r="AH227" s="92"/>
      <c r="AI227" s="92"/>
      <c r="AJ227" s="92"/>
      <c r="AK227" s="92"/>
      <c r="AL227" s="92"/>
      <c r="AM227" s="92"/>
      <c r="AO227" s="66"/>
      <c r="AP227" s="99"/>
      <c r="AQ227" s="92"/>
      <c r="AR227" s="92"/>
      <c r="AS227" s="92"/>
      <c r="AT227" s="92"/>
      <c r="AU227" s="92"/>
      <c r="AV227" s="92"/>
      <c r="AW227" s="92"/>
      <c r="AX227" s="92"/>
      <c r="AY227" s="92"/>
      <c r="AZ227" s="92"/>
    </row>
    <row r="228" spans="1:52" x14ac:dyDescent="0.25">
      <c r="A228" s="155"/>
      <c r="B228" s="203"/>
      <c r="C228" s="120"/>
      <c r="D228" s="120"/>
      <c r="E228" s="120"/>
      <c r="F228" s="125"/>
      <c r="G228" s="120"/>
      <c r="H228" s="120"/>
      <c r="I228" s="120"/>
      <c r="J228" s="125"/>
      <c r="K228" s="125"/>
      <c r="L228" s="155"/>
      <c r="M228" s="203"/>
      <c r="N228" s="120"/>
      <c r="O228" s="120"/>
      <c r="P228" s="120"/>
      <c r="Q228" s="125"/>
      <c r="R228" s="120"/>
      <c r="S228" s="120"/>
      <c r="T228" s="120"/>
      <c r="U228" s="125"/>
      <c r="V228" s="125"/>
      <c r="W228" s="125"/>
      <c r="X228" s="125"/>
      <c r="Y228" s="125"/>
      <c r="Z228" s="69"/>
      <c r="AA228" s="69"/>
      <c r="AB228" s="69"/>
      <c r="AC228" s="68"/>
      <c r="AD228" s="69"/>
      <c r="AE228" s="92"/>
      <c r="AF228" s="92"/>
      <c r="AG228" s="92"/>
      <c r="AH228" s="92"/>
      <c r="AI228" s="92"/>
      <c r="AJ228" s="92"/>
      <c r="AK228" s="92"/>
      <c r="AL228" s="92"/>
      <c r="AM228" s="92"/>
      <c r="AO228" s="66"/>
      <c r="AP228" s="99"/>
      <c r="AQ228" s="92"/>
      <c r="AR228" s="92"/>
      <c r="AS228" s="92"/>
      <c r="AT228" s="92"/>
      <c r="AU228" s="92"/>
      <c r="AV228" s="92"/>
      <c r="AW228" s="92"/>
      <c r="AX228" s="92"/>
      <c r="AY228" s="92"/>
      <c r="AZ228" s="92"/>
    </row>
    <row r="229" spans="1:52" x14ac:dyDescent="0.25">
      <c r="A229" s="155"/>
      <c r="B229" s="203"/>
      <c r="C229" s="120"/>
      <c r="D229" s="120"/>
      <c r="E229" s="120"/>
      <c r="F229" s="125"/>
      <c r="G229" s="120"/>
      <c r="H229" s="120"/>
      <c r="I229" s="120"/>
      <c r="J229" s="125"/>
      <c r="K229" s="125"/>
      <c r="L229" s="155"/>
      <c r="M229" s="203"/>
      <c r="N229" s="120"/>
      <c r="O229" s="120"/>
      <c r="P229" s="120"/>
      <c r="Q229" s="125"/>
      <c r="R229" s="120"/>
      <c r="S229" s="120"/>
      <c r="T229" s="120"/>
      <c r="U229" s="125"/>
      <c r="V229" s="125"/>
      <c r="W229" s="125"/>
      <c r="X229" s="125"/>
      <c r="Y229" s="125"/>
      <c r="Z229" s="69"/>
      <c r="AA229" s="69"/>
      <c r="AB229" s="69"/>
      <c r="AC229" s="68"/>
      <c r="AD229" s="69"/>
      <c r="AE229" s="92"/>
      <c r="AF229" s="92"/>
      <c r="AG229" s="92"/>
      <c r="AH229" s="92"/>
      <c r="AI229" s="92"/>
      <c r="AJ229" s="92"/>
      <c r="AK229" s="92"/>
      <c r="AL229" s="92"/>
      <c r="AM229" s="92"/>
      <c r="AO229" s="66"/>
      <c r="AP229" s="99"/>
      <c r="AQ229" s="92"/>
      <c r="AR229" s="92"/>
      <c r="AS229" s="92"/>
      <c r="AT229" s="92"/>
      <c r="AU229" s="92"/>
      <c r="AV229" s="92"/>
      <c r="AW229" s="92"/>
      <c r="AX229" s="92"/>
      <c r="AY229" s="92"/>
      <c r="AZ229" s="92"/>
    </row>
    <row r="230" spans="1:52" x14ac:dyDescent="0.25">
      <c r="A230" s="155"/>
      <c r="B230" s="203"/>
      <c r="C230" s="120"/>
      <c r="D230" s="120"/>
      <c r="E230" s="120"/>
      <c r="F230" s="125"/>
      <c r="G230" s="120"/>
      <c r="H230" s="120"/>
      <c r="I230" s="120"/>
      <c r="J230" s="125"/>
      <c r="K230" s="125"/>
      <c r="L230" s="155"/>
      <c r="M230" s="203"/>
      <c r="N230" s="120"/>
      <c r="O230" s="120"/>
      <c r="P230" s="120"/>
      <c r="Q230" s="125"/>
      <c r="R230" s="120"/>
      <c r="S230" s="120"/>
      <c r="T230" s="120"/>
      <c r="U230" s="125"/>
      <c r="V230" s="125"/>
      <c r="W230" s="125"/>
      <c r="X230" s="125"/>
      <c r="Y230" s="125"/>
      <c r="Z230" s="69"/>
      <c r="AA230" s="69"/>
      <c r="AB230" s="69"/>
      <c r="AC230" s="68"/>
      <c r="AD230" s="69"/>
      <c r="AE230" s="92"/>
      <c r="AF230" s="92"/>
      <c r="AG230" s="92"/>
      <c r="AH230" s="92"/>
      <c r="AI230" s="92"/>
      <c r="AJ230" s="92"/>
      <c r="AK230" s="92"/>
      <c r="AL230" s="92"/>
      <c r="AM230" s="92"/>
      <c r="AO230" s="66"/>
      <c r="AP230" s="99"/>
      <c r="AQ230" s="92"/>
      <c r="AR230" s="92"/>
      <c r="AS230" s="92"/>
      <c r="AT230" s="92"/>
      <c r="AU230" s="92"/>
      <c r="AV230" s="92"/>
      <c r="AW230" s="92"/>
      <c r="AX230" s="92"/>
      <c r="AY230" s="92"/>
      <c r="AZ230" s="92"/>
    </row>
    <row r="231" spans="1:52" x14ac:dyDescent="0.25">
      <c r="A231" s="155"/>
      <c r="B231" s="203"/>
      <c r="C231" s="120"/>
      <c r="D231" s="120"/>
      <c r="E231" s="120"/>
      <c r="F231" s="125"/>
      <c r="G231" s="120"/>
      <c r="H231" s="120"/>
      <c r="I231" s="120"/>
      <c r="J231" s="125"/>
      <c r="K231" s="125"/>
      <c r="L231" s="155"/>
      <c r="M231" s="203"/>
      <c r="N231" s="120"/>
      <c r="O231" s="120"/>
      <c r="P231" s="120"/>
      <c r="Q231" s="125"/>
      <c r="R231" s="120"/>
      <c r="S231" s="120"/>
      <c r="T231" s="120"/>
      <c r="U231" s="125"/>
      <c r="V231" s="125"/>
      <c r="W231" s="125"/>
      <c r="X231" s="125"/>
      <c r="Y231" s="125"/>
      <c r="Z231" s="69"/>
      <c r="AA231" s="69"/>
      <c r="AB231" s="69"/>
      <c r="AC231" s="68"/>
      <c r="AD231" s="69"/>
      <c r="AE231" s="92"/>
      <c r="AF231" s="92"/>
      <c r="AG231" s="92"/>
      <c r="AH231" s="92"/>
      <c r="AI231" s="92"/>
      <c r="AJ231" s="92"/>
      <c r="AK231" s="92"/>
      <c r="AL231" s="92"/>
      <c r="AM231" s="92"/>
      <c r="AO231" s="66"/>
      <c r="AP231" s="99"/>
      <c r="AQ231" s="92"/>
      <c r="AR231" s="92"/>
      <c r="AS231" s="92"/>
      <c r="AT231" s="92"/>
      <c r="AU231" s="92"/>
      <c r="AV231" s="92"/>
      <c r="AW231" s="92"/>
      <c r="AX231" s="92"/>
      <c r="AY231" s="92"/>
      <c r="AZ231" s="92"/>
    </row>
    <row r="232" spans="1:52" x14ac:dyDescent="0.25">
      <c r="A232" s="155"/>
      <c r="B232" s="203"/>
      <c r="C232" s="120"/>
      <c r="D232" s="120"/>
      <c r="E232" s="120"/>
      <c r="F232" s="125"/>
      <c r="G232" s="120"/>
      <c r="H232" s="120"/>
      <c r="I232" s="120"/>
      <c r="J232" s="125"/>
      <c r="K232" s="125"/>
      <c r="L232" s="155"/>
      <c r="M232" s="203"/>
      <c r="N232" s="120"/>
      <c r="O232" s="120"/>
      <c r="P232" s="120"/>
      <c r="Q232" s="125"/>
      <c r="R232" s="120"/>
      <c r="S232" s="120"/>
      <c r="T232" s="120"/>
      <c r="U232" s="125"/>
      <c r="V232" s="125"/>
      <c r="W232" s="125"/>
      <c r="X232" s="125"/>
      <c r="Y232" s="125"/>
      <c r="Z232" s="69"/>
      <c r="AA232" s="69"/>
      <c r="AB232" s="69"/>
      <c r="AC232" s="68"/>
      <c r="AD232" s="69"/>
      <c r="AE232" s="92"/>
      <c r="AF232" s="92"/>
      <c r="AG232" s="92"/>
      <c r="AH232" s="92"/>
      <c r="AI232" s="92"/>
      <c r="AJ232" s="92"/>
      <c r="AK232" s="92"/>
      <c r="AL232" s="92"/>
      <c r="AM232" s="92"/>
      <c r="AO232" s="66"/>
      <c r="AP232" s="99"/>
      <c r="AQ232" s="92"/>
      <c r="AR232" s="92"/>
      <c r="AS232" s="92"/>
      <c r="AT232" s="92"/>
      <c r="AU232" s="92"/>
      <c r="AV232" s="92"/>
      <c r="AW232" s="92"/>
      <c r="AX232" s="92"/>
      <c r="AY232" s="92"/>
      <c r="AZ232" s="92"/>
    </row>
    <row r="233" spans="1:52" x14ac:dyDescent="0.25">
      <c r="A233" s="155"/>
      <c r="B233" s="203"/>
      <c r="C233" s="120"/>
      <c r="D233" s="120"/>
      <c r="E233" s="120"/>
      <c r="F233" s="125"/>
      <c r="G233" s="120"/>
      <c r="H233" s="120"/>
      <c r="I233" s="120"/>
      <c r="J233" s="125"/>
      <c r="K233" s="125"/>
      <c r="L233" s="155"/>
      <c r="M233" s="203"/>
      <c r="N233" s="120"/>
      <c r="O233" s="120"/>
      <c r="P233" s="120"/>
      <c r="Q233" s="125"/>
      <c r="R233" s="120"/>
      <c r="S233" s="120"/>
      <c r="T233" s="120"/>
      <c r="U233" s="125"/>
      <c r="V233" s="125"/>
      <c r="W233" s="125"/>
      <c r="X233" s="125"/>
      <c r="Y233" s="125"/>
      <c r="Z233" s="69"/>
      <c r="AA233" s="69"/>
      <c r="AB233" s="69"/>
      <c r="AC233" s="68"/>
      <c r="AD233" s="69"/>
      <c r="AE233" s="92"/>
      <c r="AF233" s="92"/>
      <c r="AG233" s="92"/>
      <c r="AH233" s="92"/>
      <c r="AI233" s="92"/>
      <c r="AJ233" s="92"/>
      <c r="AK233" s="92"/>
      <c r="AL233" s="92"/>
      <c r="AM233" s="92"/>
      <c r="AO233" s="66"/>
      <c r="AP233" s="99"/>
      <c r="AQ233" s="92"/>
      <c r="AR233" s="92"/>
      <c r="AS233" s="92"/>
      <c r="AT233" s="92"/>
      <c r="AU233" s="92"/>
      <c r="AV233" s="92"/>
      <c r="AW233" s="92"/>
      <c r="AX233" s="92"/>
      <c r="AY233" s="92"/>
      <c r="AZ233" s="92"/>
    </row>
    <row r="234" spans="1:52" x14ac:dyDescent="0.25">
      <c r="A234" s="116"/>
      <c r="B234" s="91"/>
      <c r="C234" s="75"/>
      <c r="D234" s="75"/>
      <c r="E234" s="75"/>
      <c r="F234" s="125"/>
      <c r="G234" s="75"/>
      <c r="H234" s="75"/>
      <c r="I234" s="75"/>
      <c r="J234" s="75"/>
      <c r="K234" s="75"/>
      <c r="L234" s="75"/>
      <c r="M234" s="116"/>
      <c r="N234" s="91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C234" s="117"/>
      <c r="AD234" s="99"/>
      <c r="AE234" s="92"/>
      <c r="AF234" s="92"/>
      <c r="AG234" s="92"/>
      <c r="AH234" s="92"/>
      <c r="AI234" s="92"/>
      <c r="AJ234" s="92"/>
      <c r="AK234" s="92"/>
      <c r="AL234" s="92"/>
      <c r="AM234" s="92"/>
      <c r="AO234" s="66"/>
      <c r="AP234" s="99"/>
      <c r="AQ234" s="92"/>
      <c r="AR234" s="92"/>
      <c r="AS234" s="92"/>
      <c r="AT234" s="92"/>
      <c r="AU234" s="92"/>
      <c r="AV234" s="92"/>
      <c r="AW234" s="92"/>
      <c r="AX234" s="92"/>
      <c r="AY234" s="92"/>
      <c r="AZ234" s="92"/>
    </row>
    <row r="235" spans="1:52" x14ac:dyDescent="0.25">
      <c r="A235" s="116"/>
      <c r="B235" s="91"/>
      <c r="C235" s="75"/>
      <c r="D235" s="75"/>
      <c r="E235" s="75"/>
      <c r="F235" s="125"/>
      <c r="G235" s="75"/>
      <c r="H235" s="75"/>
      <c r="I235" s="75"/>
      <c r="J235" s="75"/>
      <c r="K235" s="75"/>
      <c r="L235" s="75"/>
      <c r="M235" s="116"/>
      <c r="N235" s="91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C235" s="117"/>
      <c r="AD235" s="99"/>
      <c r="AE235" s="92"/>
      <c r="AF235" s="92"/>
      <c r="AG235" s="92"/>
      <c r="AH235" s="92"/>
      <c r="AI235" s="92"/>
      <c r="AJ235" s="92"/>
      <c r="AK235" s="92"/>
      <c r="AL235" s="92"/>
      <c r="AM235" s="92"/>
      <c r="AO235" s="66"/>
      <c r="AP235" s="99"/>
      <c r="AQ235" s="92"/>
      <c r="AR235" s="92"/>
      <c r="AS235" s="92"/>
      <c r="AT235" s="92"/>
      <c r="AU235" s="92"/>
      <c r="AV235" s="92"/>
      <c r="AW235" s="92"/>
      <c r="AX235" s="92"/>
      <c r="AY235" s="92"/>
      <c r="AZ235" s="92"/>
    </row>
    <row r="236" spans="1:52" x14ac:dyDescent="0.25">
      <c r="A236" s="116"/>
      <c r="B236" s="91"/>
      <c r="C236" s="75"/>
      <c r="D236" s="75"/>
      <c r="E236" s="75"/>
      <c r="F236" s="125"/>
      <c r="G236" s="75"/>
      <c r="H236" s="75"/>
      <c r="I236" s="75"/>
      <c r="J236" s="75"/>
      <c r="K236" s="75"/>
      <c r="L236" s="75"/>
      <c r="M236" s="116"/>
      <c r="N236" s="91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C236" s="117"/>
      <c r="AD236" s="99"/>
      <c r="AE236" s="92"/>
      <c r="AF236" s="92"/>
      <c r="AG236" s="92"/>
      <c r="AH236" s="92"/>
      <c r="AI236" s="92"/>
      <c r="AJ236" s="92"/>
      <c r="AK236" s="92"/>
      <c r="AL236" s="92"/>
      <c r="AM236" s="92"/>
      <c r="AO236" s="66"/>
      <c r="AP236" s="99"/>
      <c r="AQ236" s="92"/>
      <c r="AR236" s="92"/>
      <c r="AS236" s="92"/>
      <c r="AT236" s="92"/>
      <c r="AU236" s="92"/>
      <c r="AV236" s="92"/>
      <c r="AW236" s="92"/>
      <c r="AX236" s="92"/>
      <c r="AY236" s="92"/>
      <c r="AZ236" s="92"/>
    </row>
    <row r="237" spans="1:52" x14ac:dyDescent="0.25">
      <c r="A237" s="116"/>
      <c r="B237" s="91"/>
      <c r="C237" s="75"/>
      <c r="D237" s="75"/>
      <c r="E237" s="75"/>
      <c r="F237" s="125"/>
      <c r="G237" s="75"/>
      <c r="H237" s="75"/>
      <c r="I237" s="75"/>
      <c r="J237" s="75"/>
      <c r="K237" s="75"/>
      <c r="L237" s="75"/>
      <c r="M237" s="116"/>
      <c r="N237" s="116"/>
      <c r="O237" s="116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C237" s="117"/>
      <c r="AD237" s="99"/>
      <c r="AE237" s="92"/>
      <c r="AF237" s="92"/>
      <c r="AG237" s="92"/>
      <c r="AH237" s="92"/>
      <c r="AI237" s="92"/>
      <c r="AJ237" s="92"/>
      <c r="AK237" s="92"/>
      <c r="AL237" s="92"/>
      <c r="AM237" s="92"/>
      <c r="AO237" s="66"/>
      <c r="AP237" s="99"/>
      <c r="AQ237" s="92"/>
      <c r="AR237" s="92"/>
      <c r="AS237" s="92"/>
      <c r="AT237" s="92"/>
      <c r="AU237" s="92"/>
      <c r="AV237" s="92"/>
      <c r="AW237" s="92"/>
      <c r="AX237" s="92"/>
      <c r="AY237" s="92"/>
      <c r="AZ237" s="92"/>
    </row>
    <row r="238" spans="1:52" x14ac:dyDescent="0.25">
      <c r="A238" s="142"/>
      <c r="B238" s="67"/>
      <c r="C238" s="75"/>
      <c r="D238" s="75"/>
      <c r="E238" s="75"/>
      <c r="F238" s="125"/>
      <c r="G238" s="75"/>
      <c r="H238" s="75"/>
      <c r="I238" s="75"/>
      <c r="J238" s="75"/>
      <c r="K238" s="75"/>
      <c r="L238" s="75"/>
      <c r="M238" s="142"/>
      <c r="N238" s="142"/>
      <c r="O238" s="142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C238" s="66"/>
      <c r="AD238" s="99"/>
      <c r="AE238" s="92"/>
      <c r="AF238" s="92"/>
      <c r="AG238" s="92"/>
      <c r="AH238" s="92"/>
      <c r="AI238" s="92"/>
      <c r="AJ238" s="92"/>
      <c r="AK238" s="92"/>
      <c r="AL238" s="92"/>
      <c r="AM238" s="92"/>
      <c r="AO238" s="66"/>
      <c r="AP238" s="99"/>
      <c r="AQ238" s="92"/>
      <c r="AR238" s="92"/>
      <c r="AS238" s="92"/>
      <c r="AT238" s="92"/>
      <c r="AU238" s="92"/>
      <c r="AV238" s="92"/>
      <c r="AW238" s="92"/>
      <c r="AX238" s="92"/>
      <c r="AY238" s="92"/>
      <c r="AZ238" s="92"/>
    </row>
    <row r="239" spans="1:52" x14ac:dyDescent="0.25">
      <c r="A239" s="142"/>
      <c r="B239" s="67"/>
      <c r="C239" s="75"/>
      <c r="D239" s="75"/>
      <c r="E239" s="75"/>
      <c r="F239" s="125"/>
      <c r="G239" s="75"/>
      <c r="H239" s="75"/>
      <c r="I239" s="75"/>
      <c r="J239" s="75"/>
      <c r="K239" s="75"/>
      <c r="L239" s="75"/>
      <c r="M239" s="142"/>
      <c r="N239" s="142"/>
      <c r="O239" s="142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C239" s="66"/>
      <c r="AD239" s="99"/>
      <c r="AE239" s="92"/>
      <c r="AF239" s="92"/>
      <c r="AG239" s="92"/>
      <c r="AH239" s="92"/>
      <c r="AI239" s="92"/>
      <c r="AJ239" s="92"/>
      <c r="AK239" s="92"/>
      <c r="AL239" s="92"/>
      <c r="AM239" s="92"/>
      <c r="AO239" s="66"/>
      <c r="AP239" s="99"/>
      <c r="AQ239" s="92"/>
      <c r="AR239" s="92"/>
      <c r="AS239" s="92"/>
      <c r="AT239" s="92"/>
      <c r="AU239" s="92"/>
      <c r="AV239" s="92"/>
      <c r="AW239" s="92"/>
      <c r="AX239" s="92"/>
      <c r="AY239" s="92"/>
      <c r="AZ239" s="92"/>
    </row>
    <row r="240" spans="1:52" x14ac:dyDescent="0.25">
      <c r="A240" s="142"/>
      <c r="B240" s="67"/>
      <c r="C240" s="75"/>
      <c r="D240" s="75"/>
      <c r="E240" s="75"/>
      <c r="F240" s="125"/>
      <c r="G240" s="75"/>
      <c r="H240" s="75"/>
      <c r="I240" s="75"/>
      <c r="J240" s="75"/>
      <c r="K240" s="75"/>
      <c r="L240" s="75"/>
      <c r="M240" s="142"/>
      <c r="N240" s="142"/>
      <c r="O240" s="142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C240" s="66"/>
      <c r="AD240" s="99"/>
      <c r="AE240" s="92"/>
      <c r="AF240" s="92"/>
      <c r="AG240" s="92"/>
      <c r="AH240" s="92"/>
      <c r="AI240" s="92"/>
      <c r="AJ240" s="92"/>
      <c r="AK240" s="92"/>
      <c r="AL240" s="92"/>
      <c r="AM240" s="92"/>
      <c r="AO240" s="66"/>
      <c r="AP240" s="99"/>
      <c r="AQ240" s="92"/>
      <c r="AR240" s="92"/>
      <c r="AS240" s="92"/>
      <c r="AT240" s="92"/>
      <c r="AU240" s="92"/>
      <c r="AV240" s="92"/>
      <c r="AW240" s="92"/>
      <c r="AX240" s="92"/>
      <c r="AY240" s="92"/>
      <c r="AZ240" s="92"/>
    </row>
    <row r="241" spans="1:52" x14ac:dyDescent="0.25">
      <c r="A241" s="142"/>
      <c r="B241" s="67"/>
      <c r="C241" s="75"/>
      <c r="D241" s="75"/>
      <c r="E241" s="75"/>
      <c r="F241" s="125"/>
      <c r="G241" s="75"/>
      <c r="H241" s="75"/>
      <c r="I241" s="75"/>
      <c r="J241" s="75"/>
      <c r="K241" s="75"/>
      <c r="L241" s="75"/>
      <c r="M241" s="142"/>
      <c r="N241" s="142"/>
      <c r="O241" s="142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C241" s="66"/>
      <c r="AD241" s="99"/>
      <c r="AE241" s="92"/>
      <c r="AF241" s="92"/>
      <c r="AG241" s="92"/>
      <c r="AH241" s="92"/>
      <c r="AI241" s="92"/>
      <c r="AJ241" s="92"/>
      <c r="AK241" s="92"/>
      <c r="AL241" s="92"/>
      <c r="AM241" s="92"/>
      <c r="AO241" s="66"/>
      <c r="AP241" s="99"/>
      <c r="AQ241" s="92"/>
      <c r="AR241" s="92"/>
      <c r="AS241" s="92"/>
      <c r="AT241" s="92"/>
      <c r="AU241" s="92"/>
      <c r="AV241" s="92"/>
      <c r="AW241" s="92"/>
      <c r="AX241" s="92"/>
      <c r="AY241" s="92"/>
      <c r="AZ241" s="92"/>
    </row>
    <row r="242" spans="1:52" x14ac:dyDescent="0.25">
      <c r="A242" s="142"/>
      <c r="B242" s="67"/>
      <c r="C242" s="75"/>
      <c r="D242" s="75"/>
      <c r="E242" s="75"/>
      <c r="F242" s="125"/>
      <c r="G242" s="75"/>
      <c r="H242" s="75"/>
      <c r="I242" s="75"/>
      <c r="J242" s="75"/>
      <c r="K242" s="75"/>
      <c r="L242" s="75"/>
      <c r="M242" s="142"/>
      <c r="N242" s="67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C242" s="66"/>
      <c r="AD242" s="99"/>
      <c r="AE242" s="92"/>
      <c r="AF242" s="92"/>
      <c r="AG242" s="92"/>
      <c r="AH242" s="92"/>
      <c r="AI242" s="92"/>
      <c r="AJ242" s="92"/>
      <c r="AK242" s="92"/>
      <c r="AL242" s="92"/>
      <c r="AM242" s="92"/>
      <c r="AO242" s="66"/>
      <c r="AP242" s="99"/>
      <c r="AQ242" s="92"/>
      <c r="AR242" s="92"/>
      <c r="AS242" s="92"/>
      <c r="AT242" s="92"/>
      <c r="AU242" s="92"/>
      <c r="AV242" s="92"/>
      <c r="AW242" s="92"/>
      <c r="AX242" s="92"/>
      <c r="AY242" s="92"/>
      <c r="AZ242" s="92"/>
    </row>
    <row r="243" spans="1:52" ht="15" customHeight="1" x14ac:dyDescent="0.25">
      <c r="A243" s="70"/>
      <c r="B243" s="67"/>
      <c r="C243" s="75"/>
      <c r="D243" s="75"/>
      <c r="E243" s="75"/>
      <c r="F243" s="125"/>
      <c r="G243" s="75"/>
      <c r="H243" s="75"/>
      <c r="I243" s="75"/>
      <c r="J243" s="75"/>
      <c r="K243" s="75"/>
      <c r="L243" s="75"/>
      <c r="M243" s="142"/>
      <c r="N243" s="67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C243" s="66"/>
      <c r="AD243" s="99"/>
      <c r="AE243" s="92"/>
      <c r="AF243" s="92"/>
      <c r="AG243" s="92"/>
      <c r="AH243" s="92"/>
      <c r="AI243" s="92"/>
      <c r="AJ243" s="92"/>
      <c r="AK243" s="92"/>
      <c r="AL243" s="92"/>
      <c r="AM243" s="92"/>
      <c r="AO243" s="66"/>
      <c r="AP243" s="99"/>
      <c r="AQ243" s="92"/>
      <c r="AR243" s="92"/>
      <c r="AS243" s="92"/>
      <c r="AT243" s="92"/>
      <c r="AU243" s="92"/>
      <c r="AV243" s="92"/>
      <c r="AW243" s="92"/>
      <c r="AX243" s="92"/>
      <c r="AY243" s="92"/>
      <c r="AZ243" s="92"/>
    </row>
    <row r="244" spans="1:52" x14ac:dyDescent="0.25">
      <c r="A244" s="70"/>
      <c r="B244" s="67"/>
      <c r="C244" s="75"/>
      <c r="D244" s="75"/>
      <c r="E244" s="75"/>
      <c r="F244" s="125"/>
      <c r="G244" s="75"/>
      <c r="H244" s="75"/>
      <c r="I244" s="75"/>
      <c r="J244" s="75"/>
      <c r="K244" s="75"/>
      <c r="L244" s="75"/>
      <c r="M244" s="142"/>
      <c r="N244" s="67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C244" s="66"/>
      <c r="AD244" s="99"/>
      <c r="AE244" s="92"/>
      <c r="AF244" s="92"/>
      <c r="AG244" s="92"/>
      <c r="AH244" s="92"/>
      <c r="AI244" s="92"/>
      <c r="AJ244" s="92"/>
      <c r="AK244" s="92"/>
      <c r="AL244" s="92"/>
      <c r="AM244" s="92"/>
      <c r="AO244" s="66"/>
      <c r="AP244" s="99"/>
      <c r="AQ244" s="92"/>
      <c r="AR244" s="92"/>
      <c r="AS244" s="92"/>
      <c r="AT244" s="92"/>
      <c r="AU244" s="92"/>
      <c r="AV244" s="92"/>
      <c r="AW244" s="92"/>
      <c r="AX244" s="92"/>
      <c r="AY244" s="92"/>
      <c r="AZ244" s="92"/>
    </row>
    <row r="245" spans="1:52" x14ac:dyDescent="0.25">
      <c r="A245" s="70"/>
      <c r="B245" s="67"/>
      <c r="C245" s="75"/>
      <c r="D245" s="75"/>
      <c r="E245" s="75"/>
      <c r="F245" s="125"/>
      <c r="G245" s="75"/>
      <c r="H245" s="75"/>
      <c r="I245" s="75"/>
      <c r="J245" s="75"/>
      <c r="K245" s="75"/>
      <c r="L245" s="75"/>
      <c r="M245" s="142"/>
      <c r="N245" s="67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C245" s="66"/>
      <c r="AD245" s="99"/>
      <c r="AE245" s="92"/>
      <c r="AF245" s="92"/>
      <c r="AG245" s="92"/>
      <c r="AH245" s="92"/>
      <c r="AI245" s="92"/>
      <c r="AJ245" s="92"/>
      <c r="AK245" s="92"/>
      <c r="AL245" s="92"/>
      <c r="AM245" s="92"/>
      <c r="AO245" s="66"/>
      <c r="AP245" s="99"/>
      <c r="AQ245" s="92"/>
      <c r="AR245" s="92"/>
      <c r="AS245" s="92"/>
      <c r="AT245" s="92"/>
      <c r="AU245" s="92"/>
      <c r="AV245" s="92"/>
      <c r="AW245" s="92"/>
      <c r="AX245" s="92"/>
      <c r="AY245" s="92"/>
      <c r="AZ245" s="92"/>
    </row>
    <row r="246" spans="1:52" x14ac:dyDescent="0.25">
      <c r="A246" s="70"/>
      <c r="B246" s="67"/>
      <c r="C246" s="75"/>
      <c r="D246" s="75"/>
      <c r="E246" s="75"/>
      <c r="F246" s="125"/>
      <c r="G246" s="75"/>
      <c r="H246" s="75"/>
      <c r="I246" s="75"/>
      <c r="J246" s="75"/>
      <c r="K246" s="75"/>
      <c r="L246" s="75"/>
      <c r="M246" s="142"/>
      <c r="N246" s="67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C246" s="66"/>
      <c r="AD246" s="99"/>
      <c r="AE246" s="92"/>
      <c r="AF246" s="92"/>
      <c r="AG246" s="92"/>
      <c r="AH246" s="92"/>
      <c r="AI246" s="92"/>
      <c r="AJ246" s="92"/>
      <c r="AK246" s="92"/>
      <c r="AL246" s="92"/>
      <c r="AM246" s="92"/>
      <c r="AO246" s="66"/>
      <c r="AP246" s="99"/>
      <c r="AQ246" s="92"/>
      <c r="AR246" s="92"/>
      <c r="AS246" s="92"/>
      <c r="AT246" s="92"/>
      <c r="AU246" s="92"/>
      <c r="AV246" s="92"/>
      <c r="AW246" s="92"/>
      <c r="AX246" s="92"/>
      <c r="AY246" s="92"/>
      <c r="AZ246" s="92"/>
    </row>
    <row r="247" spans="1:52" x14ac:dyDescent="0.25">
      <c r="A247" s="70"/>
      <c r="B247" s="67"/>
      <c r="C247" s="75"/>
      <c r="D247" s="75"/>
      <c r="E247" s="75"/>
      <c r="F247" s="125"/>
      <c r="G247" s="75"/>
      <c r="H247" s="75"/>
      <c r="I247" s="75"/>
      <c r="J247" s="75"/>
      <c r="K247" s="75"/>
      <c r="L247" s="75"/>
      <c r="M247" s="142"/>
      <c r="N247" s="67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C247" s="66"/>
      <c r="AD247" s="99"/>
      <c r="AE247" s="92"/>
      <c r="AF247" s="92"/>
      <c r="AG247" s="92"/>
      <c r="AH247" s="92"/>
      <c r="AI247" s="92"/>
      <c r="AJ247" s="92"/>
      <c r="AK247" s="92"/>
      <c r="AL247" s="92"/>
      <c r="AM247" s="92"/>
      <c r="AO247" s="66"/>
      <c r="AP247" s="99"/>
      <c r="AQ247" s="92"/>
      <c r="AR247" s="92"/>
      <c r="AS247" s="92"/>
      <c r="AT247" s="92"/>
      <c r="AU247" s="92"/>
      <c r="AV247" s="92"/>
      <c r="AW247" s="92"/>
      <c r="AX247" s="92"/>
      <c r="AY247" s="92"/>
      <c r="AZ247" s="92"/>
    </row>
    <row r="248" spans="1:52" x14ac:dyDescent="0.25">
      <c r="A248" s="70"/>
      <c r="B248" s="67"/>
      <c r="C248" s="75"/>
      <c r="D248" s="75"/>
      <c r="E248" s="75"/>
      <c r="F248" s="125"/>
      <c r="G248" s="75"/>
      <c r="H248" s="75"/>
      <c r="I248" s="75"/>
      <c r="J248" s="75"/>
      <c r="K248" s="75"/>
      <c r="L248" s="75"/>
      <c r="M248" s="142"/>
      <c r="N248" s="67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C248" s="66"/>
      <c r="AD248" s="99"/>
      <c r="AE248" s="92"/>
      <c r="AF248" s="92"/>
      <c r="AG248" s="92"/>
      <c r="AH248" s="92"/>
      <c r="AI248" s="92"/>
      <c r="AJ248" s="92"/>
      <c r="AK248" s="92"/>
      <c r="AL248" s="92"/>
      <c r="AM248" s="92"/>
      <c r="AO248" s="66"/>
      <c r="AP248" s="99"/>
      <c r="AQ248" s="92"/>
      <c r="AR248" s="92"/>
      <c r="AS248" s="92"/>
      <c r="AT248" s="92"/>
      <c r="AU248" s="92"/>
      <c r="AV248" s="92"/>
      <c r="AW248" s="92"/>
      <c r="AX248" s="92"/>
      <c r="AY248" s="92"/>
      <c r="AZ248" s="92"/>
    </row>
    <row r="249" spans="1:52" x14ac:dyDescent="0.25">
      <c r="A249" s="70"/>
      <c r="B249" s="67"/>
      <c r="C249" s="75"/>
      <c r="D249" s="75"/>
      <c r="E249" s="75"/>
      <c r="F249" s="125"/>
      <c r="G249" s="75"/>
      <c r="H249" s="75"/>
      <c r="I249" s="75"/>
      <c r="J249" s="75"/>
      <c r="K249" s="75"/>
      <c r="L249" s="75"/>
      <c r="M249" s="142"/>
      <c r="N249" s="67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C249" s="66"/>
      <c r="AD249" s="99"/>
      <c r="AE249" s="92"/>
      <c r="AF249" s="92"/>
      <c r="AG249" s="92"/>
      <c r="AH249" s="92"/>
      <c r="AI249" s="92"/>
      <c r="AJ249" s="92"/>
      <c r="AK249" s="92"/>
      <c r="AL249" s="92"/>
      <c r="AM249" s="92"/>
      <c r="AO249" s="66"/>
      <c r="AP249" s="99"/>
      <c r="AQ249" s="92"/>
      <c r="AR249" s="92"/>
      <c r="AS249" s="92"/>
      <c r="AT249" s="92"/>
      <c r="AU249" s="92"/>
      <c r="AV249" s="92"/>
      <c r="AW249" s="92"/>
      <c r="AX249" s="92"/>
      <c r="AY249" s="92"/>
      <c r="AZ249" s="92"/>
    </row>
    <row r="250" spans="1:52" x14ac:dyDescent="0.25">
      <c r="A250" s="66"/>
      <c r="B250" s="67"/>
      <c r="C250" s="75"/>
      <c r="D250" s="75"/>
      <c r="E250" s="75"/>
      <c r="F250" s="125"/>
      <c r="G250" s="75"/>
      <c r="H250" s="75"/>
      <c r="I250" s="75"/>
      <c r="J250" s="75"/>
      <c r="K250" s="75"/>
      <c r="L250" s="75"/>
      <c r="M250" s="142"/>
      <c r="N250" s="67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C250" s="66"/>
      <c r="AD250" s="99"/>
      <c r="AE250" s="92"/>
      <c r="AF250" s="92"/>
      <c r="AG250" s="92"/>
      <c r="AH250" s="92"/>
      <c r="AI250" s="92"/>
      <c r="AJ250" s="92"/>
      <c r="AK250" s="92"/>
      <c r="AL250" s="92"/>
      <c r="AM250" s="92"/>
      <c r="AO250" s="66"/>
      <c r="AP250" s="99"/>
      <c r="AQ250" s="92"/>
      <c r="AR250" s="92"/>
      <c r="AS250" s="92"/>
      <c r="AT250" s="92"/>
      <c r="AU250" s="92"/>
      <c r="AV250" s="92"/>
      <c r="AW250" s="92"/>
      <c r="AX250" s="92"/>
      <c r="AY250" s="92"/>
      <c r="AZ250" s="92"/>
    </row>
    <row r="251" spans="1:52" x14ac:dyDescent="0.25">
      <c r="A251" s="66"/>
      <c r="B251" s="67"/>
      <c r="C251" s="75"/>
      <c r="D251" s="75"/>
      <c r="E251" s="75"/>
      <c r="F251" s="125"/>
      <c r="G251" s="75"/>
      <c r="H251" s="75"/>
      <c r="I251" s="75"/>
      <c r="J251" s="75"/>
      <c r="K251" s="75"/>
      <c r="L251" s="75"/>
      <c r="M251" s="142"/>
      <c r="N251" s="67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C251" s="66"/>
      <c r="AD251" s="99"/>
      <c r="AE251" s="92"/>
      <c r="AF251" s="92"/>
      <c r="AG251" s="92"/>
      <c r="AH251" s="92"/>
      <c r="AI251" s="92"/>
      <c r="AJ251" s="92"/>
      <c r="AK251" s="92"/>
      <c r="AL251" s="92"/>
      <c r="AM251" s="92"/>
      <c r="AO251" s="66"/>
      <c r="AP251" s="99"/>
      <c r="AQ251" s="92"/>
      <c r="AR251" s="92"/>
      <c r="AS251" s="92"/>
      <c r="AT251" s="92"/>
      <c r="AU251" s="92"/>
      <c r="AV251" s="92"/>
      <c r="AW251" s="92"/>
      <c r="AX251" s="92"/>
      <c r="AY251" s="92"/>
      <c r="AZ251" s="92"/>
    </row>
    <row r="252" spans="1:52" ht="15" customHeight="1" x14ac:dyDescent="0.25">
      <c r="A252" s="70"/>
      <c r="B252" s="67"/>
      <c r="C252" s="75"/>
      <c r="D252" s="75"/>
      <c r="E252" s="75"/>
      <c r="F252" s="125"/>
      <c r="G252" s="75"/>
      <c r="H252" s="75"/>
      <c r="I252" s="75"/>
      <c r="J252" s="75"/>
      <c r="K252" s="75"/>
      <c r="L252" s="75"/>
      <c r="M252" s="142"/>
      <c r="N252" s="67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C252" s="66"/>
      <c r="AD252" s="99"/>
      <c r="AE252" s="92"/>
      <c r="AF252" s="92"/>
      <c r="AG252" s="92"/>
      <c r="AH252" s="92"/>
      <c r="AI252" s="92"/>
      <c r="AJ252" s="92"/>
      <c r="AK252" s="92"/>
      <c r="AL252" s="92"/>
      <c r="AM252" s="92"/>
      <c r="AO252" s="66"/>
      <c r="AP252" s="99"/>
      <c r="AQ252" s="92"/>
      <c r="AR252" s="92"/>
      <c r="AS252" s="92"/>
      <c r="AT252" s="92"/>
      <c r="AU252" s="92"/>
      <c r="AV252" s="92"/>
      <c r="AW252" s="92"/>
      <c r="AX252" s="92"/>
      <c r="AY252" s="92"/>
      <c r="AZ252" s="92"/>
    </row>
    <row r="253" spans="1:52" x14ac:dyDescent="0.25">
      <c r="A253" s="70"/>
      <c r="B253" s="67"/>
      <c r="C253" s="75"/>
      <c r="D253" s="75"/>
      <c r="E253" s="75"/>
      <c r="F253" s="125"/>
      <c r="G253" s="75"/>
      <c r="H253" s="75"/>
      <c r="I253" s="75"/>
      <c r="J253" s="75"/>
      <c r="K253" s="75"/>
      <c r="L253" s="75"/>
      <c r="M253" s="142"/>
      <c r="N253" s="67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C253" s="66"/>
      <c r="AD253" s="99"/>
      <c r="AE253" s="92"/>
      <c r="AF253" s="92"/>
      <c r="AG253" s="92"/>
      <c r="AH253" s="92"/>
      <c r="AI253" s="92"/>
      <c r="AJ253" s="92"/>
      <c r="AK253" s="92"/>
      <c r="AL253" s="92"/>
      <c r="AM253" s="92"/>
      <c r="AO253" s="66"/>
      <c r="AP253" s="99"/>
      <c r="AQ253" s="92"/>
      <c r="AR253" s="92"/>
      <c r="AS253" s="92"/>
      <c r="AT253" s="92"/>
      <c r="AU253" s="92"/>
      <c r="AV253" s="92"/>
      <c r="AW253" s="92"/>
      <c r="AX253" s="92"/>
      <c r="AY253" s="92"/>
      <c r="AZ253" s="92"/>
    </row>
    <row r="254" spans="1:52" x14ac:dyDescent="0.25">
      <c r="A254" s="70"/>
      <c r="B254" s="67"/>
      <c r="C254" s="75"/>
      <c r="D254" s="75"/>
      <c r="E254" s="75"/>
      <c r="F254" s="125"/>
      <c r="G254" s="75"/>
      <c r="H254" s="75"/>
      <c r="I254" s="75"/>
      <c r="J254" s="75"/>
      <c r="K254" s="75"/>
      <c r="L254" s="75"/>
      <c r="M254" s="142"/>
      <c r="N254" s="67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C254" s="66"/>
      <c r="AD254" s="99"/>
      <c r="AE254" s="92"/>
      <c r="AF254" s="92"/>
      <c r="AG254" s="92"/>
      <c r="AH254" s="92"/>
      <c r="AI254" s="92"/>
      <c r="AJ254" s="92"/>
      <c r="AK254" s="92"/>
      <c r="AL254" s="92"/>
      <c r="AM254" s="92"/>
      <c r="AO254" s="66"/>
      <c r="AP254" s="99"/>
      <c r="AQ254" s="92"/>
      <c r="AR254" s="92"/>
      <c r="AS254" s="92"/>
      <c r="AT254" s="92"/>
      <c r="AU254" s="92"/>
      <c r="AV254" s="92"/>
      <c r="AW254" s="92"/>
      <c r="AX254" s="92"/>
      <c r="AY254" s="92"/>
      <c r="AZ254" s="92"/>
    </row>
    <row r="255" spans="1:52" x14ac:dyDescent="0.25">
      <c r="A255" s="70"/>
      <c r="B255" s="67"/>
      <c r="C255" s="75"/>
      <c r="D255" s="75"/>
      <c r="E255" s="75"/>
      <c r="F255" s="125"/>
      <c r="G255" s="75"/>
      <c r="H255" s="75"/>
      <c r="I255" s="75"/>
      <c r="J255" s="75"/>
      <c r="K255" s="75"/>
      <c r="L255" s="75"/>
      <c r="M255" s="142"/>
      <c r="N255" s="67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C255" s="66"/>
      <c r="AD255" s="99"/>
      <c r="AE255" s="92"/>
      <c r="AF255" s="92"/>
      <c r="AG255" s="92"/>
      <c r="AH255" s="92"/>
      <c r="AI255" s="92"/>
      <c r="AJ255" s="92"/>
      <c r="AK255" s="92"/>
      <c r="AL255" s="92"/>
      <c r="AM255" s="92"/>
      <c r="AO255" s="66"/>
      <c r="AP255" s="99"/>
      <c r="AQ255" s="92"/>
      <c r="AR255" s="92"/>
      <c r="AS255" s="92"/>
      <c r="AT255" s="92"/>
      <c r="AU255" s="92"/>
      <c r="AV255" s="92"/>
      <c r="AW255" s="92"/>
      <c r="AX255" s="92"/>
      <c r="AY255" s="92"/>
      <c r="AZ255" s="92"/>
    </row>
    <row r="256" spans="1:52" x14ac:dyDescent="0.25">
      <c r="A256" s="70"/>
      <c r="B256" s="67"/>
      <c r="C256" s="75"/>
      <c r="D256" s="75"/>
      <c r="E256" s="75"/>
      <c r="F256" s="125"/>
      <c r="G256" s="75"/>
      <c r="H256" s="75"/>
      <c r="I256" s="75"/>
      <c r="J256" s="75"/>
      <c r="K256" s="75"/>
      <c r="L256" s="75"/>
      <c r="M256" s="142"/>
      <c r="N256" s="67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C256" s="66"/>
      <c r="AD256" s="99"/>
      <c r="AE256" s="92"/>
      <c r="AF256" s="92"/>
      <c r="AG256" s="92"/>
      <c r="AH256" s="92"/>
      <c r="AI256" s="92"/>
      <c r="AJ256" s="92"/>
      <c r="AK256" s="92"/>
      <c r="AL256" s="92"/>
      <c r="AM256" s="92"/>
      <c r="AO256" s="66"/>
      <c r="AP256" s="99"/>
      <c r="AQ256" s="92"/>
      <c r="AR256" s="92"/>
      <c r="AS256" s="92"/>
      <c r="AT256" s="92"/>
      <c r="AU256" s="92"/>
      <c r="AV256" s="92"/>
      <c r="AW256" s="92"/>
      <c r="AX256" s="92"/>
      <c r="AY256" s="92"/>
      <c r="AZ256" s="92"/>
    </row>
    <row r="257" spans="1:52" x14ac:dyDescent="0.25">
      <c r="A257" s="70"/>
      <c r="B257" s="67"/>
      <c r="C257" s="75"/>
      <c r="D257" s="75"/>
      <c r="E257" s="75"/>
      <c r="F257" s="125"/>
      <c r="G257" s="75"/>
      <c r="H257" s="75"/>
      <c r="I257" s="75"/>
      <c r="J257" s="75"/>
      <c r="K257" s="75"/>
      <c r="L257" s="75"/>
      <c r="M257" s="142"/>
      <c r="N257" s="67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C257" s="66"/>
      <c r="AD257" s="99"/>
      <c r="AE257" s="92"/>
      <c r="AF257" s="92"/>
      <c r="AG257" s="92"/>
      <c r="AH257" s="92"/>
      <c r="AI257" s="92"/>
      <c r="AJ257" s="92"/>
      <c r="AK257" s="92"/>
      <c r="AL257" s="92"/>
      <c r="AO257" s="66"/>
      <c r="AP257" s="99"/>
      <c r="AQ257" s="92"/>
      <c r="AR257" s="92"/>
      <c r="AS257" s="92"/>
      <c r="AT257" s="92"/>
      <c r="AU257" s="92"/>
      <c r="AV257" s="92"/>
      <c r="AW257" s="92"/>
      <c r="AX257" s="92"/>
      <c r="AY257" s="92"/>
      <c r="AZ257" s="92"/>
    </row>
    <row r="258" spans="1:52" x14ac:dyDescent="0.25">
      <c r="A258" s="70"/>
      <c r="B258" s="67"/>
      <c r="C258" s="75"/>
      <c r="D258" s="75"/>
      <c r="E258" s="75"/>
      <c r="F258" s="125"/>
      <c r="G258" s="75"/>
      <c r="H258" s="75"/>
      <c r="I258" s="75"/>
      <c r="J258" s="75"/>
      <c r="K258" s="75"/>
      <c r="L258" s="75"/>
      <c r="M258" s="142"/>
      <c r="N258" s="67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C258" s="66"/>
      <c r="AD258" s="99"/>
      <c r="AE258" s="92"/>
      <c r="AF258" s="92"/>
      <c r="AG258" s="92"/>
      <c r="AH258" s="92"/>
      <c r="AI258" s="92"/>
      <c r="AJ258" s="92"/>
      <c r="AK258" s="92"/>
      <c r="AL258" s="92"/>
      <c r="AM258" s="92"/>
      <c r="AO258" s="66"/>
      <c r="AP258" s="99"/>
      <c r="AQ258" s="92"/>
      <c r="AR258" s="92"/>
      <c r="AS258" s="92"/>
      <c r="AT258" s="92"/>
      <c r="AU258" s="92"/>
      <c r="AV258" s="92"/>
      <c r="AW258" s="92"/>
      <c r="AX258" s="92"/>
      <c r="AY258" s="92"/>
      <c r="AZ258" s="92"/>
    </row>
    <row r="259" spans="1:52" x14ac:dyDescent="0.25">
      <c r="A259" s="70"/>
      <c r="B259" s="67"/>
      <c r="C259" s="75"/>
      <c r="D259" s="75"/>
      <c r="E259" s="75"/>
      <c r="F259" s="125"/>
      <c r="G259" s="75"/>
      <c r="H259" s="75"/>
      <c r="I259" s="75"/>
      <c r="J259" s="75"/>
      <c r="K259" s="75"/>
      <c r="L259" s="75"/>
      <c r="M259" s="142"/>
      <c r="N259" s="67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C259" s="66"/>
      <c r="AD259" s="99"/>
      <c r="AE259" s="92"/>
      <c r="AF259" s="92"/>
      <c r="AG259" s="92"/>
      <c r="AH259" s="92"/>
      <c r="AI259" s="92"/>
      <c r="AJ259" s="92"/>
      <c r="AK259" s="92"/>
      <c r="AL259" s="92"/>
      <c r="AM259" s="92"/>
      <c r="AO259" s="66"/>
      <c r="AP259" s="99"/>
      <c r="AQ259" s="92"/>
      <c r="AR259" s="92"/>
      <c r="AS259" s="92"/>
      <c r="AT259" s="92"/>
      <c r="AU259" s="92"/>
      <c r="AV259" s="92"/>
      <c r="AW259" s="92"/>
      <c r="AX259" s="92"/>
      <c r="AY259" s="92"/>
      <c r="AZ259" s="92"/>
    </row>
    <row r="260" spans="1:52" x14ac:dyDescent="0.25">
      <c r="A260" s="70"/>
      <c r="B260" s="67"/>
      <c r="C260" s="75"/>
      <c r="D260" s="75"/>
      <c r="E260" s="75"/>
      <c r="F260" s="125"/>
      <c r="G260" s="75"/>
      <c r="H260" s="75"/>
      <c r="I260" s="75"/>
      <c r="J260" s="75"/>
      <c r="K260" s="75"/>
      <c r="L260" s="75"/>
      <c r="M260" s="142"/>
      <c r="N260" s="67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C260" s="66"/>
      <c r="AD260" s="99"/>
      <c r="AE260" s="92"/>
      <c r="AF260" s="92"/>
      <c r="AG260" s="92"/>
      <c r="AH260" s="92"/>
      <c r="AI260" s="92"/>
      <c r="AJ260" s="92"/>
      <c r="AK260" s="92"/>
      <c r="AL260" s="92"/>
      <c r="AM260" s="92"/>
      <c r="AO260" s="66"/>
      <c r="AP260" s="99"/>
      <c r="AQ260" s="92"/>
      <c r="AR260" s="92"/>
      <c r="AS260" s="92"/>
      <c r="AT260" s="92"/>
      <c r="AU260" s="92"/>
      <c r="AV260" s="92"/>
      <c r="AW260" s="92"/>
      <c r="AX260" s="92"/>
      <c r="AY260" s="92"/>
      <c r="AZ260" s="92"/>
    </row>
    <row r="261" spans="1:52" x14ac:dyDescent="0.25">
      <c r="A261" s="70"/>
      <c r="B261" s="67"/>
      <c r="C261" s="75"/>
      <c r="D261" s="75"/>
      <c r="E261" s="75"/>
      <c r="F261" s="125"/>
      <c r="G261" s="75"/>
      <c r="H261" s="75"/>
      <c r="I261" s="75"/>
      <c r="J261" s="75"/>
      <c r="K261" s="75"/>
      <c r="L261" s="75"/>
      <c r="M261" s="142"/>
      <c r="N261" s="67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C261" s="66"/>
      <c r="AD261" s="99"/>
      <c r="AE261" s="92"/>
      <c r="AF261" s="92"/>
      <c r="AG261" s="92"/>
      <c r="AH261" s="92"/>
      <c r="AI261" s="92"/>
      <c r="AJ261" s="92"/>
      <c r="AK261" s="92"/>
      <c r="AL261" s="92"/>
      <c r="AM261" s="92"/>
      <c r="AO261" s="66"/>
      <c r="AP261" s="99"/>
      <c r="AQ261" s="92"/>
      <c r="AR261" s="92"/>
      <c r="AS261" s="92"/>
      <c r="AT261" s="92"/>
      <c r="AU261" s="92"/>
      <c r="AV261" s="92"/>
      <c r="AW261" s="92"/>
      <c r="AX261" s="92"/>
      <c r="AY261" s="92"/>
      <c r="AZ261" s="92"/>
    </row>
    <row r="262" spans="1:52" x14ac:dyDescent="0.25">
      <c r="A262" s="70"/>
      <c r="B262" s="67"/>
      <c r="C262" s="75"/>
      <c r="D262" s="75"/>
      <c r="E262" s="75"/>
      <c r="F262" s="125"/>
      <c r="G262" s="75"/>
      <c r="H262" s="75"/>
      <c r="I262" s="75"/>
      <c r="J262" s="75"/>
      <c r="K262" s="75"/>
      <c r="L262" s="75"/>
      <c r="M262" s="142"/>
      <c r="N262" s="67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C262" s="66"/>
      <c r="AD262" s="99"/>
      <c r="AE262" s="92"/>
      <c r="AF262" s="92"/>
      <c r="AG262" s="92"/>
      <c r="AH262" s="92"/>
      <c r="AI262" s="92"/>
      <c r="AJ262" s="92"/>
      <c r="AK262" s="92"/>
      <c r="AL262" s="92"/>
      <c r="AM262" s="92"/>
      <c r="AO262" s="66"/>
      <c r="AP262" s="99"/>
      <c r="AQ262" s="92"/>
      <c r="AR262" s="92"/>
      <c r="AS262" s="92"/>
      <c r="AT262" s="92"/>
      <c r="AU262" s="92"/>
      <c r="AV262" s="92"/>
      <c r="AW262" s="92"/>
      <c r="AX262" s="92"/>
      <c r="AY262" s="92"/>
      <c r="AZ262" s="92"/>
    </row>
    <row r="263" spans="1:52" x14ac:dyDescent="0.25">
      <c r="A263" s="70"/>
      <c r="B263" s="67"/>
      <c r="C263" s="75"/>
      <c r="D263" s="75"/>
      <c r="E263" s="75"/>
      <c r="F263" s="125"/>
      <c r="G263" s="75"/>
      <c r="H263" s="75"/>
      <c r="I263" s="75"/>
      <c r="J263" s="75"/>
      <c r="K263" s="75"/>
      <c r="L263" s="75"/>
      <c r="M263" s="142"/>
      <c r="N263" s="67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C263" s="66"/>
      <c r="AD263" s="99"/>
      <c r="AE263" s="92"/>
      <c r="AF263" s="92"/>
      <c r="AG263" s="92"/>
      <c r="AH263" s="92"/>
      <c r="AI263" s="92"/>
      <c r="AJ263" s="92"/>
      <c r="AK263" s="92"/>
      <c r="AL263" s="92"/>
      <c r="AM263" s="92"/>
      <c r="AO263" s="66"/>
      <c r="AP263" s="99"/>
      <c r="AQ263" s="92"/>
      <c r="AR263" s="92"/>
      <c r="AS263" s="92"/>
      <c r="AT263" s="92"/>
      <c r="AU263" s="92"/>
      <c r="AV263" s="92"/>
      <c r="AW263" s="92"/>
      <c r="AX263" s="92"/>
      <c r="AY263" s="92"/>
      <c r="AZ263" s="92"/>
    </row>
    <row r="264" spans="1:52" x14ac:dyDescent="0.25">
      <c r="A264" s="142"/>
      <c r="B264" s="67"/>
      <c r="C264" s="75"/>
      <c r="D264" s="75"/>
      <c r="E264" s="75"/>
      <c r="F264" s="125"/>
      <c r="G264" s="75"/>
      <c r="H264" s="75"/>
      <c r="I264" s="75"/>
      <c r="J264" s="75"/>
      <c r="K264" s="75"/>
      <c r="L264" s="75"/>
      <c r="M264" s="142"/>
      <c r="N264" s="67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C264" s="66"/>
      <c r="AD264" s="99"/>
      <c r="AE264" s="92"/>
      <c r="AF264" s="92"/>
      <c r="AG264" s="92"/>
      <c r="AH264" s="92"/>
      <c r="AI264" s="92"/>
      <c r="AJ264" s="92"/>
      <c r="AK264" s="92"/>
      <c r="AL264" s="92"/>
      <c r="AM264" s="92"/>
      <c r="AO264" s="66"/>
      <c r="AP264" s="99"/>
      <c r="AQ264" s="92"/>
      <c r="AR264" s="92"/>
      <c r="AS264" s="92"/>
      <c r="AT264" s="92"/>
      <c r="AU264" s="92"/>
      <c r="AV264" s="92"/>
      <c r="AW264" s="92"/>
      <c r="AX264" s="92"/>
      <c r="AY264" s="92"/>
      <c r="AZ264" s="92"/>
    </row>
    <row r="265" spans="1:52" x14ac:dyDescent="0.25">
      <c r="A265" s="142"/>
      <c r="B265" s="67"/>
      <c r="C265" s="75"/>
      <c r="D265" s="75"/>
      <c r="E265" s="75"/>
      <c r="F265" s="125"/>
      <c r="G265" s="75"/>
      <c r="H265" s="75"/>
      <c r="I265" s="75"/>
      <c r="J265" s="75"/>
      <c r="K265" s="75"/>
      <c r="L265" s="75"/>
      <c r="M265" s="142"/>
      <c r="N265" s="67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C265" s="66"/>
      <c r="AD265" s="99"/>
      <c r="AE265" s="92"/>
      <c r="AF265" s="92"/>
      <c r="AG265" s="92"/>
      <c r="AH265" s="92"/>
      <c r="AI265" s="92"/>
      <c r="AJ265" s="92"/>
      <c r="AK265" s="92"/>
      <c r="AL265" s="92"/>
      <c r="AM265" s="92"/>
      <c r="AO265" s="66"/>
      <c r="AP265" s="99"/>
      <c r="AQ265" s="92"/>
      <c r="AR265" s="92"/>
      <c r="AS265" s="92"/>
      <c r="AT265" s="92"/>
      <c r="AU265" s="92"/>
      <c r="AV265" s="92"/>
      <c r="AW265" s="92"/>
      <c r="AX265" s="92"/>
      <c r="AY265" s="92"/>
      <c r="AZ265" s="92"/>
    </row>
    <row r="266" spans="1:52" x14ac:dyDescent="0.25">
      <c r="A266" s="142"/>
      <c r="B266" s="67"/>
      <c r="C266" s="75"/>
      <c r="D266" s="75"/>
      <c r="E266" s="75"/>
      <c r="F266" s="125"/>
      <c r="G266" s="75"/>
      <c r="H266" s="75"/>
      <c r="I266" s="75"/>
      <c r="J266" s="75"/>
      <c r="K266" s="75"/>
      <c r="L266" s="75"/>
      <c r="M266" s="142"/>
      <c r="N266" s="67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C266" s="66"/>
      <c r="AD266" s="99"/>
      <c r="AE266" s="92"/>
      <c r="AF266" s="92"/>
      <c r="AG266" s="92"/>
      <c r="AH266" s="92"/>
      <c r="AI266" s="92"/>
      <c r="AJ266" s="92"/>
      <c r="AK266" s="92"/>
      <c r="AL266" s="92"/>
      <c r="AM266" s="92"/>
      <c r="AO266" s="66"/>
      <c r="AP266" s="99"/>
      <c r="AQ266" s="92"/>
      <c r="AR266" s="92"/>
      <c r="AS266" s="92"/>
      <c r="AT266" s="92"/>
      <c r="AU266" s="92"/>
      <c r="AV266" s="92"/>
      <c r="AW266" s="92"/>
      <c r="AX266" s="92"/>
      <c r="AY266" s="92"/>
      <c r="AZ266" s="92"/>
    </row>
    <row r="267" spans="1:52" x14ac:dyDescent="0.25">
      <c r="A267" s="142"/>
      <c r="B267" s="67"/>
      <c r="C267" s="75"/>
      <c r="D267" s="75"/>
      <c r="E267" s="75"/>
      <c r="F267" s="125"/>
      <c r="G267" s="75"/>
      <c r="H267" s="75"/>
      <c r="I267" s="75"/>
      <c r="J267" s="75"/>
      <c r="K267" s="75"/>
      <c r="L267" s="75"/>
      <c r="M267" s="142"/>
      <c r="N267" s="67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C267" s="66"/>
      <c r="AD267" s="99"/>
      <c r="AE267" s="92"/>
      <c r="AF267" s="92"/>
      <c r="AG267" s="92"/>
      <c r="AH267" s="92"/>
      <c r="AI267" s="92"/>
      <c r="AJ267" s="92"/>
      <c r="AK267" s="92"/>
      <c r="AL267" s="92"/>
      <c r="AM267" s="92"/>
      <c r="AO267" s="66"/>
      <c r="AP267" s="99"/>
      <c r="AQ267" s="92"/>
      <c r="AR267" s="92"/>
      <c r="AS267" s="92"/>
      <c r="AT267" s="92"/>
      <c r="AU267" s="92"/>
      <c r="AV267" s="92"/>
      <c r="AW267" s="92"/>
      <c r="AX267" s="92"/>
      <c r="AY267" s="92"/>
      <c r="AZ267" s="92"/>
    </row>
    <row r="268" spans="1:52" x14ac:dyDescent="0.25">
      <c r="A268" s="142"/>
      <c r="B268" s="67"/>
      <c r="C268" s="75"/>
      <c r="D268" s="75"/>
      <c r="E268" s="75"/>
      <c r="F268" s="125"/>
      <c r="G268" s="75"/>
      <c r="H268" s="75"/>
      <c r="I268" s="75"/>
      <c r="J268" s="75"/>
      <c r="K268" s="75"/>
      <c r="L268" s="75"/>
      <c r="M268" s="142"/>
      <c r="N268" s="67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C268" s="66"/>
      <c r="AD268" s="99"/>
      <c r="AE268" s="92"/>
      <c r="AF268" s="92"/>
      <c r="AG268" s="92"/>
      <c r="AH268" s="92"/>
      <c r="AI268" s="92"/>
      <c r="AJ268" s="92"/>
      <c r="AK268" s="92"/>
      <c r="AL268" s="92"/>
      <c r="AM268" s="92"/>
      <c r="AO268" s="66"/>
      <c r="AP268" s="99"/>
      <c r="AQ268" s="92"/>
      <c r="AR268" s="92"/>
      <c r="AS268" s="92"/>
      <c r="AT268" s="92"/>
      <c r="AU268" s="92"/>
      <c r="AV268" s="92"/>
      <c r="AW268" s="92"/>
      <c r="AX268" s="92"/>
      <c r="AY268" s="92"/>
      <c r="AZ268" s="92"/>
    </row>
    <row r="269" spans="1:52" x14ac:dyDescent="0.25">
      <c r="A269" s="142"/>
      <c r="B269" s="67"/>
      <c r="C269" s="75"/>
      <c r="D269" s="75"/>
      <c r="E269" s="75"/>
      <c r="F269" s="125"/>
      <c r="G269" s="75"/>
      <c r="H269" s="75"/>
      <c r="I269" s="75"/>
      <c r="J269" s="75"/>
      <c r="K269" s="75"/>
      <c r="L269" s="75"/>
      <c r="M269" s="142"/>
      <c r="N269" s="67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C269" s="66"/>
      <c r="AD269" s="99"/>
      <c r="AE269" s="92"/>
      <c r="AF269" s="92"/>
      <c r="AG269" s="92"/>
      <c r="AH269" s="92"/>
      <c r="AI269" s="92"/>
      <c r="AJ269" s="92"/>
      <c r="AK269" s="92"/>
      <c r="AL269" s="92"/>
      <c r="AM269" s="92"/>
      <c r="AO269" s="66"/>
      <c r="AP269" s="99"/>
      <c r="AQ269" s="92"/>
      <c r="AR269" s="92"/>
      <c r="AS269" s="92"/>
      <c r="AT269" s="92"/>
      <c r="AU269" s="92"/>
      <c r="AV269" s="92"/>
      <c r="AW269" s="92"/>
      <c r="AX269" s="92"/>
      <c r="AY269" s="92"/>
      <c r="AZ269" s="92"/>
    </row>
    <row r="270" spans="1:52" x14ac:dyDescent="0.25">
      <c r="A270" s="142"/>
      <c r="B270" s="67"/>
      <c r="C270" s="75"/>
      <c r="D270" s="75"/>
      <c r="E270" s="75"/>
      <c r="F270" s="125"/>
      <c r="G270" s="75"/>
      <c r="H270" s="75"/>
      <c r="I270" s="75"/>
      <c r="J270" s="75"/>
      <c r="K270" s="75"/>
      <c r="L270" s="75"/>
      <c r="M270" s="142"/>
      <c r="N270" s="67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C270" s="66"/>
      <c r="AD270" s="99"/>
      <c r="AE270" s="92"/>
      <c r="AF270" s="92"/>
      <c r="AG270" s="92"/>
      <c r="AH270" s="92"/>
      <c r="AI270" s="92"/>
      <c r="AJ270" s="92"/>
      <c r="AK270" s="92"/>
      <c r="AL270" s="92"/>
      <c r="AM270" s="92"/>
      <c r="AO270" s="66"/>
      <c r="AP270" s="99"/>
      <c r="AQ270" s="92"/>
      <c r="AR270" s="92"/>
      <c r="AS270" s="92"/>
      <c r="AT270" s="92"/>
      <c r="AU270" s="92"/>
      <c r="AV270" s="92"/>
      <c r="AW270" s="92"/>
      <c r="AX270" s="92"/>
      <c r="AY270" s="92"/>
      <c r="AZ270" s="92"/>
    </row>
    <row r="271" spans="1:52" x14ac:dyDescent="0.25">
      <c r="A271" s="142"/>
      <c r="B271" s="67"/>
      <c r="C271" s="75"/>
      <c r="D271" s="75"/>
      <c r="E271" s="75"/>
      <c r="F271" s="125"/>
      <c r="G271" s="75"/>
      <c r="H271" s="75"/>
      <c r="I271" s="75"/>
      <c r="J271" s="75"/>
      <c r="K271" s="75"/>
      <c r="L271" s="75"/>
      <c r="M271" s="142"/>
      <c r="N271" s="67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C271" s="66"/>
      <c r="AD271" s="99"/>
      <c r="AE271" s="92"/>
      <c r="AF271" s="92"/>
      <c r="AG271" s="92"/>
      <c r="AH271" s="92"/>
      <c r="AI271" s="92"/>
      <c r="AJ271" s="92"/>
      <c r="AK271" s="92"/>
      <c r="AL271" s="92"/>
      <c r="AM271" s="92"/>
      <c r="AO271" s="66"/>
      <c r="AP271" s="99"/>
      <c r="AQ271" s="92"/>
      <c r="AR271" s="92"/>
      <c r="AS271" s="92"/>
      <c r="AT271" s="92"/>
      <c r="AU271" s="92"/>
      <c r="AV271" s="92"/>
      <c r="AW271" s="92"/>
      <c r="AX271" s="92"/>
      <c r="AY271" s="92"/>
      <c r="AZ271" s="92"/>
    </row>
    <row r="272" spans="1:52" x14ac:dyDescent="0.25">
      <c r="A272" s="142"/>
      <c r="B272" s="67"/>
      <c r="C272" s="75"/>
      <c r="D272" s="75"/>
      <c r="E272" s="75"/>
      <c r="F272" s="125"/>
      <c r="G272" s="75"/>
      <c r="H272" s="75"/>
      <c r="I272" s="75"/>
      <c r="J272" s="75"/>
      <c r="K272" s="75"/>
      <c r="L272" s="75"/>
      <c r="M272" s="142"/>
      <c r="N272" s="67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C272" s="66"/>
      <c r="AD272" s="99"/>
      <c r="AE272" s="92"/>
      <c r="AF272" s="92"/>
      <c r="AG272" s="92"/>
      <c r="AH272" s="92"/>
      <c r="AI272" s="92"/>
      <c r="AJ272" s="92"/>
      <c r="AK272" s="92"/>
      <c r="AL272" s="92"/>
      <c r="AM272" s="92"/>
      <c r="AO272" s="66"/>
      <c r="AP272" s="99"/>
      <c r="AQ272" s="92"/>
      <c r="AR272" s="92"/>
      <c r="AS272" s="92"/>
      <c r="AT272" s="92"/>
      <c r="AU272" s="92"/>
      <c r="AV272" s="92"/>
      <c r="AW272" s="92"/>
      <c r="AX272" s="92"/>
      <c r="AY272" s="92"/>
      <c r="AZ272" s="92"/>
    </row>
    <row r="273" spans="1:52" x14ac:dyDescent="0.25">
      <c r="A273" s="142"/>
      <c r="B273" s="67"/>
      <c r="C273" s="75"/>
      <c r="D273" s="75"/>
      <c r="E273" s="75"/>
      <c r="F273" s="125"/>
      <c r="G273" s="75"/>
      <c r="H273" s="75"/>
      <c r="I273" s="75"/>
      <c r="J273" s="75"/>
      <c r="K273" s="75"/>
      <c r="L273" s="75"/>
      <c r="M273" s="142"/>
      <c r="N273" s="67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C273" s="66"/>
      <c r="AD273" s="99"/>
      <c r="AE273" s="92"/>
      <c r="AF273" s="92"/>
      <c r="AG273" s="92"/>
      <c r="AH273" s="92"/>
      <c r="AI273" s="92"/>
      <c r="AJ273" s="92"/>
      <c r="AK273" s="92"/>
      <c r="AL273" s="92"/>
      <c r="AM273" s="92"/>
      <c r="AO273" s="66"/>
      <c r="AP273" s="99"/>
      <c r="AQ273" s="92"/>
      <c r="AR273" s="92"/>
      <c r="AS273" s="92"/>
      <c r="AT273" s="92"/>
      <c r="AU273" s="92"/>
      <c r="AV273" s="92"/>
      <c r="AW273" s="92"/>
      <c r="AX273" s="92"/>
      <c r="AY273" s="92"/>
      <c r="AZ273" s="92"/>
    </row>
    <row r="274" spans="1:52" x14ac:dyDescent="0.25">
      <c r="A274" s="142"/>
      <c r="B274" s="67"/>
      <c r="C274" s="75"/>
      <c r="D274" s="75"/>
      <c r="E274" s="75"/>
      <c r="F274" s="125"/>
      <c r="G274" s="75"/>
      <c r="H274" s="75"/>
      <c r="I274" s="75"/>
      <c r="J274" s="75"/>
      <c r="K274" s="75"/>
      <c r="L274" s="75"/>
      <c r="M274" s="142"/>
      <c r="N274" s="67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C274" s="66"/>
      <c r="AD274" s="99"/>
      <c r="AE274" s="92"/>
      <c r="AF274" s="92"/>
      <c r="AG274" s="92"/>
      <c r="AH274" s="92"/>
      <c r="AI274" s="92"/>
      <c r="AJ274" s="92"/>
      <c r="AK274" s="92"/>
      <c r="AL274" s="92"/>
      <c r="AM274" s="92"/>
      <c r="AO274" s="66"/>
      <c r="AP274" s="99"/>
      <c r="AQ274" s="92"/>
      <c r="AR274" s="92"/>
      <c r="AS274" s="92"/>
      <c r="AT274" s="92"/>
      <c r="AU274" s="92"/>
      <c r="AV274" s="92"/>
      <c r="AW274" s="92"/>
      <c r="AX274" s="92"/>
      <c r="AY274" s="92"/>
      <c r="AZ274" s="92"/>
    </row>
    <row r="275" spans="1:52" x14ac:dyDescent="0.25">
      <c r="A275" s="142"/>
      <c r="B275" s="67"/>
      <c r="C275" s="75"/>
      <c r="D275" s="75"/>
      <c r="E275" s="75"/>
      <c r="F275" s="125"/>
      <c r="G275" s="75"/>
      <c r="H275" s="75"/>
      <c r="I275" s="75"/>
      <c r="J275" s="75"/>
      <c r="K275" s="75"/>
      <c r="L275" s="75"/>
      <c r="M275" s="142"/>
      <c r="N275" s="67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C275" s="66"/>
      <c r="AD275" s="99"/>
      <c r="AE275" s="92"/>
      <c r="AF275" s="92"/>
      <c r="AG275" s="92"/>
      <c r="AH275" s="92"/>
      <c r="AI275" s="92"/>
      <c r="AJ275" s="92"/>
      <c r="AK275" s="92"/>
      <c r="AL275" s="92"/>
      <c r="AM275" s="92"/>
      <c r="AO275" s="66"/>
      <c r="AP275" s="99"/>
      <c r="AQ275" s="92"/>
      <c r="AR275" s="92"/>
      <c r="AS275" s="92"/>
      <c r="AT275" s="92"/>
      <c r="AU275" s="92"/>
      <c r="AV275" s="92"/>
      <c r="AW275" s="92"/>
      <c r="AX275" s="92"/>
      <c r="AY275" s="92"/>
      <c r="AZ275" s="92"/>
    </row>
    <row r="276" spans="1:52" x14ac:dyDescent="0.25">
      <c r="A276" s="142"/>
      <c r="B276" s="67"/>
      <c r="C276" s="75"/>
      <c r="D276" s="75"/>
      <c r="E276" s="75"/>
      <c r="F276" s="125"/>
      <c r="G276" s="75"/>
      <c r="H276" s="75"/>
      <c r="I276" s="75"/>
      <c r="J276" s="75"/>
      <c r="K276" s="75"/>
      <c r="L276" s="75"/>
      <c r="M276" s="142"/>
      <c r="N276" s="67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C276" s="66"/>
      <c r="AD276" s="99"/>
      <c r="AE276" s="92"/>
      <c r="AF276" s="92"/>
      <c r="AG276" s="92"/>
      <c r="AH276" s="92"/>
      <c r="AI276" s="92"/>
      <c r="AJ276" s="92"/>
      <c r="AK276" s="92"/>
      <c r="AL276" s="92"/>
      <c r="AM276" s="92"/>
      <c r="AO276" s="66"/>
      <c r="AP276" s="99"/>
      <c r="AQ276" s="92"/>
      <c r="AR276" s="92"/>
      <c r="AS276" s="92"/>
      <c r="AT276" s="92"/>
      <c r="AU276" s="92"/>
      <c r="AV276" s="92"/>
      <c r="AW276" s="92"/>
      <c r="AX276" s="92"/>
      <c r="AY276" s="92"/>
      <c r="AZ276" s="92"/>
    </row>
    <row r="277" spans="1:52" x14ac:dyDescent="0.25">
      <c r="A277" s="142"/>
      <c r="B277" s="67"/>
      <c r="C277" s="75"/>
      <c r="D277" s="75"/>
      <c r="E277" s="75"/>
      <c r="F277" s="125"/>
      <c r="G277" s="75"/>
      <c r="H277" s="75"/>
      <c r="I277" s="75"/>
      <c r="J277" s="75"/>
      <c r="K277" s="75"/>
      <c r="L277" s="75"/>
      <c r="M277" s="142"/>
      <c r="N277" s="67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C277" s="66"/>
      <c r="AD277" s="99"/>
      <c r="AE277" s="92"/>
      <c r="AF277" s="92"/>
      <c r="AG277" s="92"/>
      <c r="AH277" s="92"/>
      <c r="AI277" s="92"/>
      <c r="AJ277" s="92"/>
      <c r="AK277" s="92"/>
      <c r="AL277" s="92"/>
      <c r="AM277" s="92"/>
      <c r="AO277" s="66"/>
      <c r="AP277" s="99"/>
      <c r="AQ277" s="92"/>
      <c r="AR277" s="92"/>
      <c r="AS277" s="92"/>
      <c r="AT277" s="92"/>
      <c r="AU277" s="92"/>
      <c r="AV277" s="92"/>
      <c r="AW277" s="92"/>
      <c r="AX277" s="92"/>
      <c r="AY277" s="92"/>
      <c r="AZ277" s="92"/>
    </row>
    <row r="278" spans="1:52" x14ac:dyDescent="0.25">
      <c r="A278" s="142"/>
      <c r="B278" s="67"/>
      <c r="C278" s="75"/>
      <c r="D278" s="75"/>
      <c r="E278" s="75"/>
      <c r="F278" s="125"/>
      <c r="G278" s="75"/>
      <c r="H278" s="75"/>
      <c r="I278" s="75"/>
      <c r="J278" s="75"/>
      <c r="K278" s="75"/>
      <c r="L278" s="75"/>
      <c r="M278" s="142"/>
      <c r="N278" s="67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C278" s="66"/>
      <c r="AD278" s="99"/>
      <c r="AE278" s="92"/>
      <c r="AF278" s="92"/>
      <c r="AG278" s="92"/>
      <c r="AH278" s="92"/>
      <c r="AI278" s="92"/>
      <c r="AJ278" s="92"/>
      <c r="AK278" s="92"/>
      <c r="AL278" s="92"/>
      <c r="AM278" s="92"/>
      <c r="AO278" s="66"/>
      <c r="AP278" s="99"/>
      <c r="AQ278" s="92"/>
      <c r="AR278" s="92"/>
      <c r="AS278" s="92"/>
      <c r="AT278" s="92"/>
      <c r="AU278" s="92"/>
      <c r="AV278" s="92"/>
      <c r="AW278" s="92"/>
      <c r="AX278" s="92"/>
      <c r="AY278" s="92"/>
      <c r="AZ278" s="92"/>
    </row>
    <row r="279" spans="1:52" x14ac:dyDescent="0.25">
      <c r="A279" s="142"/>
      <c r="B279" s="67"/>
      <c r="C279" s="75"/>
      <c r="D279" s="75"/>
      <c r="E279" s="75"/>
      <c r="F279" s="125"/>
      <c r="G279" s="75"/>
      <c r="H279" s="75"/>
      <c r="I279" s="75"/>
      <c r="J279" s="75"/>
      <c r="K279" s="75"/>
      <c r="L279" s="75"/>
      <c r="M279" s="142"/>
      <c r="N279" s="67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C279" s="66"/>
      <c r="AD279" s="99"/>
      <c r="AE279" s="92"/>
      <c r="AF279" s="92"/>
      <c r="AG279" s="92"/>
      <c r="AH279" s="92"/>
      <c r="AI279" s="92"/>
      <c r="AJ279" s="92"/>
      <c r="AK279" s="92"/>
      <c r="AL279" s="92"/>
      <c r="AM279" s="92"/>
      <c r="AO279" s="66"/>
      <c r="AP279" s="99"/>
      <c r="AQ279" s="92"/>
      <c r="AR279" s="92"/>
      <c r="AS279" s="92"/>
      <c r="AT279" s="92"/>
      <c r="AU279" s="92"/>
      <c r="AV279" s="92"/>
      <c r="AW279" s="92"/>
      <c r="AX279" s="92"/>
      <c r="AY279" s="92"/>
      <c r="AZ279" s="92"/>
    </row>
    <row r="280" spans="1:52" x14ac:dyDescent="0.25">
      <c r="A280" s="142"/>
      <c r="B280" s="67"/>
      <c r="C280" s="75"/>
      <c r="D280" s="75"/>
      <c r="E280" s="75"/>
      <c r="F280" s="125"/>
      <c r="G280" s="75"/>
      <c r="H280" s="75"/>
      <c r="I280" s="75"/>
      <c r="J280" s="75"/>
      <c r="K280" s="75"/>
      <c r="L280" s="75"/>
      <c r="M280" s="142"/>
      <c r="N280" s="67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C280" s="66"/>
      <c r="AD280" s="99"/>
      <c r="AE280" s="92"/>
      <c r="AF280" s="92"/>
      <c r="AG280" s="92"/>
      <c r="AH280" s="92"/>
      <c r="AI280" s="92"/>
      <c r="AJ280" s="92"/>
      <c r="AK280" s="92"/>
      <c r="AL280" s="92"/>
      <c r="AM280" s="92"/>
      <c r="AO280" s="66"/>
      <c r="AP280" s="99"/>
      <c r="AQ280" s="92"/>
      <c r="AR280" s="92"/>
      <c r="AS280" s="92"/>
      <c r="AT280" s="92"/>
      <c r="AU280" s="92"/>
      <c r="AV280" s="92"/>
      <c r="AW280" s="92"/>
      <c r="AX280" s="92"/>
      <c r="AY280" s="92"/>
      <c r="AZ280" s="92"/>
    </row>
    <row r="281" spans="1:52" x14ac:dyDescent="0.25">
      <c r="A281" s="142"/>
      <c r="B281" s="67"/>
      <c r="C281" s="75"/>
      <c r="D281" s="75"/>
      <c r="E281" s="75"/>
      <c r="F281" s="125"/>
      <c r="G281" s="75"/>
      <c r="H281" s="75"/>
      <c r="I281" s="75"/>
      <c r="J281" s="75"/>
      <c r="K281" s="75"/>
      <c r="L281" s="75"/>
      <c r="M281" s="142"/>
      <c r="N281" s="67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C281" s="66"/>
      <c r="AD281" s="99"/>
      <c r="AE281" s="92"/>
      <c r="AF281" s="92"/>
      <c r="AG281" s="92"/>
      <c r="AH281" s="92"/>
      <c r="AI281" s="92"/>
      <c r="AJ281" s="92"/>
      <c r="AK281" s="92"/>
      <c r="AL281" s="92"/>
      <c r="AM281" s="92"/>
      <c r="AO281" s="66"/>
      <c r="AP281" s="99"/>
      <c r="AQ281" s="92"/>
      <c r="AR281" s="92"/>
      <c r="AS281" s="92"/>
      <c r="AT281" s="92"/>
      <c r="AU281" s="92"/>
      <c r="AV281" s="92"/>
      <c r="AW281" s="92"/>
      <c r="AX281" s="92"/>
      <c r="AY281" s="92"/>
      <c r="AZ281" s="92"/>
    </row>
    <row r="282" spans="1:52" x14ac:dyDescent="0.25">
      <c r="A282" s="142"/>
      <c r="B282" s="67"/>
      <c r="C282" s="75"/>
      <c r="D282" s="75"/>
      <c r="E282" s="75"/>
      <c r="F282" s="125"/>
      <c r="G282" s="75"/>
      <c r="H282" s="75"/>
      <c r="I282" s="75"/>
      <c r="J282" s="75"/>
      <c r="K282" s="75"/>
      <c r="L282" s="75"/>
      <c r="M282" s="142"/>
      <c r="N282" s="67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C282" s="66"/>
      <c r="AD282" s="99"/>
      <c r="AE282" s="92"/>
      <c r="AF282" s="92"/>
      <c r="AG282" s="92"/>
      <c r="AH282" s="92"/>
      <c r="AI282" s="92"/>
      <c r="AJ282" s="92"/>
      <c r="AK282" s="92"/>
      <c r="AL282" s="92"/>
      <c r="AM282" s="92"/>
      <c r="AO282" s="66"/>
      <c r="AP282" s="99"/>
      <c r="AQ282" s="92"/>
      <c r="AR282" s="92"/>
      <c r="AS282" s="92"/>
      <c r="AT282" s="92"/>
      <c r="AU282" s="92"/>
      <c r="AV282" s="92"/>
      <c r="AW282" s="92"/>
      <c r="AX282" s="92"/>
      <c r="AY282" s="92"/>
      <c r="AZ282" s="92"/>
    </row>
    <row r="283" spans="1:52" x14ac:dyDescent="0.25">
      <c r="A283" s="142"/>
      <c r="B283" s="67"/>
      <c r="C283" s="75"/>
      <c r="D283" s="75"/>
      <c r="E283" s="75"/>
      <c r="F283" s="125"/>
      <c r="G283" s="75"/>
      <c r="H283" s="75"/>
      <c r="I283" s="75"/>
      <c r="J283" s="75"/>
      <c r="K283" s="75"/>
      <c r="L283" s="75"/>
      <c r="M283" s="142"/>
      <c r="N283" s="67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C283" s="66"/>
      <c r="AD283" s="99"/>
      <c r="AE283" s="92"/>
      <c r="AF283" s="92"/>
      <c r="AG283" s="92"/>
      <c r="AH283" s="92"/>
      <c r="AI283" s="92"/>
      <c r="AJ283" s="92"/>
      <c r="AK283" s="92"/>
      <c r="AL283" s="92"/>
      <c r="AM283" s="92"/>
      <c r="AO283" s="66"/>
      <c r="AP283" s="99"/>
      <c r="AQ283" s="92"/>
      <c r="AR283" s="92"/>
      <c r="AS283" s="92"/>
      <c r="AT283" s="92"/>
      <c r="AU283" s="92"/>
      <c r="AV283" s="92"/>
      <c r="AW283" s="92"/>
      <c r="AX283" s="92"/>
      <c r="AY283" s="92"/>
      <c r="AZ283" s="92"/>
    </row>
    <row r="284" spans="1:52" x14ac:dyDescent="0.25">
      <c r="A284" s="142"/>
      <c r="B284" s="67"/>
      <c r="C284" s="75"/>
      <c r="D284" s="75"/>
      <c r="E284" s="75"/>
      <c r="F284" s="125"/>
      <c r="G284" s="75"/>
      <c r="H284" s="75"/>
      <c r="I284" s="75"/>
      <c r="J284" s="75"/>
      <c r="K284" s="75"/>
      <c r="L284" s="75"/>
      <c r="M284" s="142"/>
      <c r="N284" s="67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C284" s="66"/>
      <c r="AD284" s="99"/>
      <c r="AE284" s="92"/>
      <c r="AF284" s="92"/>
      <c r="AG284" s="92"/>
      <c r="AH284" s="92"/>
      <c r="AI284" s="92"/>
      <c r="AJ284" s="92"/>
      <c r="AK284" s="92"/>
      <c r="AL284" s="92"/>
      <c r="AM284" s="92"/>
      <c r="AO284" s="66"/>
      <c r="AP284" s="99"/>
      <c r="AQ284" s="92"/>
      <c r="AR284" s="92"/>
      <c r="AS284" s="92"/>
      <c r="AT284" s="92"/>
      <c r="AU284" s="92"/>
      <c r="AV284" s="92"/>
      <c r="AW284" s="92"/>
      <c r="AX284" s="92"/>
      <c r="AY284" s="92"/>
      <c r="AZ284" s="92"/>
    </row>
    <row r="285" spans="1:52" x14ac:dyDescent="0.25">
      <c r="A285" s="142"/>
      <c r="B285" s="67"/>
      <c r="C285" s="75"/>
      <c r="D285" s="75"/>
      <c r="E285" s="75"/>
      <c r="F285" s="125"/>
      <c r="G285" s="75"/>
      <c r="H285" s="75"/>
      <c r="I285" s="75"/>
      <c r="J285" s="75"/>
      <c r="K285" s="75"/>
      <c r="L285" s="75"/>
      <c r="M285" s="142"/>
      <c r="N285" s="67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C285" s="66"/>
      <c r="AD285" s="99"/>
      <c r="AE285" s="92"/>
      <c r="AF285" s="92"/>
      <c r="AG285" s="92"/>
      <c r="AH285" s="92"/>
      <c r="AI285" s="92"/>
      <c r="AJ285" s="92"/>
      <c r="AK285" s="92"/>
      <c r="AL285" s="92"/>
      <c r="AM285" s="92"/>
      <c r="AO285" s="66"/>
      <c r="AP285" s="99"/>
      <c r="AQ285" s="92"/>
      <c r="AR285" s="92"/>
      <c r="AS285" s="92"/>
      <c r="AT285" s="92"/>
      <c r="AU285" s="92"/>
      <c r="AV285" s="92"/>
      <c r="AW285" s="92"/>
      <c r="AX285" s="92"/>
      <c r="AY285" s="92"/>
      <c r="AZ285" s="92"/>
    </row>
    <row r="286" spans="1:52" x14ac:dyDescent="0.25">
      <c r="A286" s="142"/>
      <c r="B286" s="67"/>
      <c r="C286" s="75"/>
      <c r="D286" s="75"/>
      <c r="E286" s="75"/>
      <c r="F286" s="125"/>
      <c r="G286" s="75"/>
      <c r="H286" s="75"/>
      <c r="I286" s="75"/>
      <c r="J286" s="75"/>
      <c r="K286" s="75"/>
      <c r="L286" s="75"/>
      <c r="M286" s="142"/>
      <c r="N286" s="67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C286" s="66"/>
      <c r="AD286" s="99"/>
      <c r="AE286" s="92"/>
      <c r="AF286" s="92"/>
      <c r="AG286" s="92"/>
      <c r="AH286" s="92"/>
      <c r="AI286" s="92"/>
      <c r="AJ286" s="92"/>
      <c r="AK286" s="92"/>
      <c r="AL286" s="92"/>
      <c r="AM286" s="92"/>
      <c r="AO286" s="66"/>
      <c r="AP286" s="99"/>
      <c r="AQ286" s="92"/>
      <c r="AR286" s="92"/>
      <c r="AS286" s="92"/>
      <c r="AT286" s="92"/>
      <c r="AU286" s="92"/>
      <c r="AV286" s="92"/>
      <c r="AW286" s="92"/>
      <c r="AX286" s="92"/>
      <c r="AY286" s="92"/>
      <c r="AZ286" s="92"/>
    </row>
    <row r="287" spans="1:52" x14ac:dyDescent="0.25">
      <c r="A287" s="142"/>
      <c r="B287" s="67"/>
      <c r="C287" s="75"/>
      <c r="D287" s="75"/>
      <c r="E287" s="75"/>
      <c r="F287" s="125"/>
      <c r="G287" s="75"/>
      <c r="H287" s="75"/>
      <c r="I287" s="75"/>
      <c r="J287" s="75"/>
      <c r="K287" s="75"/>
      <c r="L287" s="75"/>
      <c r="M287" s="142"/>
      <c r="N287" s="67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C287" s="66"/>
      <c r="AD287" s="99"/>
      <c r="AE287" s="92"/>
      <c r="AF287" s="92"/>
      <c r="AG287" s="92"/>
      <c r="AH287" s="92"/>
      <c r="AI287" s="92"/>
      <c r="AJ287" s="92"/>
      <c r="AK287" s="92"/>
      <c r="AL287" s="92"/>
      <c r="AM287" s="92"/>
      <c r="AO287" s="66"/>
      <c r="AP287" s="99"/>
      <c r="AQ287" s="92"/>
      <c r="AR287" s="92"/>
      <c r="AS287" s="92"/>
      <c r="AT287" s="92"/>
      <c r="AU287" s="92"/>
      <c r="AV287" s="92"/>
      <c r="AW287" s="92"/>
      <c r="AX287" s="92"/>
      <c r="AY287" s="92"/>
      <c r="AZ287" s="92"/>
    </row>
    <row r="288" spans="1:52" x14ac:dyDescent="0.25">
      <c r="A288" s="142"/>
      <c r="B288" s="67"/>
      <c r="C288" s="75"/>
      <c r="D288" s="75"/>
      <c r="E288" s="75"/>
      <c r="F288" s="125"/>
      <c r="G288" s="75"/>
      <c r="H288" s="75"/>
      <c r="I288" s="75"/>
      <c r="J288" s="75"/>
      <c r="K288" s="75"/>
      <c r="L288" s="75"/>
      <c r="M288" s="142"/>
      <c r="N288" s="67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C288" s="66"/>
      <c r="AD288" s="99"/>
      <c r="AE288" s="92"/>
      <c r="AF288" s="92"/>
      <c r="AG288" s="92"/>
      <c r="AH288" s="92"/>
      <c r="AI288" s="92"/>
      <c r="AJ288" s="92"/>
      <c r="AK288" s="92"/>
      <c r="AL288" s="92"/>
      <c r="AM288" s="92"/>
      <c r="AO288" s="66"/>
      <c r="AP288" s="99"/>
      <c r="AQ288" s="92"/>
      <c r="AR288" s="92"/>
      <c r="AS288" s="92"/>
      <c r="AT288" s="92"/>
      <c r="AU288" s="92"/>
      <c r="AV288" s="92"/>
      <c r="AW288" s="92"/>
      <c r="AX288" s="92"/>
      <c r="AY288" s="92"/>
      <c r="AZ288" s="92"/>
    </row>
    <row r="289" spans="1:52" x14ac:dyDescent="0.25">
      <c r="A289" s="142"/>
      <c r="B289" s="67"/>
      <c r="C289" s="75"/>
      <c r="D289" s="75"/>
      <c r="E289" s="75"/>
      <c r="F289" s="125"/>
      <c r="G289" s="75"/>
      <c r="H289" s="75"/>
      <c r="I289" s="75"/>
      <c r="J289" s="75"/>
      <c r="K289" s="75"/>
      <c r="L289" s="75"/>
      <c r="M289" s="142"/>
      <c r="N289" s="67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C289" s="66"/>
      <c r="AD289" s="99"/>
      <c r="AE289" s="92"/>
      <c r="AF289" s="92"/>
      <c r="AG289" s="92"/>
      <c r="AH289" s="92"/>
      <c r="AI289" s="92"/>
      <c r="AJ289" s="92"/>
      <c r="AK289" s="92"/>
      <c r="AL289" s="92"/>
      <c r="AM289" s="92"/>
      <c r="AO289" s="66"/>
      <c r="AP289" s="99"/>
      <c r="AQ289" s="92"/>
      <c r="AR289" s="92"/>
      <c r="AS289" s="92"/>
      <c r="AT289" s="92"/>
      <c r="AU289" s="92"/>
      <c r="AV289" s="92"/>
      <c r="AW289" s="92"/>
      <c r="AX289" s="92"/>
      <c r="AY289" s="92"/>
      <c r="AZ289" s="92"/>
    </row>
    <row r="290" spans="1:52" x14ac:dyDescent="0.25">
      <c r="A290" s="142"/>
      <c r="B290" s="67"/>
      <c r="C290" s="75"/>
      <c r="D290" s="75"/>
      <c r="E290" s="75"/>
      <c r="F290" s="125"/>
      <c r="G290" s="75"/>
      <c r="H290" s="75"/>
      <c r="I290" s="75"/>
      <c r="J290" s="75"/>
      <c r="K290" s="75"/>
      <c r="L290" s="75"/>
      <c r="M290" s="142"/>
      <c r="N290" s="67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C290" s="66"/>
      <c r="AD290" s="99"/>
      <c r="AE290" s="92"/>
      <c r="AF290" s="92"/>
      <c r="AG290" s="92"/>
      <c r="AH290" s="92"/>
      <c r="AI290" s="92"/>
      <c r="AJ290" s="92"/>
      <c r="AK290" s="92"/>
      <c r="AL290" s="92"/>
      <c r="AM290" s="92"/>
      <c r="AO290" s="66"/>
      <c r="AP290" s="99"/>
      <c r="AQ290" s="92"/>
      <c r="AR290" s="92"/>
      <c r="AS290" s="92"/>
      <c r="AT290" s="92"/>
      <c r="AU290" s="92"/>
      <c r="AV290" s="92"/>
      <c r="AW290" s="92"/>
      <c r="AX290" s="92"/>
      <c r="AY290" s="92"/>
      <c r="AZ290" s="92"/>
    </row>
    <row r="291" spans="1:52" x14ac:dyDescent="0.25">
      <c r="A291" s="142"/>
      <c r="B291" s="67"/>
      <c r="C291" s="75"/>
      <c r="D291" s="75"/>
      <c r="E291" s="75"/>
      <c r="F291" s="125"/>
      <c r="G291" s="75"/>
      <c r="H291" s="75"/>
      <c r="I291" s="75"/>
      <c r="J291" s="75"/>
      <c r="K291" s="75"/>
      <c r="L291" s="75"/>
      <c r="M291" s="142"/>
      <c r="N291" s="67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C291" s="66"/>
      <c r="AD291" s="99"/>
      <c r="AE291" s="92"/>
      <c r="AF291" s="92"/>
      <c r="AG291" s="92"/>
      <c r="AH291" s="92"/>
      <c r="AI291" s="92"/>
      <c r="AJ291" s="92"/>
      <c r="AK291" s="92"/>
      <c r="AL291" s="92"/>
      <c r="AM291" s="92"/>
      <c r="AO291" s="66"/>
      <c r="AP291" s="99"/>
      <c r="AQ291" s="92"/>
      <c r="AR291" s="92"/>
      <c r="AS291" s="92"/>
      <c r="AT291" s="92"/>
      <c r="AU291" s="92"/>
      <c r="AV291" s="92"/>
      <c r="AW291" s="92"/>
      <c r="AX291" s="92"/>
      <c r="AY291" s="92"/>
      <c r="AZ291" s="92"/>
    </row>
    <row r="292" spans="1:52" x14ac:dyDescent="0.25">
      <c r="A292" s="142"/>
      <c r="B292" s="67"/>
      <c r="C292" s="75"/>
      <c r="D292" s="75"/>
      <c r="E292" s="75"/>
      <c r="F292" s="125"/>
      <c r="G292" s="75"/>
      <c r="H292" s="75"/>
      <c r="I292" s="75"/>
      <c r="J292" s="75"/>
      <c r="K292" s="75"/>
      <c r="L292" s="75"/>
      <c r="M292" s="142"/>
      <c r="N292" s="67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C292" s="66"/>
      <c r="AD292" s="99"/>
      <c r="AE292" s="92"/>
      <c r="AF292" s="92"/>
      <c r="AG292" s="92"/>
      <c r="AH292" s="92"/>
      <c r="AI292" s="92"/>
      <c r="AJ292" s="92"/>
      <c r="AK292" s="92"/>
      <c r="AL292" s="92"/>
      <c r="AM292" s="92"/>
      <c r="AO292" s="66"/>
      <c r="AP292" s="99"/>
      <c r="AQ292" s="92"/>
      <c r="AR292" s="92"/>
      <c r="AS292" s="92"/>
      <c r="AT292" s="92"/>
      <c r="AU292" s="92"/>
      <c r="AV292" s="92"/>
      <c r="AW292" s="92"/>
      <c r="AX292" s="92"/>
      <c r="AY292" s="92"/>
      <c r="AZ292" s="92"/>
    </row>
    <row r="293" spans="1:52" x14ac:dyDescent="0.25">
      <c r="A293" s="142"/>
      <c r="B293" s="67"/>
      <c r="C293" s="75"/>
      <c r="D293" s="75"/>
      <c r="E293" s="75"/>
      <c r="F293" s="125"/>
      <c r="G293" s="75"/>
      <c r="H293" s="75"/>
      <c r="I293" s="75"/>
      <c r="J293" s="75"/>
      <c r="K293" s="75"/>
      <c r="L293" s="75"/>
      <c r="M293" s="142"/>
      <c r="N293" s="67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C293" s="66"/>
      <c r="AD293" s="99"/>
      <c r="AE293" s="92"/>
      <c r="AF293" s="92"/>
      <c r="AG293" s="92"/>
      <c r="AH293" s="92"/>
      <c r="AI293" s="92"/>
      <c r="AJ293" s="92"/>
      <c r="AK293" s="92"/>
      <c r="AL293" s="92"/>
      <c r="AM293" s="92"/>
      <c r="AO293" s="66"/>
      <c r="AP293" s="99"/>
      <c r="AQ293" s="92"/>
      <c r="AR293" s="92"/>
      <c r="AS293" s="92"/>
      <c r="AT293" s="92"/>
      <c r="AU293" s="92"/>
      <c r="AV293" s="92"/>
      <c r="AW293" s="92"/>
      <c r="AX293" s="92"/>
      <c r="AY293" s="92"/>
      <c r="AZ293" s="92"/>
    </row>
    <row r="294" spans="1:52" x14ac:dyDescent="0.25">
      <c r="A294" s="142"/>
      <c r="B294" s="67"/>
      <c r="C294" s="75"/>
      <c r="D294" s="75"/>
      <c r="E294" s="75"/>
      <c r="F294" s="125"/>
      <c r="G294" s="75"/>
      <c r="H294" s="75"/>
      <c r="I294" s="75"/>
      <c r="J294" s="75"/>
      <c r="K294" s="75"/>
      <c r="L294" s="75"/>
      <c r="M294" s="142"/>
      <c r="N294" s="67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C294" s="66"/>
      <c r="AD294" s="99"/>
      <c r="AE294" s="92"/>
      <c r="AF294" s="92"/>
      <c r="AG294" s="92"/>
      <c r="AH294" s="92"/>
      <c r="AI294" s="92"/>
      <c r="AJ294" s="92"/>
      <c r="AK294" s="92"/>
      <c r="AL294" s="92"/>
      <c r="AM294" s="92"/>
      <c r="AO294" s="66"/>
      <c r="AP294" s="99"/>
      <c r="AQ294" s="92"/>
      <c r="AR294" s="92"/>
      <c r="AS294" s="92"/>
      <c r="AT294" s="92"/>
      <c r="AU294" s="92"/>
      <c r="AV294" s="92"/>
      <c r="AW294" s="92"/>
      <c r="AX294" s="92"/>
      <c r="AY294" s="92"/>
      <c r="AZ294" s="92"/>
    </row>
    <row r="295" spans="1:52" x14ac:dyDescent="0.25">
      <c r="A295" s="142"/>
      <c r="B295" s="67"/>
      <c r="C295" s="75"/>
      <c r="D295" s="75"/>
      <c r="E295" s="75"/>
      <c r="F295" s="125"/>
      <c r="G295" s="75"/>
      <c r="H295" s="75"/>
      <c r="I295" s="75"/>
      <c r="J295" s="75"/>
      <c r="K295" s="75"/>
      <c r="L295" s="75"/>
      <c r="M295" s="142"/>
      <c r="N295" s="67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C295" s="66"/>
      <c r="AD295" s="99"/>
      <c r="AE295" s="92"/>
      <c r="AF295" s="92"/>
      <c r="AG295" s="92"/>
      <c r="AH295" s="92"/>
      <c r="AI295" s="92"/>
      <c r="AJ295" s="92"/>
      <c r="AK295" s="92"/>
      <c r="AL295" s="92"/>
      <c r="AM295" s="92"/>
      <c r="AO295" s="66"/>
      <c r="AP295" s="99"/>
      <c r="AQ295" s="92"/>
      <c r="AR295" s="92"/>
      <c r="AS295" s="92"/>
      <c r="AT295" s="92"/>
      <c r="AU295" s="92"/>
      <c r="AV295" s="92"/>
      <c r="AW295" s="92"/>
      <c r="AX295" s="92"/>
      <c r="AY295" s="92"/>
      <c r="AZ295" s="92"/>
    </row>
    <row r="296" spans="1:52" x14ac:dyDescent="0.25">
      <c r="A296" s="142"/>
      <c r="B296" s="67"/>
      <c r="C296" s="75"/>
      <c r="D296" s="75"/>
      <c r="E296" s="75"/>
      <c r="F296" s="125"/>
      <c r="G296" s="75"/>
      <c r="H296" s="75"/>
      <c r="I296" s="75"/>
      <c r="J296" s="75"/>
      <c r="K296" s="75"/>
      <c r="L296" s="75"/>
      <c r="M296" s="142"/>
      <c r="N296" s="67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C296" s="66"/>
      <c r="AD296" s="99"/>
      <c r="AE296" s="92"/>
      <c r="AF296" s="92"/>
      <c r="AG296" s="92"/>
      <c r="AH296" s="92"/>
      <c r="AI296" s="92"/>
      <c r="AJ296" s="92"/>
      <c r="AK296" s="92"/>
      <c r="AL296" s="92"/>
      <c r="AM296" s="92"/>
      <c r="AO296" s="66"/>
      <c r="AP296" s="99"/>
      <c r="AQ296" s="92"/>
      <c r="AR296" s="92"/>
      <c r="AS296" s="92"/>
      <c r="AT296" s="92"/>
      <c r="AU296" s="92"/>
      <c r="AV296" s="92"/>
      <c r="AW296" s="92"/>
      <c r="AX296" s="92"/>
      <c r="AY296" s="92"/>
      <c r="AZ296" s="92"/>
    </row>
    <row r="297" spans="1:52" x14ac:dyDescent="0.25">
      <c r="A297" s="142"/>
      <c r="B297" s="67"/>
      <c r="C297" s="75"/>
      <c r="D297" s="75"/>
      <c r="E297" s="75"/>
      <c r="F297" s="125"/>
      <c r="G297" s="75"/>
      <c r="H297" s="75"/>
      <c r="I297" s="75"/>
      <c r="J297" s="75"/>
      <c r="K297" s="75"/>
      <c r="L297" s="75"/>
      <c r="M297" s="142"/>
      <c r="N297" s="67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C297" s="66"/>
      <c r="AD297" s="99"/>
      <c r="AE297" s="92"/>
      <c r="AF297" s="92"/>
      <c r="AG297" s="92"/>
      <c r="AH297" s="92"/>
      <c r="AI297" s="92"/>
      <c r="AJ297" s="92"/>
      <c r="AK297" s="92"/>
      <c r="AL297" s="92"/>
      <c r="AM297" s="92"/>
      <c r="AO297" s="66"/>
      <c r="AP297" s="99"/>
      <c r="AQ297" s="92"/>
      <c r="AR297" s="92"/>
      <c r="AS297" s="92"/>
      <c r="AT297" s="92"/>
      <c r="AU297" s="92"/>
      <c r="AV297" s="92"/>
      <c r="AW297" s="92"/>
      <c r="AX297" s="92"/>
      <c r="AY297" s="92"/>
      <c r="AZ297" s="92"/>
    </row>
    <row r="298" spans="1:52" x14ac:dyDescent="0.25">
      <c r="A298" s="142"/>
      <c r="B298" s="67"/>
      <c r="C298" s="75"/>
      <c r="D298" s="75"/>
      <c r="E298" s="75"/>
      <c r="F298" s="125"/>
      <c r="G298" s="75"/>
      <c r="H298" s="75"/>
      <c r="I298" s="75"/>
      <c r="J298" s="75"/>
      <c r="K298" s="75"/>
      <c r="L298" s="75"/>
      <c r="M298" s="142"/>
      <c r="N298" s="67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C298" s="66"/>
      <c r="AD298" s="99"/>
      <c r="AE298" s="92"/>
      <c r="AF298" s="92"/>
      <c r="AG298" s="92"/>
      <c r="AH298" s="92"/>
      <c r="AI298" s="92"/>
      <c r="AJ298" s="92"/>
      <c r="AK298" s="92"/>
      <c r="AL298" s="92"/>
      <c r="AM298" s="92"/>
      <c r="AO298" s="66"/>
      <c r="AP298" s="99"/>
      <c r="AQ298" s="92"/>
      <c r="AR298" s="92"/>
      <c r="AS298" s="92"/>
      <c r="AT298" s="92"/>
      <c r="AU298" s="92"/>
      <c r="AV298" s="92"/>
      <c r="AW298" s="92"/>
      <c r="AX298" s="92"/>
      <c r="AY298" s="92"/>
      <c r="AZ298" s="92"/>
    </row>
    <row r="299" spans="1:52" x14ac:dyDescent="0.25">
      <c r="A299" s="142"/>
      <c r="B299" s="67"/>
      <c r="C299" s="75"/>
      <c r="D299" s="75"/>
      <c r="E299" s="75"/>
      <c r="F299" s="125"/>
      <c r="G299" s="75"/>
      <c r="H299" s="75"/>
      <c r="I299" s="75"/>
      <c r="J299" s="75"/>
      <c r="K299" s="75"/>
      <c r="L299" s="75"/>
      <c r="M299" s="142"/>
      <c r="N299" s="67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C299" s="66"/>
      <c r="AD299" s="99"/>
      <c r="AE299" s="92"/>
      <c r="AF299" s="92"/>
      <c r="AG299" s="92"/>
      <c r="AH299" s="92"/>
      <c r="AI299" s="92"/>
      <c r="AJ299" s="92"/>
      <c r="AK299" s="92"/>
      <c r="AL299" s="92"/>
      <c r="AM299" s="92"/>
      <c r="AO299" s="66"/>
      <c r="AP299" s="99"/>
      <c r="AQ299" s="92"/>
      <c r="AR299" s="92"/>
      <c r="AS299" s="92"/>
      <c r="AT299" s="92"/>
      <c r="AU299" s="92"/>
      <c r="AV299" s="92"/>
      <c r="AW299" s="92"/>
      <c r="AX299" s="92"/>
      <c r="AY299" s="92"/>
      <c r="AZ299" s="92"/>
    </row>
    <row r="300" spans="1:52" x14ac:dyDescent="0.25">
      <c r="A300" s="142"/>
      <c r="B300" s="67"/>
      <c r="C300" s="75"/>
      <c r="D300" s="75"/>
      <c r="E300" s="75"/>
      <c r="F300" s="125"/>
      <c r="G300" s="75"/>
      <c r="H300" s="75"/>
      <c r="I300" s="75"/>
      <c r="J300" s="75"/>
      <c r="K300" s="75"/>
      <c r="L300" s="75"/>
      <c r="M300" s="142"/>
      <c r="N300" s="67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C300" s="66"/>
      <c r="AD300" s="99"/>
      <c r="AE300" s="92"/>
      <c r="AF300" s="92"/>
      <c r="AG300" s="92"/>
      <c r="AH300" s="92"/>
      <c r="AI300" s="92"/>
      <c r="AJ300" s="92"/>
      <c r="AK300" s="92"/>
      <c r="AL300" s="92"/>
      <c r="AM300" s="92"/>
      <c r="AO300" s="66"/>
      <c r="AP300" s="99"/>
      <c r="AQ300" s="92"/>
      <c r="AR300" s="92"/>
      <c r="AS300" s="92"/>
      <c r="AT300" s="92"/>
      <c r="AU300" s="92"/>
      <c r="AV300" s="92"/>
      <c r="AW300" s="92"/>
      <c r="AX300" s="92"/>
      <c r="AY300" s="92"/>
      <c r="AZ300" s="92"/>
    </row>
    <row r="301" spans="1:52" x14ac:dyDescent="0.25">
      <c r="A301" s="142"/>
      <c r="B301" s="67"/>
      <c r="C301" s="75"/>
      <c r="D301" s="75"/>
      <c r="E301" s="75"/>
      <c r="F301" s="125"/>
      <c r="G301" s="75"/>
      <c r="H301" s="75"/>
      <c r="I301" s="75"/>
      <c r="J301" s="75"/>
      <c r="K301" s="75"/>
      <c r="L301" s="75"/>
      <c r="M301" s="142"/>
      <c r="N301" s="67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C301" s="66"/>
      <c r="AD301" s="99"/>
      <c r="AE301" s="92"/>
      <c r="AF301" s="92"/>
      <c r="AG301" s="92"/>
      <c r="AH301" s="92"/>
      <c r="AI301" s="92"/>
      <c r="AJ301" s="92"/>
      <c r="AK301" s="92"/>
      <c r="AL301" s="92"/>
      <c r="AM301" s="92"/>
      <c r="AO301" s="66"/>
      <c r="AP301" s="99"/>
      <c r="AQ301" s="92"/>
      <c r="AR301" s="92"/>
      <c r="AS301" s="92"/>
      <c r="AT301" s="92"/>
      <c r="AU301" s="92"/>
      <c r="AV301" s="92"/>
      <c r="AW301" s="92"/>
      <c r="AX301" s="92"/>
      <c r="AY301" s="92"/>
      <c r="AZ301" s="92"/>
    </row>
    <row r="302" spans="1:52" x14ac:dyDescent="0.25">
      <c r="A302" s="142"/>
      <c r="B302" s="67"/>
      <c r="C302" s="75"/>
      <c r="D302" s="75"/>
      <c r="E302" s="75"/>
      <c r="F302" s="125"/>
      <c r="G302" s="75"/>
      <c r="H302" s="75"/>
      <c r="I302" s="75"/>
      <c r="J302" s="75"/>
      <c r="K302" s="75"/>
      <c r="L302" s="75"/>
      <c r="M302" s="142"/>
      <c r="N302" s="67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C302" s="66"/>
      <c r="AD302" s="99"/>
      <c r="AE302" s="92"/>
      <c r="AF302" s="92"/>
      <c r="AG302" s="92"/>
      <c r="AH302" s="92"/>
      <c r="AI302" s="92"/>
      <c r="AJ302" s="92"/>
      <c r="AK302" s="92"/>
      <c r="AL302" s="92"/>
      <c r="AM302" s="92"/>
      <c r="AO302" s="66"/>
      <c r="AP302" s="99"/>
      <c r="AQ302" s="92"/>
      <c r="AR302" s="92"/>
      <c r="AS302" s="92"/>
      <c r="AT302" s="92"/>
      <c r="AU302" s="92"/>
      <c r="AV302" s="92"/>
      <c r="AW302" s="92"/>
      <c r="AX302" s="92"/>
      <c r="AY302" s="92"/>
      <c r="AZ302" s="92"/>
    </row>
    <row r="303" spans="1:52" x14ac:dyDescent="0.25">
      <c r="A303" s="142"/>
      <c r="B303" s="67"/>
      <c r="C303" s="75"/>
      <c r="D303" s="75"/>
      <c r="E303" s="75"/>
      <c r="F303" s="125"/>
      <c r="G303" s="75"/>
      <c r="H303" s="75"/>
      <c r="I303" s="75"/>
      <c r="J303" s="75"/>
      <c r="K303" s="75"/>
      <c r="L303" s="75"/>
      <c r="M303" s="142"/>
      <c r="N303" s="67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C303" s="66"/>
      <c r="AD303" s="99"/>
      <c r="AE303" s="92"/>
      <c r="AF303" s="92"/>
      <c r="AG303" s="92"/>
      <c r="AH303" s="92"/>
      <c r="AI303" s="92"/>
      <c r="AJ303" s="92"/>
      <c r="AK303" s="92"/>
      <c r="AL303" s="92"/>
      <c r="AM303" s="92"/>
      <c r="AO303" s="66"/>
      <c r="AP303" s="99"/>
      <c r="AQ303" s="92"/>
      <c r="AR303" s="92"/>
      <c r="AS303" s="92"/>
      <c r="AT303" s="92"/>
      <c r="AU303" s="92"/>
      <c r="AV303" s="92"/>
      <c r="AW303" s="92"/>
      <c r="AX303" s="92"/>
      <c r="AY303" s="92"/>
      <c r="AZ303" s="92"/>
    </row>
    <row r="304" spans="1:52" x14ac:dyDescent="0.25">
      <c r="A304" s="142"/>
      <c r="B304" s="67"/>
      <c r="C304" s="75"/>
      <c r="D304" s="75"/>
      <c r="E304" s="75"/>
      <c r="F304" s="125"/>
      <c r="G304" s="75"/>
      <c r="H304" s="75"/>
      <c r="I304" s="75"/>
      <c r="J304" s="75"/>
      <c r="K304" s="75"/>
      <c r="L304" s="75"/>
      <c r="M304" s="142"/>
      <c r="N304" s="67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C304" s="66"/>
      <c r="AD304" s="99"/>
      <c r="AE304" s="92"/>
      <c r="AF304" s="92"/>
      <c r="AG304" s="92"/>
      <c r="AH304" s="92"/>
      <c r="AI304" s="92"/>
      <c r="AJ304" s="92"/>
      <c r="AK304" s="92"/>
      <c r="AL304" s="92"/>
      <c r="AM304" s="92"/>
      <c r="AO304" s="66"/>
      <c r="AP304" s="99"/>
      <c r="AQ304" s="92"/>
      <c r="AR304" s="92"/>
      <c r="AS304" s="92"/>
      <c r="AT304" s="92"/>
      <c r="AU304" s="92"/>
      <c r="AV304" s="92"/>
      <c r="AW304" s="92"/>
      <c r="AX304" s="92"/>
      <c r="AY304" s="92"/>
      <c r="AZ304" s="92"/>
    </row>
    <row r="305" spans="1:52" x14ac:dyDescent="0.25">
      <c r="A305" s="142"/>
      <c r="B305" s="67"/>
      <c r="C305" s="75"/>
      <c r="D305" s="75"/>
      <c r="E305" s="75"/>
      <c r="F305" s="125"/>
      <c r="G305" s="75"/>
      <c r="H305" s="75"/>
      <c r="I305" s="75"/>
      <c r="J305" s="75"/>
      <c r="K305" s="75"/>
      <c r="L305" s="75"/>
      <c r="M305" s="142"/>
      <c r="N305" s="67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C305" s="66"/>
      <c r="AD305" s="99"/>
      <c r="AE305" s="92"/>
      <c r="AF305" s="92"/>
      <c r="AG305" s="92"/>
      <c r="AH305" s="92"/>
      <c r="AI305" s="92"/>
      <c r="AJ305" s="92"/>
      <c r="AK305" s="92"/>
      <c r="AL305" s="92"/>
      <c r="AM305" s="92"/>
      <c r="AO305" s="66"/>
      <c r="AP305" s="99"/>
      <c r="AQ305" s="92"/>
      <c r="AR305" s="92"/>
      <c r="AS305" s="92"/>
      <c r="AT305" s="92"/>
      <c r="AU305" s="92"/>
      <c r="AV305" s="92"/>
      <c r="AW305" s="92"/>
      <c r="AX305" s="92"/>
      <c r="AY305" s="92"/>
      <c r="AZ305" s="92"/>
    </row>
    <row r="306" spans="1:52" x14ac:dyDescent="0.25">
      <c r="A306" s="142"/>
      <c r="B306" s="67"/>
      <c r="C306" s="75"/>
      <c r="D306" s="75"/>
      <c r="E306" s="75"/>
      <c r="F306" s="125"/>
      <c r="G306" s="75"/>
      <c r="H306" s="75"/>
      <c r="I306" s="75"/>
      <c r="J306" s="75"/>
      <c r="K306" s="75"/>
      <c r="L306" s="75"/>
      <c r="M306" s="142"/>
      <c r="N306" s="67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C306" s="66"/>
      <c r="AD306" s="99"/>
      <c r="AE306" s="92"/>
      <c r="AF306" s="92"/>
      <c r="AG306" s="92"/>
      <c r="AH306" s="92"/>
      <c r="AI306" s="92"/>
      <c r="AJ306" s="92"/>
      <c r="AK306" s="92"/>
      <c r="AL306" s="92"/>
      <c r="AM306" s="92"/>
      <c r="AO306" s="66"/>
      <c r="AP306" s="99"/>
      <c r="AQ306" s="92"/>
      <c r="AR306" s="92"/>
      <c r="AS306" s="92"/>
      <c r="AT306" s="92"/>
      <c r="AU306" s="92"/>
      <c r="AV306" s="92"/>
      <c r="AW306" s="92"/>
      <c r="AX306" s="92"/>
      <c r="AY306" s="92"/>
      <c r="AZ306" s="92"/>
    </row>
    <row r="307" spans="1:52" x14ac:dyDescent="0.25">
      <c r="A307" s="142"/>
      <c r="B307" s="67"/>
      <c r="C307" s="75"/>
      <c r="D307" s="75"/>
      <c r="E307" s="75"/>
      <c r="F307" s="125"/>
      <c r="G307" s="75"/>
      <c r="H307" s="75"/>
      <c r="I307" s="75"/>
      <c r="J307" s="75"/>
      <c r="K307" s="75"/>
      <c r="L307" s="75"/>
      <c r="M307" s="142"/>
      <c r="N307" s="67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C307" s="66"/>
      <c r="AD307" s="99"/>
      <c r="AE307" s="92"/>
      <c r="AF307" s="92"/>
      <c r="AG307" s="92"/>
      <c r="AH307" s="92"/>
      <c r="AI307" s="92"/>
      <c r="AJ307" s="92"/>
      <c r="AK307" s="92"/>
      <c r="AL307" s="92"/>
      <c r="AM307" s="92"/>
      <c r="AO307" s="66"/>
      <c r="AP307" s="99"/>
      <c r="AQ307" s="92"/>
      <c r="AR307" s="92"/>
      <c r="AS307" s="92"/>
      <c r="AT307" s="92"/>
      <c r="AU307" s="92"/>
      <c r="AV307" s="92"/>
      <c r="AW307" s="92"/>
      <c r="AX307" s="92"/>
      <c r="AY307" s="92"/>
      <c r="AZ307" s="92"/>
    </row>
    <row r="308" spans="1:52" x14ac:dyDescent="0.25">
      <c r="A308" s="142"/>
      <c r="B308" s="67"/>
      <c r="C308" s="75"/>
      <c r="D308" s="75"/>
      <c r="E308" s="75"/>
      <c r="F308" s="125"/>
      <c r="G308" s="75"/>
      <c r="H308" s="75"/>
      <c r="I308" s="75"/>
      <c r="J308" s="75"/>
      <c r="K308" s="75"/>
      <c r="L308" s="75"/>
      <c r="M308" s="142"/>
      <c r="N308" s="67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C308" s="66"/>
      <c r="AD308" s="99"/>
      <c r="AE308" s="92"/>
      <c r="AF308" s="92"/>
      <c r="AG308" s="92"/>
      <c r="AH308" s="92"/>
      <c r="AI308" s="92"/>
      <c r="AJ308" s="92"/>
      <c r="AK308" s="92"/>
      <c r="AL308" s="92"/>
      <c r="AM308" s="92"/>
      <c r="AO308" s="66"/>
      <c r="AP308" s="99"/>
      <c r="AQ308" s="92"/>
      <c r="AR308" s="92"/>
      <c r="AS308" s="92"/>
      <c r="AT308" s="92"/>
      <c r="AU308" s="92"/>
      <c r="AV308" s="92"/>
      <c r="AW308" s="92"/>
      <c r="AX308" s="92"/>
      <c r="AY308" s="92"/>
      <c r="AZ308" s="92"/>
    </row>
    <row r="309" spans="1:52" x14ac:dyDescent="0.25">
      <c r="A309" s="142"/>
      <c r="B309" s="67"/>
      <c r="C309" s="75"/>
      <c r="D309" s="75"/>
      <c r="E309" s="75"/>
      <c r="F309" s="125"/>
      <c r="G309" s="75"/>
      <c r="H309" s="75"/>
      <c r="I309" s="75"/>
      <c r="J309" s="75"/>
      <c r="K309" s="75"/>
      <c r="L309" s="75"/>
      <c r="M309" s="142"/>
      <c r="N309" s="67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C309" s="66"/>
      <c r="AD309" s="99"/>
      <c r="AE309" s="92"/>
      <c r="AF309" s="92"/>
      <c r="AG309" s="92"/>
      <c r="AH309" s="92"/>
      <c r="AI309" s="92"/>
      <c r="AJ309" s="92"/>
      <c r="AK309" s="92"/>
      <c r="AL309" s="92"/>
      <c r="AM309" s="92"/>
      <c r="AO309" s="66"/>
      <c r="AP309" s="99"/>
      <c r="AQ309" s="92"/>
      <c r="AR309" s="92"/>
      <c r="AS309" s="92"/>
      <c r="AT309" s="92"/>
      <c r="AU309" s="92"/>
      <c r="AV309" s="92"/>
      <c r="AW309" s="92"/>
      <c r="AX309" s="92"/>
      <c r="AY309" s="92"/>
      <c r="AZ309" s="92"/>
    </row>
    <row r="310" spans="1:52" x14ac:dyDescent="0.25">
      <c r="A310" s="142"/>
      <c r="B310" s="67"/>
      <c r="C310" s="75"/>
      <c r="D310" s="75"/>
      <c r="E310" s="75"/>
      <c r="F310" s="125"/>
      <c r="G310" s="75"/>
      <c r="H310" s="75"/>
      <c r="I310" s="75"/>
      <c r="J310" s="75"/>
      <c r="K310" s="75"/>
      <c r="L310" s="75"/>
      <c r="M310" s="142"/>
      <c r="N310" s="67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C310" s="66"/>
      <c r="AD310" s="99"/>
      <c r="AE310" s="92"/>
      <c r="AF310" s="92"/>
      <c r="AG310" s="92"/>
      <c r="AH310" s="92"/>
      <c r="AI310" s="92"/>
      <c r="AJ310" s="92"/>
      <c r="AK310" s="92"/>
      <c r="AL310" s="92"/>
      <c r="AM310" s="92"/>
      <c r="AO310" s="66"/>
      <c r="AP310" s="99"/>
      <c r="AQ310" s="92"/>
      <c r="AR310" s="92"/>
      <c r="AS310" s="92"/>
      <c r="AT310" s="92"/>
      <c r="AU310" s="92"/>
      <c r="AV310" s="92"/>
      <c r="AW310" s="92"/>
      <c r="AX310" s="92"/>
      <c r="AY310" s="92"/>
      <c r="AZ310" s="92"/>
    </row>
    <row r="311" spans="1:52" x14ac:dyDescent="0.25">
      <c r="A311" s="142"/>
      <c r="B311" s="67"/>
      <c r="C311" s="75"/>
      <c r="D311" s="75"/>
      <c r="E311" s="75"/>
      <c r="F311" s="125"/>
      <c r="G311" s="75"/>
      <c r="H311" s="75"/>
      <c r="I311" s="75"/>
      <c r="J311" s="75"/>
      <c r="K311" s="75"/>
      <c r="L311" s="75"/>
      <c r="M311" s="142"/>
      <c r="N311" s="67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C311" s="66"/>
      <c r="AD311" s="99"/>
      <c r="AE311" s="92"/>
      <c r="AF311" s="92"/>
      <c r="AG311" s="92"/>
      <c r="AH311" s="92"/>
      <c r="AI311" s="92"/>
      <c r="AJ311" s="92"/>
      <c r="AK311" s="92"/>
      <c r="AL311" s="92"/>
      <c r="AM311" s="92"/>
      <c r="AO311" s="66"/>
      <c r="AP311" s="99"/>
      <c r="AQ311" s="92"/>
      <c r="AR311" s="92"/>
      <c r="AS311" s="92"/>
      <c r="AT311" s="92"/>
      <c r="AU311" s="92"/>
      <c r="AV311" s="92"/>
      <c r="AW311" s="92"/>
      <c r="AX311" s="92"/>
      <c r="AY311" s="92"/>
      <c r="AZ311" s="92"/>
    </row>
    <row r="312" spans="1:52" x14ac:dyDescent="0.25">
      <c r="A312" s="142"/>
      <c r="B312" s="67"/>
      <c r="C312" s="75"/>
      <c r="D312" s="75"/>
      <c r="E312" s="75"/>
      <c r="F312" s="125"/>
      <c r="G312" s="75"/>
      <c r="H312" s="75"/>
      <c r="I312" s="75"/>
      <c r="J312" s="75"/>
      <c r="K312" s="75"/>
      <c r="L312" s="75"/>
      <c r="M312" s="142"/>
      <c r="N312" s="67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C312" s="66"/>
      <c r="AD312" s="99"/>
      <c r="AE312" s="92"/>
      <c r="AF312" s="92"/>
      <c r="AG312" s="92"/>
      <c r="AH312" s="92"/>
      <c r="AI312" s="92"/>
      <c r="AJ312" s="92"/>
      <c r="AK312" s="92"/>
      <c r="AL312" s="92"/>
      <c r="AM312" s="92"/>
      <c r="AO312" s="66"/>
      <c r="AP312" s="99"/>
      <c r="AQ312" s="92"/>
      <c r="AR312" s="92"/>
      <c r="AS312" s="92"/>
      <c r="AT312" s="92"/>
      <c r="AU312" s="92"/>
      <c r="AV312" s="92"/>
      <c r="AW312" s="92"/>
      <c r="AX312" s="92"/>
      <c r="AY312" s="92"/>
      <c r="AZ312" s="92"/>
    </row>
    <row r="313" spans="1:52" x14ac:dyDescent="0.25">
      <c r="A313" s="142"/>
      <c r="B313" s="67"/>
      <c r="C313" s="75"/>
      <c r="D313" s="75"/>
      <c r="E313" s="75"/>
      <c r="F313" s="125"/>
      <c r="G313" s="75"/>
      <c r="H313" s="75"/>
      <c r="I313" s="75"/>
      <c r="J313" s="75"/>
      <c r="K313" s="75"/>
      <c r="L313" s="75"/>
      <c r="M313" s="142"/>
      <c r="N313" s="67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C313" s="66"/>
      <c r="AD313" s="99"/>
      <c r="AE313" s="92"/>
      <c r="AF313" s="92"/>
      <c r="AG313" s="92"/>
      <c r="AH313" s="92"/>
      <c r="AI313" s="92"/>
      <c r="AJ313" s="92"/>
      <c r="AK313" s="92"/>
      <c r="AL313" s="92"/>
      <c r="AM313" s="92"/>
      <c r="AO313" s="66"/>
      <c r="AP313" s="99"/>
      <c r="AQ313" s="92"/>
      <c r="AR313" s="92"/>
      <c r="AS313" s="92"/>
      <c r="AT313" s="92"/>
      <c r="AU313" s="92"/>
      <c r="AV313" s="92"/>
      <c r="AW313" s="92"/>
      <c r="AX313" s="92"/>
      <c r="AY313" s="92"/>
      <c r="AZ313" s="92"/>
    </row>
    <row r="314" spans="1:52" x14ac:dyDescent="0.25">
      <c r="A314" s="142"/>
      <c r="B314" s="67"/>
      <c r="C314" s="75"/>
      <c r="D314" s="75"/>
      <c r="E314" s="75"/>
      <c r="F314" s="125"/>
      <c r="G314" s="75"/>
      <c r="H314" s="75"/>
      <c r="I314" s="75"/>
      <c r="J314" s="75"/>
      <c r="K314" s="75"/>
      <c r="L314" s="75"/>
      <c r="M314" s="142"/>
      <c r="N314" s="67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C314" s="66"/>
      <c r="AD314" s="99"/>
      <c r="AE314" s="92"/>
      <c r="AF314" s="92"/>
      <c r="AG314" s="92"/>
      <c r="AH314" s="92"/>
      <c r="AI314" s="92"/>
      <c r="AJ314" s="92"/>
      <c r="AK314" s="92"/>
      <c r="AL314" s="92"/>
      <c r="AM314" s="92"/>
      <c r="AO314" s="66"/>
      <c r="AP314" s="99"/>
      <c r="AQ314" s="92"/>
      <c r="AR314" s="92"/>
      <c r="AS314" s="92"/>
      <c r="AT314" s="92"/>
      <c r="AU314" s="92"/>
      <c r="AV314" s="92"/>
      <c r="AW314" s="92"/>
      <c r="AX314" s="92"/>
      <c r="AY314" s="92"/>
      <c r="AZ314" s="92"/>
    </row>
    <row r="315" spans="1:52" x14ac:dyDescent="0.25">
      <c r="A315" s="142"/>
      <c r="B315" s="67"/>
      <c r="C315" s="75"/>
      <c r="D315" s="75"/>
      <c r="E315" s="75"/>
      <c r="F315" s="125"/>
      <c r="G315" s="75"/>
      <c r="H315" s="75"/>
      <c r="I315" s="75"/>
      <c r="J315" s="75"/>
      <c r="K315" s="75"/>
      <c r="L315" s="75"/>
      <c r="M315" s="142"/>
      <c r="N315" s="67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C315" s="66"/>
      <c r="AD315" s="99"/>
      <c r="AE315" s="92"/>
      <c r="AF315" s="92"/>
      <c r="AG315" s="92"/>
      <c r="AH315" s="92"/>
      <c r="AI315" s="92"/>
      <c r="AJ315" s="92"/>
      <c r="AK315" s="92"/>
      <c r="AL315" s="92"/>
      <c r="AM315" s="92"/>
      <c r="AO315" s="66"/>
      <c r="AP315" s="99"/>
      <c r="AQ315" s="92"/>
      <c r="AR315" s="92"/>
      <c r="AS315" s="92"/>
      <c r="AT315" s="92"/>
      <c r="AU315" s="92"/>
      <c r="AV315" s="92"/>
      <c r="AW315" s="92"/>
      <c r="AX315" s="92"/>
      <c r="AY315" s="92"/>
      <c r="AZ315" s="92"/>
    </row>
    <row r="316" spans="1:52" x14ac:dyDescent="0.25">
      <c r="A316" s="142"/>
      <c r="B316" s="67"/>
      <c r="C316" s="75"/>
      <c r="D316" s="75"/>
      <c r="E316" s="75"/>
      <c r="F316" s="125"/>
      <c r="G316" s="75"/>
      <c r="H316" s="75"/>
      <c r="I316" s="75"/>
      <c r="J316" s="75"/>
      <c r="K316" s="75"/>
      <c r="L316" s="75"/>
      <c r="M316" s="142"/>
      <c r="N316" s="67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C316" s="66"/>
      <c r="AD316" s="99"/>
      <c r="AE316" s="92"/>
      <c r="AF316" s="92"/>
      <c r="AG316" s="92"/>
      <c r="AH316" s="92"/>
      <c r="AI316" s="92"/>
      <c r="AJ316" s="92"/>
      <c r="AK316" s="92"/>
      <c r="AL316" s="92"/>
      <c r="AM316" s="92"/>
      <c r="AO316" s="66"/>
      <c r="AP316" s="99"/>
      <c r="AQ316" s="92"/>
      <c r="AR316" s="92"/>
      <c r="AS316" s="92"/>
      <c r="AT316" s="92"/>
      <c r="AU316" s="92"/>
      <c r="AV316" s="92"/>
      <c r="AW316" s="92"/>
      <c r="AX316" s="92"/>
      <c r="AY316" s="92"/>
      <c r="AZ316" s="92"/>
    </row>
    <row r="317" spans="1:52" x14ac:dyDescent="0.25">
      <c r="A317" s="142"/>
      <c r="B317" s="67"/>
      <c r="C317" s="75"/>
      <c r="D317" s="75"/>
      <c r="E317" s="75"/>
      <c r="F317" s="125"/>
      <c r="G317" s="75"/>
      <c r="H317" s="75"/>
      <c r="I317" s="75"/>
      <c r="J317" s="75"/>
      <c r="K317" s="75"/>
      <c r="L317" s="75"/>
      <c r="M317" s="142"/>
      <c r="N317" s="67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C317" s="66"/>
      <c r="AD317" s="99"/>
      <c r="AE317" s="92"/>
      <c r="AF317" s="92"/>
      <c r="AG317" s="92"/>
      <c r="AH317" s="92"/>
      <c r="AI317" s="92"/>
      <c r="AJ317" s="92"/>
      <c r="AK317" s="92"/>
      <c r="AL317" s="92"/>
      <c r="AM317" s="92"/>
      <c r="AO317" s="66"/>
      <c r="AP317" s="99"/>
      <c r="AQ317" s="92"/>
      <c r="AR317" s="92"/>
      <c r="AS317" s="92"/>
      <c r="AT317" s="92"/>
      <c r="AU317" s="92"/>
      <c r="AV317" s="92"/>
      <c r="AW317" s="92"/>
      <c r="AX317" s="92"/>
      <c r="AY317" s="92"/>
      <c r="AZ317" s="92"/>
    </row>
    <row r="318" spans="1:52" x14ac:dyDescent="0.25">
      <c r="A318" s="142"/>
      <c r="B318" s="67"/>
      <c r="C318" s="75"/>
      <c r="D318" s="75"/>
      <c r="E318" s="75"/>
      <c r="F318" s="125"/>
      <c r="G318" s="75"/>
      <c r="H318" s="75"/>
      <c r="I318" s="75"/>
      <c r="J318" s="75"/>
      <c r="K318" s="75"/>
      <c r="L318" s="75"/>
      <c r="M318" s="142"/>
      <c r="N318" s="67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C318" s="66"/>
      <c r="AD318" s="99"/>
      <c r="AE318" s="92"/>
      <c r="AF318" s="92"/>
      <c r="AG318" s="92"/>
      <c r="AH318" s="92"/>
      <c r="AI318" s="92"/>
      <c r="AJ318" s="92"/>
      <c r="AK318" s="92"/>
      <c r="AL318" s="92"/>
      <c r="AM318" s="92"/>
      <c r="AO318" s="66"/>
      <c r="AP318" s="99"/>
      <c r="AQ318" s="92"/>
      <c r="AR318" s="92"/>
      <c r="AS318" s="92"/>
      <c r="AT318" s="92"/>
      <c r="AU318" s="92"/>
      <c r="AV318" s="92"/>
      <c r="AW318" s="92"/>
      <c r="AX318" s="92"/>
      <c r="AY318" s="92"/>
      <c r="AZ318" s="92"/>
    </row>
    <row r="319" spans="1:52" x14ac:dyDescent="0.25">
      <c r="A319" s="142"/>
      <c r="B319" s="67"/>
      <c r="C319" s="75"/>
      <c r="D319" s="75"/>
      <c r="E319" s="75"/>
      <c r="F319" s="125"/>
      <c r="G319" s="75"/>
      <c r="H319" s="75"/>
      <c r="I319" s="75"/>
      <c r="J319" s="75"/>
      <c r="K319" s="75"/>
      <c r="L319" s="75"/>
      <c r="M319" s="142"/>
      <c r="N319" s="67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C319" s="66"/>
      <c r="AD319" s="99"/>
      <c r="AE319" s="92"/>
      <c r="AF319" s="92"/>
      <c r="AG319" s="92"/>
      <c r="AH319" s="92"/>
      <c r="AI319" s="92"/>
      <c r="AJ319" s="92"/>
      <c r="AK319" s="92"/>
      <c r="AL319" s="92"/>
      <c r="AM319" s="92"/>
      <c r="AO319" s="66"/>
      <c r="AP319" s="99"/>
      <c r="AQ319" s="92"/>
      <c r="AR319" s="92"/>
      <c r="AS319" s="92"/>
      <c r="AT319" s="92"/>
      <c r="AU319" s="92"/>
      <c r="AV319" s="92"/>
      <c r="AW319" s="92"/>
      <c r="AX319" s="92"/>
      <c r="AY319" s="92"/>
      <c r="AZ319" s="92"/>
    </row>
    <row r="320" spans="1:52" x14ac:dyDescent="0.25">
      <c r="A320" s="142"/>
      <c r="B320" s="67"/>
      <c r="C320" s="75"/>
      <c r="D320" s="75"/>
      <c r="E320" s="75"/>
      <c r="F320" s="125"/>
      <c r="G320" s="75"/>
      <c r="H320" s="75"/>
      <c r="I320" s="75"/>
      <c r="J320" s="75"/>
      <c r="K320" s="75"/>
      <c r="L320" s="75"/>
      <c r="M320" s="142"/>
      <c r="N320" s="67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C320" s="66"/>
      <c r="AD320" s="99"/>
      <c r="AE320" s="92"/>
      <c r="AF320" s="92"/>
      <c r="AG320" s="92"/>
      <c r="AH320" s="92"/>
      <c r="AI320" s="92"/>
      <c r="AJ320" s="92"/>
      <c r="AK320" s="92"/>
      <c r="AL320" s="92"/>
      <c r="AM320" s="92"/>
      <c r="AO320" s="66"/>
      <c r="AP320" s="99"/>
      <c r="AQ320" s="92"/>
      <c r="AR320" s="92"/>
      <c r="AS320" s="92"/>
      <c r="AT320" s="92"/>
      <c r="AU320" s="92"/>
      <c r="AV320" s="92"/>
      <c r="AW320" s="92"/>
      <c r="AX320" s="92"/>
      <c r="AY320" s="92"/>
      <c r="AZ320" s="92"/>
    </row>
    <row r="321" spans="1:52" x14ac:dyDescent="0.25">
      <c r="A321" s="142"/>
      <c r="B321" s="67"/>
      <c r="C321" s="75"/>
      <c r="D321" s="75"/>
      <c r="E321" s="75"/>
      <c r="F321" s="125"/>
      <c r="G321" s="75"/>
      <c r="H321" s="75"/>
      <c r="I321" s="75"/>
      <c r="J321" s="75"/>
      <c r="K321" s="75"/>
      <c r="L321" s="75"/>
      <c r="M321" s="142"/>
      <c r="N321" s="67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C321" s="66"/>
      <c r="AD321" s="99"/>
      <c r="AE321" s="92"/>
      <c r="AF321" s="92"/>
      <c r="AG321" s="92"/>
      <c r="AH321" s="92"/>
      <c r="AI321" s="92"/>
      <c r="AJ321" s="92"/>
      <c r="AK321" s="92"/>
      <c r="AL321" s="92"/>
      <c r="AM321" s="92"/>
      <c r="AO321" s="66"/>
      <c r="AP321" s="99"/>
      <c r="AQ321" s="92"/>
      <c r="AR321" s="92"/>
      <c r="AS321" s="92"/>
      <c r="AT321" s="92"/>
      <c r="AU321" s="92"/>
      <c r="AV321" s="92"/>
      <c r="AW321" s="92"/>
      <c r="AX321" s="92"/>
      <c r="AY321" s="92"/>
      <c r="AZ321" s="92"/>
    </row>
    <row r="322" spans="1:52" x14ac:dyDescent="0.25">
      <c r="A322" s="142"/>
      <c r="B322" s="67"/>
      <c r="C322" s="75"/>
      <c r="D322" s="75"/>
      <c r="E322" s="75"/>
      <c r="F322" s="125"/>
      <c r="G322" s="75"/>
      <c r="H322" s="75"/>
      <c r="I322" s="75"/>
      <c r="J322" s="75"/>
      <c r="K322" s="75"/>
      <c r="L322" s="75"/>
      <c r="M322" s="142"/>
      <c r="N322" s="67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C322" s="66"/>
      <c r="AD322" s="99"/>
      <c r="AE322" s="92"/>
      <c r="AF322" s="92"/>
      <c r="AG322" s="92"/>
      <c r="AH322" s="92"/>
      <c r="AI322" s="92"/>
      <c r="AJ322" s="92"/>
      <c r="AK322" s="92"/>
      <c r="AL322" s="92"/>
      <c r="AM322" s="92"/>
      <c r="AO322" s="66"/>
      <c r="AP322" s="99"/>
      <c r="AQ322" s="92"/>
      <c r="AR322" s="92"/>
      <c r="AS322" s="92"/>
      <c r="AT322" s="92"/>
      <c r="AU322" s="92"/>
      <c r="AV322" s="92"/>
      <c r="AW322" s="92"/>
      <c r="AX322" s="92"/>
      <c r="AY322" s="92"/>
      <c r="AZ322" s="92"/>
    </row>
    <row r="323" spans="1:52" x14ac:dyDescent="0.25">
      <c r="A323" s="142"/>
      <c r="B323" s="67"/>
      <c r="C323" s="75"/>
      <c r="D323" s="75"/>
      <c r="E323" s="75"/>
      <c r="F323" s="125"/>
      <c r="G323" s="75"/>
      <c r="H323" s="75"/>
      <c r="I323" s="75"/>
      <c r="J323" s="75"/>
      <c r="K323" s="75"/>
      <c r="L323" s="75"/>
      <c r="M323" s="142"/>
      <c r="N323" s="67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C323" s="66"/>
      <c r="AD323" s="99"/>
      <c r="AE323" s="92"/>
      <c r="AF323" s="92"/>
      <c r="AG323" s="92"/>
      <c r="AH323" s="92"/>
      <c r="AI323" s="92"/>
      <c r="AJ323" s="92"/>
      <c r="AK323" s="92"/>
      <c r="AL323" s="92"/>
      <c r="AM323" s="92"/>
      <c r="AO323" s="66"/>
      <c r="AP323" s="99"/>
      <c r="AQ323" s="92"/>
      <c r="AR323" s="92"/>
      <c r="AS323" s="92"/>
      <c r="AT323" s="92"/>
      <c r="AU323" s="92"/>
      <c r="AV323" s="92"/>
      <c r="AW323" s="92"/>
      <c r="AX323" s="92"/>
      <c r="AY323" s="92"/>
      <c r="AZ323" s="92"/>
    </row>
    <row r="324" spans="1:52" x14ac:dyDescent="0.25">
      <c r="A324" s="142"/>
      <c r="B324" s="67"/>
      <c r="C324" s="75"/>
      <c r="D324" s="75"/>
      <c r="E324" s="75"/>
      <c r="F324" s="125"/>
      <c r="G324" s="75"/>
      <c r="H324" s="75"/>
      <c r="I324" s="75"/>
      <c r="J324" s="75"/>
      <c r="K324" s="75"/>
      <c r="L324" s="75"/>
      <c r="M324" s="142"/>
      <c r="N324" s="67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C324" s="66"/>
      <c r="AD324" s="99"/>
      <c r="AE324" s="92"/>
      <c r="AF324" s="92"/>
      <c r="AG324" s="92"/>
      <c r="AH324" s="92"/>
      <c r="AI324" s="92"/>
      <c r="AJ324" s="92"/>
      <c r="AK324" s="92"/>
      <c r="AL324" s="92"/>
      <c r="AM324" s="92"/>
      <c r="AO324" s="66"/>
      <c r="AP324" s="99"/>
      <c r="AQ324" s="92"/>
      <c r="AR324" s="92"/>
      <c r="AS324" s="92"/>
      <c r="AT324" s="92"/>
      <c r="AU324" s="92"/>
      <c r="AV324" s="92"/>
      <c r="AW324" s="92"/>
      <c r="AX324" s="92"/>
      <c r="AY324" s="92"/>
      <c r="AZ324" s="92"/>
    </row>
    <row r="325" spans="1:52" ht="15.75" x14ac:dyDescent="0.25">
      <c r="A325" s="124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75"/>
      <c r="M325" s="75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1:52" x14ac:dyDescent="0.25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C326" s="85"/>
      <c r="AD326" s="85"/>
      <c r="AE326" s="86"/>
      <c r="AF326" s="86"/>
      <c r="AG326" s="86"/>
      <c r="AH326" s="86"/>
      <c r="AI326" s="86"/>
      <c r="AJ326" s="86"/>
      <c r="AK326" s="86"/>
      <c r="AL326" s="86"/>
      <c r="AM326" s="86"/>
      <c r="AO326" s="85"/>
      <c r="AP326" s="85"/>
      <c r="AQ326" s="86"/>
      <c r="AR326" s="86"/>
      <c r="AS326" s="86"/>
      <c r="AT326" s="86"/>
      <c r="AU326" s="86"/>
      <c r="AV326" s="86"/>
      <c r="AW326" s="86"/>
      <c r="AX326" s="86"/>
      <c r="AY326" s="86"/>
      <c r="AZ326" s="86"/>
    </row>
    <row r="327" spans="1:52" ht="15" customHeight="1" x14ac:dyDescent="0.25">
      <c r="A327" s="142"/>
      <c r="B327" s="67"/>
      <c r="C327" s="75"/>
      <c r="D327" s="75"/>
      <c r="E327" s="75"/>
      <c r="F327" s="125"/>
      <c r="G327" s="75"/>
      <c r="H327" s="75"/>
      <c r="I327" s="75"/>
      <c r="J327" s="75"/>
      <c r="K327" s="75"/>
      <c r="L327" s="75"/>
      <c r="M327" s="142"/>
      <c r="N327" s="67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C327" s="66"/>
      <c r="AD327" s="91"/>
      <c r="AE327" s="92"/>
      <c r="AF327" s="92"/>
      <c r="AG327" s="92"/>
      <c r="AH327" s="92"/>
      <c r="AI327" s="92"/>
      <c r="AJ327" s="92"/>
      <c r="AK327" s="92"/>
      <c r="AL327" s="92"/>
      <c r="AM327" s="92"/>
      <c r="AO327" s="66"/>
      <c r="AP327" s="91"/>
      <c r="AQ327" s="92"/>
      <c r="AR327" s="92"/>
      <c r="AS327" s="92"/>
      <c r="AT327" s="92"/>
      <c r="AU327" s="92"/>
      <c r="AV327" s="92"/>
      <c r="AW327" s="92"/>
      <c r="AX327" s="92"/>
      <c r="AY327" s="92"/>
      <c r="AZ327" s="92"/>
    </row>
    <row r="328" spans="1:52" x14ac:dyDescent="0.25">
      <c r="A328" s="142"/>
      <c r="B328" s="67"/>
      <c r="C328" s="75"/>
      <c r="D328" s="75"/>
      <c r="E328" s="75"/>
      <c r="F328" s="125"/>
      <c r="G328" s="75"/>
      <c r="H328" s="75"/>
      <c r="I328" s="75"/>
      <c r="J328" s="75"/>
      <c r="K328" s="75"/>
      <c r="L328" s="75"/>
      <c r="M328" s="142"/>
      <c r="N328" s="67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C328" s="66"/>
      <c r="AD328" s="91"/>
      <c r="AE328" s="92"/>
      <c r="AF328" s="92"/>
      <c r="AG328" s="92"/>
      <c r="AH328" s="92"/>
      <c r="AI328" s="92"/>
      <c r="AJ328" s="92"/>
      <c r="AK328" s="92"/>
      <c r="AL328" s="92"/>
      <c r="AM328" s="92"/>
      <c r="AO328" s="66"/>
      <c r="AP328" s="91"/>
      <c r="AQ328" s="92"/>
      <c r="AR328" s="92"/>
      <c r="AS328" s="92"/>
      <c r="AT328" s="92"/>
      <c r="AU328" s="92"/>
      <c r="AV328" s="92"/>
      <c r="AW328" s="92"/>
      <c r="AX328" s="92"/>
      <c r="AY328" s="92"/>
      <c r="AZ328" s="92"/>
    </row>
    <row r="329" spans="1:52" x14ac:dyDescent="0.25">
      <c r="A329" s="142"/>
      <c r="B329" s="67"/>
      <c r="C329" s="75"/>
      <c r="D329" s="75"/>
      <c r="E329" s="75"/>
      <c r="F329" s="125"/>
      <c r="G329" s="75"/>
      <c r="H329" s="75"/>
      <c r="I329" s="75"/>
      <c r="J329" s="75"/>
      <c r="K329" s="75"/>
      <c r="L329" s="75"/>
      <c r="M329" s="142"/>
      <c r="N329" s="67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C329" s="66"/>
      <c r="AD329" s="91"/>
      <c r="AE329" s="92"/>
      <c r="AF329" s="92"/>
      <c r="AG329" s="92"/>
      <c r="AH329" s="92"/>
      <c r="AI329" s="92"/>
      <c r="AJ329" s="92"/>
      <c r="AK329" s="92"/>
      <c r="AL329" s="92"/>
      <c r="AM329" s="92"/>
      <c r="AO329" s="66"/>
      <c r="AP329" s="91"/>
      <c r="AQ329" s="92"/>
      <c r="AR329" s="92"/>
      <c r="AS329" s="92"/>
      <c r="AT329" s="92"/>
      <c r="AU329" s="92"/>
      <c r="AV329" s="92"/>
      <c r="AW329" s="92"/>
      <c r="AX329" s="92"/>
      <c r="AY329" s="92"/>
      <c r="AZ329" s="92"/>
    </row>
    <row r="330" spans="1:52" x14ac:dyDescent="0.25">
      <c r="A330" s="142"/>
      <c r="B330" s="67"/>
      <c r="C330" s="75"/>
      <c r="D330" s="75"/>
      <c r="E330" s="75"/>
      <c r="F330" s="125"/>
      <c r="G330" s="75"/>
      <c r="H330" s="75"/>
      <c r="I330" s="75"/>
      <c r="J330" s="75"/>
      <c r="K330" s="75"/>
      <c r="L330" s="75"/>
      <c r="M330" s="142"/>
      <c r="N330" s="67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C330" s="66"/>
      <c r="AD330" s="91"/>
      <c r="AE330" s="92"/>
      <c r="AF330" s="92"/>
      <c r="AG330" s="92"/>
      <c r="AH330" s="92"/>
      <c r="AI330" s="92"/>
      <c r="AJ330" s="92"/>
      <c r="AK330" s="92"/>
      <c r="AL330" s="92"/>
      <c r="AM330" s="92"/>
      <c r="AO330" s="66"/>
      <c r="AP330" s="91"/>
      <c r="AQ330" s="92"/>
      <c r="AR330" s="92"/>
      <c r="AS330" s="92"/>
      <c r="AT330" s="92"/>
      <c r="AU330" s="92"/>
      <c r="AV330" s="92"/>
      <c r="AW330" s="92"/>
      <c r="AX330" s="92"/>
      <c r="AY330" s="92"/>
      <c r="AZ330" s="92"/>
    </row>
    <row r="331" spans="1:52" x14ac:dyDescent="0.25">
      <c r="A331" s="142"/>
      <c r="B331" s="67"/>
      <c r="C331" s="75"/>
      <c r="D331" s="75"/>
      <c r="E331" s="75"/>
      <c r="F331" s="125"/>
      <c r="G331" s="75"/>
      <c r="H331" s="75"/>
      <c r="I331" s="75"/>
      <c r="J331" s="75"/>
      <c r="K331" s="75"/>
      <c r="L331" s="75"/>
      <c r="M331" s="142"/>
      <c r="N331" s="67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C331" s="66"/>
      <c r="AD331" s="91"/>
      <c r="AE331" s="92"/>
      <c r="AF331" s="92"/>
      <c r="AG331" s="92"/>
      <c r="AH331" s="92"/>
      <c r="AI331" s="92"/>
      <c r="AJ331" s="92"/>
      <c r="AK331" s="92"/>
      <c r="AL331" s="92"/>
      <c r="AM331" s="92"/>
      <c r="AO331" s="66"/>
      <c r="AP331" s="91"/>
      <c r="AQ331" s="92"/>
      <c r="AR331" s="92"/>
      <c r="AS331" s="92"/>
      <c r="AT331" s="92"/>
      <c r="AU331" s="92"/>
      <c r="AV331" s="92"/>
      <c r="AW331" s="92"/>
      <c r="AX331" s="92"/>
      <c r="AY331" s="92"/>
      <c r="AZ331" s="92"/>
    </row>
    <row r="332" spans="1:52" x14ac:dyDescent="0.25">
      <c r="A332" s="142"/>
      <c r="B332" s="67"/>
      <c r="C332" s="75"/>
      <c r="D332" s="75"/>
      <c r="E332" s="75"/>
      <c r="F332" s="125"/>
      <c r="G332" s="75"/>
      <c r="H332" s="75"/>
      <c r="I332" s="75"/>
      <c r="J332" s="75"/>
      <c r="K332" s="75"/>
      <c r="L332" s="75"/>
      <c r="M332" s="142"/>
      <c r="N332" s="67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C332" s="66"/>
      <c r="AD332" s="91"/>
      <c r="AE332" s="92"/>
      <c r="AF332" s="92"/>
      <c r="AG332" s="92"/>
      <c r="AH332" s="92"/>
      <c r="AI332" s="92"/>
      <c r="AJ332" s="92"/>
      <c r="AK332" s="92"/>
      <c r="AL332" s="92"/>
      <c r="AM332" s="92"/>
      <c r="AO332" s="66"/>
      <c r="AP332" s="91"/>
      <c r="AQ332" s="92"/>
      <c r="AR332" s="92"/>
      <c r="AS332" s="92"/>
      <c r="AT332" s="92"/>
      <c r="AU332" s="92"/>
      <c r="AV332" s="92"/>
      <c r="AW332" s="92"/>
      <c r="AX332" s="92"/>
      <c r="AY332" s="92"/>
      <c r="AZ332" s="92"/>
    </row>
    <row r="333" spans="1:52" x14ac:dyDescent="0.25">
      <c r="A333" s="142"/>
      <c r="B333" s="67"/>
      <c r="C333" s="75"/>
      <c r="D333" s="75"/>
      <c r="E333" s="75"/>
      <c r="F333" s="125"/>
      <c r="G333" s="75"/>
      <c r="H333" s="75"/>
      <c r="I333" s="75"/>
      <c r="J333" s="75"/>
      <c r="K333" s="75"/>
      <c r="L333" s="75"/>
      <c r="M333" s="142"/>
      <c r="N333" s="67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C333" s="66"/>
      <c r="AD333" s="91"/>
      <c r="AE333" s="92"/>
      <c r="AF333" s="92"/>
      <c r="AG333" s="92"/>
      <c r="AH333" s="92"/>
      <c r="AI333" s="92"/>
      <c r="AJ333" s="92"/>
      <c r="AK333" s="92"/>
      <c r="AL333" s="92"/>
      <c r="AM333" s="92"/>
      <c r="AO333" s="66"/>
      <c r="AP333" s="91"/>
      <c r="AQ333" s="92"/>
      <c r="AR333" s="92"/>
      <c r="AS333" s="92"/>
      <c r="AT333" s="92"/>
      <c r="AU333" s="92"/>
      <c r="AV333" s="92"/>
      <c r="AW333" s="92"/>
      <c r="AX333" s="92"/>
      <c r="AY333" s="92"/>
      <c r="AZ333" s="92"/>
    </row>
    <row r="334" spans="1:52" ht="15" customHeight="1" x14ac:dyDescent="0.25">
      <c r="A334" s="70"/>
      <c r="B334" s="64"/>
      <c r="C334" s="75"/>
      <c r="D334" s="75"/>
      <c r="E334" s="75"/>
      <c r="F334" s="125"/>
      <c r="G334" s="75"/>
      <c r="H334" s="75"/>
      <c r="I334" s="75"/>
      <c r="J334" s="75"/>
      <c r="K334" s="75"/>
      <c r="L334" s="75"/>
      <c r="M334" s="70"/>
      <c r="N334" s="64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C334" s="70"/>
      <c r="AD334" s="99"/>
      <c r="AE334" s="92"/>
      <c r="AF334" s="92"/>
      <c r="AG334" s="92"/>
      <c r="AH334" s="92"/>
      <c r="AI334" s="92"/>
      <c r="AJ334" s="92"/>
      <c r="AK334" s="92"/>
      <c r="AL334" s="92"/>
      <c r="AM334" s="92"/>
      <c r="AO334" s="70"/>
      <c r="AP334" s="99"/>
      <c r="AQ334" s="92"/>
      <c r="AR334" s="92"/>
      <c r="AS334" s="92"/>
      <c r="AT334" s="92"/>
      <c r="AU334" s="92"/>
      <c r="AV334" s="92"/>
      <c r="AW334" s="92"/>
      <c r="AX334" s="92"/>
      <c r="AY334" s="92"/>
      <c r="AZ334" s="92"/>
    </row>
    <row r="335" spans="1:52" x14ac:dyDescent="0.25">
      <c r="A335" s="70"/>
      <c r="B335" s="64"/>
      <c r="C335" s="75"/>
      <c r="D335" s="75"/>
      <c r="E335" s="75"/>
      <c r="F335" s="125"/>
      <c r="G335" s="75"/>
      <c r="H335" s="75"/>
      <c r="I335" s="75"/>
      <c r="J335" s="75"/>
      <c r="K335" s="75"/>
      <c r="L335" s="75"/>
      <c r="M335" s="70"/>
      <c r="N335" s="64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C335" s="66"/>
      <c r="AD335" s="99"/>
      <c r="AE335" s="92"/>
      <c r="AF335" s="92"/>
      <c r="AG335" s="92"/>
      <c r="AH335" s="92"/>
      <c r="AI335" s="92"/>
      <c r="AJ335" s="92"/>
      <c r="AK335" s="92"/>
      <c r="AL335" s="92"/>
      <c r="AM335" s="92"/>
      <c r="AO335" s="66"/>
      <c r="AP335" s="99"/>
      <c r="AQ335" s="92"/>
      <c r="AR335" s="92"/>
      <c r="AS335" s="92"/>
      <c r="AT335" s="92"/>
      <c r="AU335" s="92"/>
      <c r="AV335" s="92"/>
      <c r="AW335" s="92"/>
      <c r="AX335" s="92"/>
      <c r="AY335" s="92"/>
      <c r="AZ335" s="92"/>
    </row>
    <row r="336" spans="1:52" x14ac:dyDescent="0.25">
      <c r="A336" s="70"/>
      <c r="B336" s="64"/>
      <c r="C336" s="75"/>
      <c r="D336" s="75"/>
      <c r="E336" s="75"/>
      <c r="F336" s="125"/>
      <c r="G336" s="75"/>
      <c r="H336" s="75"/>
      <c r="I336" s="75"/>
      <c r="J336" s="75"/>
      <c r="K336" s="75"/>
      <c r="L336" s="75"/>
      <c r="M336" s="70"/>
      <c r="N336" s="64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C336" s="66"/>
      <c r="AD336" s="99"/>
      <c r="AE336" s="92"/>
      <c r="AF336" s="92"/>
      <c r="AG336" s="92"/>
      <c r="AH336" s="92"/>
      <c r="AI336" s="92"/>
      <c r="AJ336" s="92"/>
      <c r="AK336" s="92"/>
      <c r="AL336" s="92"/>
      <c r="AM336" s="92"/>
      <c r="AO336" s="66"/>
      <c r="AP336" s="99"/>
      <c r="AQ336" s="92"/>
      <c r="AR336" s="92"/>
      <c r="AS336" s="92"/>
      <c r="AT336" s="92"/>
      <c r="AU336" s="92"/>
      <c r="AV336" s="92"/>
      <c r="AW336" s="92"/>
      <c r="AX336" s="92"/>
      <c r="AY336" s="92"/>
      <c r="AZ336" s="92"/>
    </row>
    <row r="337" spans="1:52" x14ac:dyDescent="0.25">
      <c r="A337" s="70"/>
      <c r="B337" s="64"/>
      <c r="C337" s="75"/>
      <c r="D337" s="75"/>
      <c r="E337" s="75"/>
      <c r="F337" s="125"/>
      <c r="G337" s="75"/>
      <c r="H337" s="75"/>
      <c r="I337" s="75"/>
      <c r="J337" s="75"/>
      <c r="K337" s="75"/>
      <c r="L337" s="75"/>
      <c r="M337" s="70"/>
      <c r="N337" s="64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C337" s="66"/>
      <c r="AD337" s="99"/>
      <c r="AE337" s="92"/>
      <c r="AF337" s="92"/>
      <c r="AG337" s="92"/>
      <c r="AH337" s="92"/>
      <c r="AI337" s="92"/>
      <c r="AJ337" s="92"/>
      <c r="AK337" s="92"/>
      <c r="AL337" s="92"/>
      <c r="AM337" s="92"/>
      <c r="AO337" s="66"/>
      <c r="AP337" s="99"/>
      <c r="AQ337" s="92"/>
      <c r="AR337" s="92"/>
      <c r="AS337" s="92"/>
      <c r="AT337" s="92"/>
      <c r="AU337" s="92"/>
      <c r="AV337" s="92"/>
      <c r="AW337" s="92"/>
      <c r="AX337" s="92"/>
      <c r="AY337" s="92"/>
      <c r="AZ337" s="92"/>
    </row>
    <row r="338" spans="1:52" x14ac:dyDescent="0.25">
      <c r="A338" s="70"/>
      <c r="B338" s="64"/>
      <c r="C338" s="75"/>
      <c r="D338" s="75"/>
      <c r="E338" s="75"/>
      <c r="F338" s="125"/>
      <c r="G338" s="75"/>
      <c r="H338" s="75"/>
      <c r="I338" s="75"/>
      <c r="J338" s="75"/>
      <c r="K338" s="75"/>
      <c r="L338" s="75"/>
      <c r="M338" s="70"/>
      <c r="N338" s="64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C338" s="66"/>
      <c r="AD338" s="99"/>
      <c r="AE338" s="92"/>
      <c r="AF338" s="92"/>
      <c r="AG338" s="92"/>
      <c r="AH338" s="92"/>
      <c r="AI338" s="92"/>
      <c r="AJ338" s="92"/>
      <c r="AK338" s="92"/>
      <c r="AL338" s="92"/>
      <c r="AM338" s="92"/>
      <c r="AO338" s="66"/>
      <c r="AP338" s="99"/>
      <c r="AQ338" s="92"/>
      <c r="AR338" s="92"/>
      <c r="AS338" s="92"/>
      <c r="AT338" s="92"/>
      <c r="AU338" s="92"/>
      <c r="AV338" s="92"/>
      <c r="AW338" s="92"/>
      <c r="AX338" s="92"/>
      <c r="AY338" s="92"/>
      <c r="AZ338" s="92"/>
    </row>
    <row r="339" spans="1:52" x14ac:dyDescent="0.25">
      <c r="A339" s="70"/>
      <c r="B339" s="64"/>
      <c r="C339" s="75"/>
      <c r="D339" s="75"/>
      <c r="E339" s="75"/>
      <c r="F339" s="125"/>
      <c r="G339" s="75"/>
      <c r="H339" s="75"/>
      <c r="I339" s="75"/>
      <c r="J339" s="75"/>
      <c r="K339" s="75"/>
      <c r="L339" s="75"/>
      <c r="M339" s="70"/>
      <c r="N339" s="64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C339" s="66"/>
      <c r="AD339" s="99"/>
      <c r="AE339" s="92"/>
      <c r="AF339" s="92"/>
      <c r="AG339" s="92"/>
      <c r="AH339" s="92"/>
      <c r="AI339" s="92"/>
      <c r="AJ339" s="92"/>
      <c r="AK339" s="92"/>
      <c r="AL339" s="92"/>
      <c r="AM339" s="92"/>
      <c r="AO339" s="66"/>
      <c r="AP339" s="99"/>
      <c r="AQ339" s="92"/>
      <c r="AR339" s="92"/>
      <c r="AS339" s="92"/>
      <c r="AT339" s="92"/>
      <c r="AU339" s="92"/>
      <c r="AV339" s="92"/>
      <c r="AW339" s="92"/>
      <c r="AX339" s="92"/>
      <c r="AY339" s="92"/>
      <c r="AZ339" s="92"/>
    </row>
    <row r="340" spans="1:52" x14ac:dyDescent="0.25">
      <c r="A340" s="70"/>
      <c r="B340" s="64"/>
      <c r="C340" s="75"/>
      <c r="D340" s="75"/>
      <c r="E340" s="75"/>
      <c r="F340" s="125"/>
      <c r="G340" s="75"/>
      <c r="H340" s="75"/>
      <c r="I340" s="75"/>
      <c r="J340" s="75"/>
      <c r="K340" s="75"/>
      <c r="L340" s="75"/>
      <c r="M340" s="70"/>
      <c r="N340" s="64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C340" s="66"/>
      <c r="AD340" s="99"/>
      <c r="AE340" s="92"/>
      <c r="AF340" s="92"/>
      <c r="AG340" s="92"/>
      <c r="AH340" s="92"/>
      <c r="AI340" s="92"/>
      <c r="AJ340" s="92"/>
      <c r="AK340" s="92"/>
      <c r="AL340" s="92"/>
      <c r="AM340" s="92"/>
      <c r="AO340" s="66"/>
      <c r="AP340" s="99"/>
      <c r="AQ340" s="92"/>
      <c r="AR340" s="92"/>
      <c r="AS340" s="92"/>
      <c r="AT340" s="92"/>
      <c r="AU340" s="92"/>
      <c r="AV340" s="92"/>
      <c r="AW340" s="92"/>
      <c r="AX340" s="92"/>
      <c r="AY340" s="92"/>
      <c r="AZ340" s="92"/>
    </row>
    <row r="341" spans="1:52" x14ac:dyDescent="0.25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C341" s="85"/>
      <c r="AD341" s="85"/>
      <c r="AE341" s="86"/>
      <c r="AF341" s="86"/>
      <c r="AG341" s="86"/>
      <c r="AH341" s="86"/>
      <c r="AI341" s="86"/>
      <c r="AJ341" s="86"/>
      <c r="AK341" s="86"/>
      <c r="AL341" s="86"/>
      <c r="AM341" s="86"/>
      <c r="AO341" s="85"/>
      <c r="AP341" s="85"/>
      <c r="AQ341" s="86"/>
      <c r="AR341" s="86"/>
      <c r="AS341" s="86"/>
      <c r="AT341" s="86"/>
      <c r="AU341" s="86"/>
      <c r="AV341" s="86"/>
      <c r="AW341" s="86"/>
      <c r="AX341" s="86"/>
      <c r="AY341" s="86"/>
      <c r="AZ341" s="86"/>
    </row>
    <row r="342" spans="1:52" ht="15" customHeight="1" x14ac:dyDescent="0.25">
      <c r="A342" s="142"/>
      <c r="B342" s="67"/>
      <c r="C342" s="75"/>
      <c r="D342" s="75"/>
      <c r="E342" s="75"/>
      <c r="F342" s="125"/>
      <c r="G342" s="75"/>
      <c r="H342" s="75"/>
      <c r="I342" s="75"/>
      <c r="J342" s="75"/>
      <c r="K342" s="75"/>
      <c r="L342" s="75"/>
      <c r="M342" s="142"/>
      <c r="N342" s="67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C342" s="66"/>
      <c r="AD342" s="91"/>
      <c r="AE342" s="92"/>
      <c r="AF342" s="92"/>
      <c r="AG342" s="92"/>
      <c r="AH342" s="92"/>
      <c r="AI342" s="92"/>
      <c r="AJ342" s="92"/>
      <c r="AK342" s="92"/>
      <c r="AL342" s="92"/>
      <c r="AM342" s="92"/>
      <c r="AO342" s="66"/>
      <c r="AP342" s="91"/>
      <c r="AQ342" s="92"/>
      <c r="AR342" s="92"/>
      <c r="AS342" s="92"/>
      <c r="AT342" s="92"/>
      <c r="AU342" s="92"/>
      <c r="AV342" s="92"/>
      <c r="AW342" s="92"/>
      <c r="AX342" s="92"/>
      <c r="AY342" s="92"/>
      <c r="AZ342" s="92"/>
    </row>
    <row r="343" spans="1:52" x14ac:dyDescent="0.25">
      <c r="A343" s="142"/>
      <c r="B343" s="67"/>
      <c r="C343" s="75"/>
      <c r="D343" s="75"/>
      <c r="E343" s="75"/>
      <c r="F343" s="125"/>
      <c r="G343" s="75"/>
      <c r="H343" s="75"/>
      <c r="I343" s="75"/>
      <c r="J343" s="75"/>
      <c r="K343" s="75"/>
      <c r="L343" s="75"/>
      <c r="M343" s="142"/>
      <c r="N343" s="67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C343" s="66"/>
      <c r="AD343" s="91"/>
      <c r="AE343" s="92"/>
      <c r="AF343" s="92"/>
      <c r="AG343" s="92"/>
      <c r="AH343" s="92"/>
      <c r="AI343" s="92"/>
      <c r="AJ343" s="92"/>
      <c r="AK343" s="92"/>
      <c r="AL343" s="92"/>
      <c r="AM343" s="92"/>
      <c r="AO343" s="66"/>
      <c r="AP343" s="91"/>
      <c r="AQ343" s="92"/>
      <c r="AR343" s="92"/>
      <c r="AS343" s="92"/>
      <c r="AT343" s="92"/>
      <c r="AU343" s="92"/>
      <c r="AV343" s="92"/>
      <c r="AW343" s="92"/>
      <c r="AX343" s="92"/>
      <c r="AY343" s="92"/>
      <c r="AZ343" s="92"/>
    </row>
    <row r="344" spans="1:52" x14ac:dyDescent="0.25">
      <c r="A344" s="142"/>
      <c r="B344" s="67"/>
      <c r="C344" s="75"/>
      <c r="D344" s="75"/>
      <c r="E344" s="75"/>
      <c r="F344" s="125"/>
      <c r="G344" s="75"/>
      <c r="H344" s="75"/>
      <c r="I344" s="75"/>
      <c r="J344" s="75"/>
      <c r="K344" s="75"/>
      <c r="L344" s="75"/>
      <c r="M344" s="142"/>
      <c r="N344" s="67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C344" s="66"/>
      <c r="AD344" s="91"/>
      <c r="AE344" s="92"/>
      <c r="AF344" s="92"/>
      <c r="AG344" s="92"/>
      <c r="AH344" s="92"/>
      <c r="AI344" s="92"/>
      <c r="AJ344" s="92"/>
      <c r="AK344" s="92"/>
      <c r="AL344" s="92"/>
      <c r="AM344" s="92"/>
      <c r="AO344" s="66"/>
      <c r="AP344" s="91"/>
      <c r="AQ344" s="92"/>
      <c r="AR344" s="92"/>
      <c r="AS344" s="92"/>
      <c r="AT344" s="92"/>
      <c r="AU344" s="92"/>
      <c r="AV344" s="92"/>
      <c r="AW344" s="92"/>
      <c r="AX344" s="92"/>
      <c r="AY344" s="92"/>
      <c r="AZ344" s="92"/>
    </row>
    <row r="345" spans="1:52" x14ac:dyDescent="0.25">
      <c r="A345" s="142"/>
      <c r="B345" s="67"/>
      <c r="C345" s="75"/>
      <c r="D345" s="75"/>
      <c r="E345" s="75"/>
      <c r="F345" s="125"/>
      <c r="G345" s="75"/>
      <c r="H345" s="75"/>
      <c r="I345" s="75"/>
      <c r="J345" s="75"/>
      <c r="K345" s="75"/>
      <c r="L345" s="75"/>
      <c r="M345" s="142"/>
      <c r="N345" s="67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C345" s="66"/>
      <c r="AD345" s="91"/>
      <c r="AE345" s="92"/>
      <c r="AF345" s="92"/>
      <c r="AG345" s="92"/>
      <c r="AH345" s="92"/>
      <c r="AI345" s="92"/>
      <c r="AJ345" s="92"/>
      <c r="AK345" s="92"/>
      <c r="AL345" s="92"/>
      <c r="AM345" s="92"/>
      <c r="AO345" s="66"/>
      <c r="AP345" s="91"/>
      <c r="AQ345" s="92"/>
      <c r="AR345" s="92"/>
      <c r="AS345" s="92"/>
      <c r="AT345" s="92"/>
      <c r="AU345" s="92"/>
      <c r="AV345" s="92"/>
      <c r="AW345" s="92"/>
      <c r="AX345" s="92"/>
      <c r="AY345" s="92"/>
      <c r="AZ345" s="92"/>
    </row>
    <row r="346" spans="1:52" x14ac:dyDescent="0.25">
      <c r="A346" s="142"/>
      <c r="B346" s="67"/>
      <c r="C346" s="75"/>
      <c r="D346" s="75"/>
      <c r="E346" s="75"/>
      <c r="F346" s="125"/>
      <c r="G346" s="75"/>
      <c r="H346" s="75"/>
      <c r="I346" s="75"/>
      <c r="J346" s="75"/>
      <c r="K346" s="75"/>
      <c r="L346" s="75"/>
      <c r="M346" s="142"/>
      <c r="N346" s="67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C346" s="66"/>
      <c r="AD346" s="91"/>
      <c r="AE346" s="92"/>
      <c r="AF346" s="92"/>
      <c r="AG346" s="92"/>
      <c r="AH346" s="92"/>
      <c r="AI346" s="92"/>
      <c r="AJ346" s="92"/>
      <c r="AK346" s="92"/>
      <c r="AL346" s="92"/>
      <c r="AM346" s="92"/>
      <c r="AO346" s="66"/>
      <c r="AP346" s="91"/>
      <c r="AQ346" s="92"/>
      <c r="AR346" s="92"/>
      <c r="AS346" s="92"/>
      <c r="AT346" s="92"/>
      <c r="AU346" s="92"/>
      <c r="AV346" s="92"/>
      <c r="AW346" s="92"/>
      <c r="AX346" s="92"/>
      <c r="AY346" s="92"/>
      <c r="AZ346" s="92"/>
    </row>
    <row r="347" spans="1:52" x14ac:dyDescent="0.25">
      <c r="A347" s="142"/>
      <c r="B347" s="67"/>
      <c r="C347" s="75"/>
      <c r="D347" s="75"/>
      <c r="E347" s="75"/>
      <c r="F347" s="125"/>
      <c r="G347" s="75"/>
      <c r="H347" s="75"/>
      <c r="I347" s="75"/>
      <c r="J347" s="75"/>
      <c r="K347" s="75"/>
      <c r="L347" s="75"/>
      <c r="M347" s="142"/>
      <c r="N347" s="67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C347" s="66"/>
      <c r="AD347" s="91"/>
      <c r="AE347" s="92"/>
      <c r="AF347" s="92"/>
      <c r="AG347" s="92"/>
      <c r="AH347" s="92"/>
      <c r="AI347" s="92"/>
      <c r="AJ347" s="92"/>
      <c r="AK347" s="92"/>
      <c r="AL347" s="92"/>
      <c r="AM347" s="92"/>
      <c r="AO347" s="66"/>
      <c r="AP347" s="91"/>
      <c r="AQ347" s="92"/>
      <c r="AR347" s="92"/>
      <c r="AS347" s="92"/>
      <c r="AT347" s="92"/>
      <c r="AU347" s="92"/>
      <c r="AV347" s="92"/>
      <c r="AW347" s="92"/>
      <c r="AX347" s="92"/>
      <c r="AY347" s="92"/>
      <c r="AZ347" s="92"/>
    </row>
    <row r="348" spans="1:52" x14ac:dyDescent="0.25">
      <c r="A348" s="142"/>
      <c r="B348" s="67"/>
      <c r="C348" s="75"/>
      <c r="D348" s="75"/>
      <c r="E348" s="75"/>
      <c r="F348" s="125"/>
      <c r="G348" s="75"/>
      <c r="H348" s="75"/>
      <c r="I348" s="75"/>
      <c r="J348" s="75"/>
      <c r="K348" s="75"/>
      <c r="L348" s="75"/>
      <c r="M348" s="142"/>
      <c r="N348" s="67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C348" s="66"/>
      <c r="AD348" s="91"/>
      <c r="AE348" s="92"/>
      <c r="AF348" s="92"/>
      <c r="AG348" s="92"/>
      <c r="AH348" s="92"/>
      <c r="AI348" s="92"/>
      <c r="AJ348" s="92"/>
      <c r="AK348" s="92"/>
      <c r="AL348" s="92"/>
      <c r="AM348" s="92"/>
      <c r="AO348" s="66"/>
      <c r="AP348" s="91"/>
      <c r="AQ348" s="92"/>
      <c r="AR348" s="92"/>
      <c r="AS348" s="92"/>
      <c r="AT348" s="92"/>
      <c r="AU348" s="92"/>
      <c r="AV348" s="92"/>
      <c r="AW348" s="92"/>
      <c r="AX348" s="92"/>
      <c r="AY348" s="92"/>
      <c r="AZ348" s="92"/>
    </row>
    <row r="349" spans="1:52" ht="15" customHeight="1" x14ac:dyDescent="0.25">
      <c r="A349" s="70"/>
      <c r="B349" s="64"/>
      <c r="C349" s="75"/>
      <c r="D349" s="75"/>
      <c r="E349" s="75"/>
      <c r="F349" s="125"/>
      <c r="G349" s="75"/>
      <c r="H349" s="75"/>
      <c r="I349" s="75"/>
      <c r="J349" s="75"/>
      <c r="K349" s="75"/>
      <c r="L349" s="75"/>
      <c r="M349" s="70"/>
      <c r="N349" s="64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C349" s="70"/>
      <c r="AD349" s="99"/>
      <c r="AE349" s="92"/>
      <c r="AF349" s="92"/>
      <c r="AG349" s="92"/>
      <c r="AH349" s="92"/>
      <c r="AI349" s="92"/>
      <c r="AJ349" s="92"/>
      <c r="AK349" s="92"/>
      <c r="AL349" s="92"/>
      <c r="AM349" s="92"/>
      <c r="AO349" s="70"/>
      <c r="AP349" s="99"/>
      <c r="AQ349" s="92"/>
      <c r="AR349" s="92"/>
      <c r="AS349" s="92"/>
      <c r="AT349" s="92"/>
      <c r="AU349" s="92"/>
      <c r="AV349" s="92"/>
      <c r="AW349" s="92"/>
      <c r="AX349" s="92"/>
      <c r="AY349" s="92"/>
      <c r="AZ349" s="92"/>
    </row>
    <row r="350" spans="1:52" x14ac:dyDescent="0.25">
      <c r="A350" s="70"/>
      <c r="B350" s="64"/>
      <c r="C350" s="75"/>
      <c r="D350" s="75"/>
      <c r="E350" s="75"/>
      <c r="F350" s="125"/>
      <c r="G350" s="75"/>
      <c r="H350" s="75"/>
      <c r="I350" s="75"/>
      <c r="J350" s="75"/>
      <c r="K350" s="75"/>
      <c r="L350" s="75"/>
      <c r="M350" s="70"/>
      <c r="N350" s="64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C350" s="66"/>
      <c r="AD350" s="99"/>
      <c r="AE350" s="92"/>
      <c r="AF350" s="92"/>
      <c r="AG350" s="92"/>
      <c r="AH350" s="92"/>
      <c r="AI350" s="92"/>
      <c r="AJ350" s="92"/>
      <c r="AK350" s="92"/>
      <c r="AL350" s="92"/>
      <c r="AM350" s="92"/>
      <c r="AO350" s="66"/>
      <c r="AP350" s="99"/>
      <c r="AQ350" s="92"/>
      <c r="AR350" s="92"/>
      <c r="AS350" s="92"/>
      <c r="AT350" s="92"/>
      <c r="AU350" s="92"/>
      <c r="AV350" s="92"/>
      <c r="AW350" s="92"/>
      <c r="AX350" s="92"/>
      <c r="AY350" s="92"/>
      <c r="AZ350" s="92"/>
    </row>
    <row r="351" spans="1:52" x14ac:dyDescent="0.25">
      <c r="A351" s="70"/>
      <c r="B351" s="64"/>
      <c r="C351" s="75"/>
      <c r="D351" s="75"/>
      <c r="E351" s="75"/>
      <c r="F351" s="125"/>
      <c r="G351" s="75"/>
      <c r="H351" s="75"/>
      <c r="I351" s="75"/>
      <c r="J351" s="75"/>
      <c r="K351" s="75"/>
      <c r="L351" s="75"/>
      <c r="M351" s="70"/>
      <c r="N351" s="64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C351" s="66"/>
      <c r="AD351" s="99"/>
      <c r="AE351" s="92"/>
      <c r="AF351" s="92"/>
      <c r="AG351" s="92"/>
      <c r="AH351" s="92"/>
      <c r="AI351" s="92"/>
      <c r="AJ351" s="92"/>
      <c r="AK351" s="92"/>
      <c r="AL351" s="92"/>
      <c r="AM351" s="92"/>
      <c r="AO351" s="66"/>
      <c r="AP351" s="99"/>
      <c r="AQ351" s="92"/>
      <c r="AR351" s="92"/>
      <c r="AS351" s="92"/>
      <c r="AT351" s="92"/>
      <c r="AU351" s="92"/>
      <c r="AV351" s="92"/>
      <c r="AW351" s="92"/>
      <c r="AX351" s="92"/>
      <c r="AY351" s="92"/>
      <c r="AZ351" s="92"/>
    </row>
    <row r="352" spans="1:52" x14ac:dyDescent="0.25">
      <c r="A352" s="70"/>
      <c r="B352" s="64"/>
      <c r="C352" s="75"/>
      <c r="D352" s="75"/>
      <c r="E352" s="75"/>
      <c r="F352" s="125"/>
      <c r="G352" s="75"/>
      <c r="H352" s="75"/>
      <c r="I352" s="75"/>
      <c r="J352" s="75"/>
      <c r="K352" s="75"/>
      <c r="L352" s="75"/>
      <c r="M352" s="70"/>
      <c r="N352" s="64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C352" s="66"/>
      <c r="AD352" s="99"/>
      <c r="AE352" s="92"/>
      <c r="AF352" s="92"/>
      <c r="AG352" s="92"/>
      <c r="AH352" s="92"/>
      <c r="AI352" s="92"/>
      <c r="AJ352" s="92"/>
      <c r="AK352" s="92"/>
      <c r="AL352" s="92"/>
      <c r="AM352" s="92"/>
      <c r="AO352" s="66"/>
      <c r="AP352" s="99"/>
      <c r="AQ352" s="92"/>
      <c r="AR352" s="92"/>
      <c r="AS352" s="92"/>
      <c r="AT352" s="92"/>
      <c r="AU352" s="92"/>
      <c r="AV352" s="92"/>
      <c r="AW352" s="92"/>
      <c r="AX352" s="92"/>
      <c r="AY352" s="92"/>
      <c r="AZ352" s="92"/>
    </row>
    <row r="353" spans="1:52" x14ac:dyDescent="0.25">
      <c r="A353" s="70"/>
      <c r="B353" s="64"/>
      <c r="C353" s="75"/>
      <c r="D353" s="75"/>
      <c r="E353" s="75"/>
      <c r="F353" s="125"/>
      <c r="G353" s="75"/>
      <c r="H353" s="75"/>
      <c r="I353" s="75"/>
      <c r="J353" s="75"/>
      <c r="K353" s="75"/>
      <c r="L353" s="75"/>
      <c r="M353" s="70"/>
      <c r="N353" s="64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C353" s="66"/>
      <c r="AD353" s="99"/>
      <c r="AE353" s="92"/>
      <c r="AF353" s="92"/>
      <c r="AG353" s="92"/>
      <c r="AH353" s="92"/>
      <c r="AI353" s="92"/>
      <c r="AJ353" s="92"/>
      <c r="AK353" s="92"/>
      <c r="AL353" s="92"/>
      <c r="AM353" s="92"/>
      <c r="AO353" s="66"/>
      <c r="AP353" s="99"/>
      <c r="AQ353" s="92"/>
      <c r="AR353" s="92"/>
      <c r="AS353" s="92"/>
      <c r="AT353" s="92"/>
      <c r="AU353" s="92"/>
      <c r="AV353" s="92"/>
      <c r="AW353" s="92"/>
      <c r="AX353" s="92"/>
      <c r="AY353" s="92"/>
      <c r="AZ353" s="92"/>
    </row>
    <row r="354" spans="1:52" x14ac:dyDescent="0.25">
      <c r="A354" s="70"/>
      <c r="B354" s="64"/>
      <c r="C354" s="75"/>
      <c r="D354" s="75"/>
      <c r="E354" s="75"/>
      <c r="F354" s="125"/>
      <c r="G354" s="75"/>
      <c r="H354" s="75"/>
      <c r="I354" s="75"/>
      <c r="J354" s="75"/>
      <c r="K354" s="75"/>
      <c r="L354" s="75"/>
      <c r="M354" s="70"/>
      <c r="N354" s="64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C354" s="66"/>
      <c r="AD354" s="99"/>
      <c r="AE354" s="92"/>
      <c r="AF354" s="92"/>
      <c r="AG354" s="92"/>
      <c r="AH354" s="92"/>
      <c r="AI354" s="92"/>
      <c r="AJ354" s="92"/>
      <c r="AK354" s="92"/>
      <c r="AL354" s="92"/>
      <c r="AM354" s="92"/>
      <c r="AO354" s="66"/>
      <c r="AP354" s="99"/>
      <c r="AQ354" s="92"/>
      <c r="AR354" s="92"/>
      <c r="AS354" s="92"/>
      <c r="AT354" s="92"/>
      <c r="AU354" s="92"/>
      <c r="AV354" s="92"/>
      <c r="AW354" s="92"/>
      <c r="AX354" s="92"/>
      <c r="AY354" s="92"/>
      <c r="AZ354" s="92"/>
    </row>
    <row r="355" spans="1:52" x14ac:dyDescent="0.25">
      <c r="A355" s="70"/>
      <c r="B355" s="64"/>
      <c r="C355" s="75"/>
      <c r="D355" s="75"/>
      <c r="E355" s="75"/>
      <c r="F355" s="125"/>
      <c r="G355" s="75"/>
      <c r="H355" s="75"/>
      <c r="I355" s="75"/>
      <c r="J355" s="75"/>
      <c r="K355" s="75"/>
      <c r="L355" s="75"/>
      <c r="M355" s="70"/>
      <c r="N355" s="64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C355" s="66"/>
      <c r="AD355" s="99"/>
      <c r="AE355" s="92"/>
      <c r="AF355" s="92"/>
      <c r="AG355" s="92"/>
      <c r="AH355" s="92"/>
      <c r="AI355" s="92"/>
      <c r="AJ355" s="92"/>
      <c r="AK355" s="92"/>
      <c r="AL355" s="92"/>
      <c r="AM355" s="92"/>
      <c r="AO355" s="66"/>
      <c r="AP355" s="99"/>
      <c r="AQ355" s="92"/>
      <c r="AR355" s="92"/>
      <c r="AS355" s="92"/>
      <c r="AT355" s="92"/>
      <c r="AU355" s="92"/>
      <c r="AV355" s="92"/>
      <c r="AW355" s="92"/>
      <c r="AX355" s="92"/>
      <c r="AY355" s="92"/>
      <c r="AZ355" s="92"/>
    </row>
    <row r="356" spans="1:52" x14ac:dyDescent="0.25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C356" s="85"/>
      <c r="AD356" s="85"/>
      <c r="AE356" s="86"/>
      <c r="AF356" s="86"/>
      <c r="AG356" s="86"/>
      <c r="AH356" s="86"/>
      <c r="AI356" s="86"/>
      <c r="AJ356" s="86"/>
      <c r="AK356" s="86"/>
      <c r="AL356" s="86"/>
      <c r="AM356" s="86"/>
      <c r="AO356" s="85"/>
      <c r="AP356" s="85"/>
      <c r="AQ356" s="86"/>
      <c r="AR356" s="86"/>
      <c r="AS356" s="86"/>
      <c r="AT356" s="86"/>
      <c r="AU356" s="86"/>
      <c r="AV356" s="86"/>
      <c r="AW356" s="86"/>
      <c r="AX356" s="86"/>
      <c r="AY356" s="86"/>
      <c r="AZ356" s="86"/>
    </row>
    <row r="357" spans="1:52" ht="15" customHeight="1" x14ac:dyDescent="0.25">
      <c r="A357" s="142"/>
      <c r="B357" s="67"/>
      <c r="C357" s="75"/>
      <c r="D357" s="75"/>
      <c r="E357" s="75"/>
      <c r="F357" s="125"/>
      <c r="G357" s="75"/>
      <c r="H357" s="75"/>
      <c r="I357" s="75"/>
      <c r="J357" s="75"/>
      <c r="K357" s="75"/>
      <c r="L357" s="75"/>
      <c r="M357" s="142"/>
      <c r="N357" s="67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C357" s="66"/>
      <c r="AD357" s="91"/>
      <c r="AE357" s="92"/>
      <c r="AF357" s="92"/>
      <c r="AG357" s="92"/>
      <c r="AH357" s="92"/>
      <c r="AI357" s="92"/>
      <c r="AJ357" s="92"/>
      <c r="AK357" s="92"/>
      <c r="AL357" s="92"/>
      <c r="AM357" s="92"/>
      <c r="AO357" s="66"/>
      <c r="AP357" s="91"/>
      <c r="AQ357" s="92"/>
      <c r="AR357" s="92"/>
      <c r="AS357" s="92"/>
      <c r="AT357" s="92"/>
      <c r="AU357" s="92"/>
      <c r="AV357" s="92"/>
      <c r="AW357" s="92"/>
      <c r="AX357" s="92"/>
      <c r="AY357" s="92"/>
      <c r="AZ357" s="92"/>
    </row>
    <row r="358" spans="1:52" x14ac:dyDescent="0.25">
      <c r="A358" s="142"/>
      <c r="B358" s="67"/>
      <c r="C358" s="75"/>
      <c r="D358" s="75"/>
      <c r="E358" s="75"/>
      <c r="F358" s="125"/>
      <c r="G358" s="75"/>
      <c r="H358" s="75"/>
      <c r="I358" s="75"/>
      <c r="J358" s="75"/>
      <c r="K358" s="75"/>
      <c r="L358" s="75"/>
      <c r="M358" s="142"/>
      <c r="N358" s="67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C358" s="66"/>
      <c r="AD358" s="91"/>
      <c r="AE358" s="92"/>
      <c r="AF358" s="92"/>
      <c r="AG358" s="92"/>
      <c r="AH358" s="92"/>
      <c r="AI358" s="92"/>
      <c r="AJ358" s="92"/>
      <c r="AK358" s="92"/>
      <c r="AL358" s="92"/>
      <c r="AM358" s="92"/>
      <c r="AO358" s="66"/>
      <c r="AP358" s="91"/>
      <c r="AQ358" s="92"/>
      <c r="AR358" s="92"/>
      <c r="AS358" s="92"/>
      <c r="AT358" s="92"/>
      <c r="AU358" s="92"/>
      <c r="AV358" s="92"/>
      <c r="AW358" s="92"/>
      <c r="AX358" s="92"/>
      <c r="AY358" s="92"/>
      <c r="AZ358" s="92"/>
    </row>
    <row r="359" spans="1:52" x14ac:dyDescent="0.25">
      <c r="A359" s="142"/>
      <c r="B359" s="67"/>
      <c r="C359" s="75"/>
      <c r="D359" s="75"/>
      <c r="E359" s="75"/>
      <c r="F359" s="125"/>
      <c r="G359" s="75"/>
      <c r="H359" s="75"/>
      <c r="I359" s="75"/>
      <c r="J359" s="75"/>
      <c r="K359" s="75"/>
      <c r="L359" s="75"/>
      <c r="M359" s="142"/>
      <c r="N359" s="67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C359" s="66"/>
      <c r="AD359" s="91"/>
      <c r="AE359" s="92"/>
      <c r="AF359" s="92"/>
      <c r="AG359" s="92"/>
      <c r="AH359" s="92"/>
      <c r="AI359" s="92"/>
      <c r="AJ359" s="92"/>
      <c r="AK359" s="92"/>
      <c r="AL359" s="92"/>
      <c r="AM359" s="92"/>
      <c r="AO359" s="66"/>
      <c r="AP359" s="91"/>
      <c r="AQ359" s="92"/>
      <c r="AR359" s="92"/>
      <c r="AS359" s="92"/>
      <c r="AT359" s="92"/>
      <c r="AU359" s="92"/>
      <c r="AV359" s="92"/>
      <c r="AW359" s="92"/>
      <c r="AX359" s="92"/>
      <c r="AY359" s="92"/>
      <c r="AZ359" s="92"/>
    </row>
    <row r="360" spans="1:52" x14ac:dyDescent="0.25">
      <c r="A360" s="142"/>
      <c r="B360" s="67"/>
      <c r="C360" s="75"/>
      <c r="D360" s="75"/>
      <c r="E360" s="75"/>
      <c r="F360" s="125"/>
      <c r="G360" s="75"/>
      <c r="H360" s="75"/>
      <c r="I360" s="75"/>
      <c r="J360" s="75"/>
      <c r="K360" s="75"/>
      <c r="L360" s="75"/>
      <c r="M360" s="142"/>
      <c r="N360" s="67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C360" s="66"/>
      <c r="AD360" s="91"/>
      <c r="AE360" s="92"/>
      <c r="AF360" s="92"/>
      <c r="AG360" s="92"/>
      <c r="AH360" s="92"/>
      <c r="AI360" s="92"/>
      <c r="AJ360" s="92"/>
      <c r="AK360" s="92"/>
      <c r="AL360" s="92"/>
      <c r="AM360" s="92"/>
      <c r="AO360" s="66"/>
      <c r="AP360" s="91"/>
      <c r="AQ360" s="92"/>
      <c r="AR360" s="92"/>
      <c r="AS360" s="92"/>
      <c r="AT360" s="92"/>
      <c r="AU360" s="92"/>
      <c r="AV360" s="92"/>
      <c r="AW360" s="92"/>
      <c r="AX360" s="92"/>
      <c r="AY360" s="92"/>
      <c r="AZ360" s="92"/>
    </row>
    <row r="361" spans="1:52" x14ac:dyDescent="0.25">
      <c r="A361" s="142"/>
      <c r="B361" s="67"/>
      <c r="C361" s="75"/>
      <c r="D361" s="75"/>
      <c r="E361" s="75"/>
      <c r="F361" s="125"/>
      <c r="G361" s="75"/>
      <c r="H361" s="75"/>
      <c r="I361" s="75"/>
      <c r="J361" s="75"/>
      <c r="K361" s="75"/>
      <c r="L361" s="75"/>
      <c r="M361" s="142"/>
      <c r="N361" s="67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C361" s="66"/>
      <c r="AD361" s="91"/>
      <c r="AE361" s="92"/>
      <c r="AF361" s="92"/>
      <c r="AG361" s="92"/>
      <c r="AH361" s="92"/>
      <c r="AI361" s="92"/>
      <c r="AJ361" s="92"/>
      <c r="AK361" s="92"/>
      <c r="AL361" s="92"/>
      <c r="AM361" s="92"/>
      <c r="AO361" s="66"/>
      <c r="AP361" s="91"/>
      <c r="AQ361" s="92"/>
      <c r="AR361" s="92"/>
      <c r="AS361" s="92"/>
      <c r="AT361" s="92"/>
      <c r="AU361" s="92"/>
      <c r="AV361" s="92"/>
      <c r="AW361" s="92"/>
      <c r="AX361" s="92"/>
      <c r="AY361" s="92"/>
      <c r="AZ361" s="92"/>
    </row>
    <row r="362" spans="1:52" x14ac:dyDescent="0.25">
      <c r="A362" s="142"/>
      <c r="B362" s="67"/>
      <c r="C362" s="75"/>
      <c r="D362" s="75"/>
      <c r="E362" s="75"/>
      <c r="F362" s="125"/>
      <c r="G362" s="75"/>
      <c r="H362" s="75"/>
      <c r="I362" s="75"/>
      <c r="J362" s="75"/>
      <c r="K362" s="75"/>
      <c r="L362" s="75"/>
      <c r="M362" s="142"/>
      <c r="N362" s="67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C362" s="66"/>
      <c r="AD362" s="91"/>
      <c r="AE362" s="92"/>
      <c r="AF362" s="92"/>
      <c r="AG362" s="92"/>
      <c r="AH362" s="92"/>
      <c r="AI362" s="92"/>
      <c r="AJ362" s="92"/>
      <c r="AK362" s="92"/>
      <c r="AL362" s="92"/>
      <c r="AM362" s="92"/>
      <c r="AO362" s="66"/>
      <c r="AP362" s="91"/>
      <c r="AQ362" s="92"/>
      <c r="AR362" s="92"/>
      <c r="AS362" s="92"/>
      <c r="AT362" s="92"/>
      <c r="AU362" s="92"/>
      <c r="AV362" s="92"/>
      <c r="AW362" s="92"/>
      <c r="AX362" s="92"/>
      <c r="AY362" s="92"/>
      <c r="AZ362" s="92"/>
    </row>
    <row r="363" spans="1:52" x14ac:dyDescent="0.25">
      <c r="A363" s="142"/>
      <c r="B363" s="67"/>
      <c r="C363" s="75"/>
      <c r="D363" s="75"/>
      <c r="E363" s="75"/>
      <c r="F363" s="125"/>
      <c r="G363" s="75"/>
      <c r="H363" s="75"/>
      <c r="I363" s="75"/>
      <c r="J363" s="75"/>
      <c r="K363" s="75"/>
      <c r="L363" s="75"/>
      <c r="M363" s="142"/>
      <c r="N363" s="67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C363" s="66"/>
      <c r="AD363" s="91"/>
      <c r="AE363" s="92"/>
      <c r="AF363" s="92"/>
      <c r="AG363" s="92"/>
      <c r="AH363" s="92"/>
      <c r="AI363" s="92"/>
      <c r="AJ363" s="92"/>
      <c r="AK363" s="92"/>
      <c r="AL363" s="92"/>
      <c r="AM363" s="92"/>
      <c r="AO363" s="66"/>
      <c r="AP363" s="91"/>
      <c r="AQ363" s="92"/>
      <c r="AR363" s="92"/>
      <c r="AS363" s="92"/>
      <c r="AT363" s="92"/>
      <c r="AU363" s="92"/>
      <c r="AV363" s="92"/>
      <c r="AW363" s="92"/>
      <c r="AX363" s="92"/>
      <c r="AY363" s="92"/>
      <c r="AZ363" s="92"/>
    </row>
    <row r="364" spans="1:52" ht="15" customHeight="1" x14ac:dyDescent="0.25">
      <c r="A364" s="70"/>
      <c r="B364" s="64"/>
      <c r="C364" s="75"/>
      <c r="D364" s="75"/>
      <c r="E364" s="75"/>
      <c r="F364" s="125"/>
      <c r="G364" s="75"/>
      <c r="H364" s="75"/>
      <c r="I364" s="75"/>
      <c r="J364" s="75"/>
      <c r="K364" s="75"/>
      <c r="L364" s="75"/>
      <c r="M364" s="70"/>
      <c r="N364" s="64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C364" s="70"/>
      <c r="AD364" s="99"/>
      <c r="AE364" s="92"/>
      <c r="AF364" s="92"/>
      <c r="AG364" s="92"/>
      <c r="AH364" s="92"/>
      <c r="AI364" s="92"/>
      <c r="AJ364" s="92"/>
      <c r="AK364" s="92"/>
      <c r="AL364" s="92"/>
      <c r="AM364" s="92"/>
      <c r="AO364" s="70"/>
      <c r="AP364" s="99"/>
      <c r="AQ364" s="92"/>
      <c r="AR364" s="92"/>
      <c r="AS364" s="92"/>
      <c r="AT364" s="92"/>
      <c r="AU364" s="92"/>
      <c r="AV364" s="92"/>
      <c r="AW364" s="92"/>
      <c r="AX364" s="92"/>
      <c r="AY364" s="92"/>
      <c r="AZ364" s="92"/>
    </row>
    <row r="365" spans="1:52" x14ac:dyDescent="0.25">
      <c r="A365" s="70"/>
      <c r="B365" s="64"/>
      <c r="C365" s="75"/>
      <c r="D365" s="75"/>
      <c r="E365" s="75"/>
      <c r="F365" s="125"/>
      <c r="G365" s="75"/>
      <c r="H365" s="75"/>
      <c r="I365" s="75"/>
      <c r="J365" s="75"/>
      <c r="K365" s="75"/>
      <c r="L365" s="75"/>
      <c r="M365" s="70"/>
      <c r="N365" s="64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C365" s="66"/>
      <c r="AD365" s="99"/>
      <c r="AE365" s="92"/>
      <c r="AF365" s="92"/>
      <c r="AG365" s="92"/>
      <c r="AH365" s="92"/>
      <c r="AI365" s="92"/>
      <c r="AJ365" s="92"/>
      <c r="AK365" s="92"/>
      <c r="AL365" s="92"/>
      <c r="AM365" s="92"/>
      <c r="AO365" s="66"/>
      <c r="AP365" s="99"/>
      <c r="AQ365" s="92"/>
      <c r="AR365" s="92"/>
      <c r="AS365" s="92"/>
      <c r="AT365" s="92"/>
      <c r="AU365" s="92"/>
      <c r="AV365" s="92"/>
      <c r="AW365" s="92"/>
      <c r="AX365" s="92"/>
      <c r="AY365" s="92"/>
      <c r="AZ365" s="92"/>
    </row>
    <row r="366" spans="1:52" x14ac:dyDescent="0.25">
      <c r="A366" s="70"/>
      <c r="B366" s="64"/>
      <c r="C366" s="75"/>
      <c r="D366" s="75"/>
      <c r="E366" s="75"/>
      <c r="F366" s="125"/>
      <c r="G366" s="75"/>
      <c r="H366" s="75"/>
      <c r="I366" s="75"/>
      <c r="J366" s="75"/>
      <c r="K366" s="75"/>
      <c r="L366" s="75"/>
      <c r="M366" s="70"/>
      <c r="N366" s="64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C366" s="66"/>
      <c r="AD366" s="99"/>
      <c r="AE366" s="92"/>
      <c r="AF366" s="92"/>
      <c r="AG366" s="92"/>
      <c r="AH366" s="92"/>
      <c r="AI366" s="92"/>
      <c r="AJ366" s="92"/>
      <c r="AK366" s="92"/>
      <c r="AL366" s="92"/>
      <c r="AM366" s="92"/>
      <c r="AO366" s="66"/>
      <c r="AP366" s="99"/>
      <c r="AQ366" s="92"/>
      <c r="AR366" s="92"/>
      <c r="AS366" s="92"/>
      <c r="AT366" s="92"/>
      <c r="AU366" s="92"/>
      <c r="AV366" s="92"/>
      <c r="AW366" s="92"/>
      <c r="AX366" s="92"/>
      <c r="AY366" s="92"/>
      <c r="AZ366" s="92"/>
    </row>
    <row r="367" spans="1:52" x14ac:dyDescent="0.25">
      <c r="A367" s="70"/>
      <c r="B367" s="64"/>
      <c r="C367" s="75"/>
      <c r="D367" s="75"/>
      <c r="E367" s="75"/>
      <c r="F367" s="125"/>
      <c r="G367" s="75"/>
      <c r="H367" s="75"/>
      <c r="I367" s="75"/>
      <c r="J367" s="75"/>
      <c r="K367" s="75"/>
      <c r="L367" s="75"/>
      <c r="M367" s="70"/>
      <c r="N367" s="64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C367" s="66"/>
      <c r="AD367" s="99"/>
      <c r="AE367" s="92"/>
      <c r="AF367" s="92"/>
      <c r="AG367" s="92"/>
      <c r="AH367" s="92"/>
      <c r="AI367" s="92"/>
      <c r="AJ367" s="92"/>
      <c r="AK367" s="92"/>
      <c r="AL367" s="92"/>
      <c r="AM367" s="92"/>
      <c r="AO367" s="66"/>
      <c r="AP367" s="99"/>
      <c r="AQ367" s="92"/>
      <c r="AR367" s="92"/>
      <c r="AS367" s="92"/>
      <c r="AT367" s="92"/>
      <c r="AU367" s="92"/>
      <c r="AV367" s="92"/>
      <c r="AW367" s="92"/>
      <c r="AX367" s="92"/>
      <c r="AY367" s="92"/>
      <c r="AZ367" s="92"/>
    </row>
    <row r="368" spans="1:52" x14ac:dyDescent="0.25">
      <c r="A368" s="70"/>
      <c r="B368" s="64"/>
      <c r="C368" s="75"/>
      <c r="D368" s="75"/>
      <c r="E368" s="75"/>
      <c r="F368" s="125"/>
      <c r="G368" s="75"/>
      <c r="H368" s="75"/>
      <c r="I368" s="75"/>
      <c r="J368" s="75"/>
      <c r="K368" s="75"/>
      <c r="L368" s="75"/>
      <c r="M368" s="70"/>
      <c r="N368" s="64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C368" s="66"/>
      <c r="AD368" s="99"/>
      <c r="AE368" s="92"/>
      <c r="AF368" s="92"/>
      <c r="AG368" s="92"/>
      <c r="AH368" s="92"/>
      <c r="AI368" s="92"/>
      <c r="AJ368" s="92"/>
      <c r="AK368" s="92"/>
      <c r="AL368" s="92"/>
      <c r="AM368" s="92"/>
      <c r="AO368" s="66"/>
      <c r="AP368" s="99"/>
      <c r="AQ368" s="92"/>
      <c r="AR368" s="92"/>
      <c r="AS368" s="92"/>
      <c r="AT368" s="92"/>
      <c r="AU368" s="92"/>
      <c r="AV368" s="92"/>
      <c r="AW368" s="92"/>
      <c r="AX368" s="92"/>
      <c r="AY368" s="92"/>
      <c r="AZ368" s="92"/>
    </row>
    <row r="369" spans="1:52" x14ac:dyDescent="0.25">
      <c r="A369" s="70"/>
      <c r="B369" s="64"/>
      <c r="C369" s="75"/>
      <c r="D369" s="75"/>
      <c r="E369" s="75"/>
      <c r="F369" s="125"/>
      <c r="G369" s="75"/>
      <c r="H369" s="75"/>
      <c r="I369" s="75"/>
      <c r="J369" s="75"/>
      <c r="K369" s="75"/>
      <c r="L369" s="75"/>
      <c r="M369" s="70"/>
      <c r="N369" s="64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C369" s="66"/>
      <c r="AD369" s="99"/>
      <c r="AE369" s="92"/>
      <c r="AF369" s="92"/>
      <c r="AG369" s="92"/>
      <c r="AH369" s="92"/>
      <c r="AI369" s="92"/>
      <c r="AJ369" s="92"/>
      <c r="AK369" s="92"/>
      <c r="AL369" s="92"/>
      <c r="AM369" s="92"/>
      <c r="AO369" s="66"/>
      <c r="AP369" s="99"/>
      <c r="AQ369" s="92"/>
      <c r="AR369" s="92"/>
      <c r="AS369" s="92"/>
      <c r="AT369" s="92"/>
      <c r="AU369" s="92"/>
      <c r="AV369" s="92"/>
      <c r="AW369" s="92"/>
      <c r="AX369" s="92"/>
      <c r="AY369" s="92"/>
      <c r="AZ369" s="92"/>
    </row>
    <row r="370" spans="1:52" x14ac:dyDescent="0.25">
      <c r="A370" s="70"/>
      <c r="B370" s="64"/>
      <c r="C370" s="75"/>
      <c r="D370" s="75"/>
      <c r="E370" s="75"/>
      <c r="F370" s="125"/>
      <c r="G370" s="75"/>
      <c r="H370" s="75"/>
      <c r="I370" s="75"/>
      <c r="J370" s="75"/>
      <c r="K370" s="75"/>
      <c r="L370" s="75"/>
      <c r="M370" s="70"/>
      <c r="N370" s="64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C370" s="66"/>
      <c r="AD370" s="99"/>
      <c r="AE370" s="92"/>
      <c r="AF370" s="92"/>
      <c r="AG370" s="92"/>
      <c r="AH370" s="92"/>
      <c r="AI370" s="92"/>
      <c r="AJ370" s="92"/>
      <c r="AK370" s="92"/>
      <c r="AL370" s="92"/>
      <c r="AM370" s="92"/>
      <c r="AO370" s="66"/>
      <c r="AP370" s="99"/>
      <c r="AQ370" s="92"/>
      <c r="AR370" s="92"/>
      <c r="AS370" s="92"/>
      <c r="AT370" s="92"/>
      <c r="AU370" s="92"/>
      <c r="AV370" s="92"/>
      <c r="AW370" s="92"/>
      <c r="AX370" s="92"/>
      <c r="AY370" s="92"/>
      <c r="AZ370" s="92"/>
    </row>
    <row r="371" spans="1:52" x14ac:dyDescent="0.25">
      <c r="A371" s="127"/>
      <c r="B371" s="75"/>
      <c r="C371" s="125"/>
      <c r="D371" s="125"/>
      <c r="E371" s="125"/>
      <c r="F371" s="125"/>
      <c r="G371" s="125"/>
      <c r="H371" s="125"/>
      <c r="I371" s="125"/>
      <c r="J371" s="125"/>
      <c r="K371" s="125"/>
      <c r="L371" s="75"/>
      <c r="M371" s="127"/>
      <c r="N371" s="75"/>
      <c r="O371" s="120"/>
      <c r="P371" s="120"/>
      <c r="Q371" s="120"/>
      <c r="R371" s="125"/>
      <c r="S371" s="120"/>
      <c r="T371" s="120"/>
      <c r="U371" s="120"/>
      <c r="V371" s="120"/>
      <c r="W371" s="120"/>
      <c r="X371" s="120"/>
      <c r="Y371" s="120"/>
      <c r="Z371" s="125"/>
    </row>
    <row r="372" spans="1:52" x14ac:dyDescent="0.25">
      <c r="A372" s="127"/>
      <c r="B372" s="75"/>
      <c r="C372" s="125"/>
      <c r="D372" s="125"/>
      <c r="E372" s="125"/>
      <c r="F372" s="125"/>
      <c r="G372" s="125"/>
      <c r="H372" s="125"/>
      <c r="I372" s="125"/>
      <c r="J372" s="125"/>
      <c r="K372" s="125"/>
      <c r="L372" s="75"/>
      <c r="M372" s="127"/>
      <c r="N372" s="75"/>
      <c r="O372" s="120"/>
      <c r="P372" s="120"/>
      <c r="Q372" s="120"/>
      <c r="R372" s="125"/>
      <c r="S372" s="120"/>
      <c r="T372" s="120"/>
      <c r="U372" s="120"/>
      <c r="V372" s="120"/>
      <c r="W372" s="120"/>
      <c r="X372" s="120"/>
      <c r="Y372" s="120"/>
      <c r="Z372" s="125"/>
    </row>
    <row r="373" spans="1:52" x14ac:dyDescent="0.25">
      <c r="A373" s="127"/>
      <c r="B373" s="75"/>
      <c r="C373" s="125"/>
      <c r="D373" s="125"/>
      <c r="E373" s="125"/>
      <c r="F373" s="125"/>
      <c r="G373" s="125"/>
      <c r="H373" s="125"/>
      <c r="I373" s="125"/>
      <c r="J373" s="125"/>
      <c r="K373" s="125"/>
      <c r="L373" s="75"/>
      <c r="M373" s="127"/>
      <c r="N373" s="75"/>
      <c r="O373" s="120"/>
      <c r="P373" s="120"/>
      <c r="Q373" s="120"/>
      <c r="R373" s="125"/>
      <c r="S373" s="120"/>
      <c r="T373" s="120"/>
      <c r="U373" s="120"/>
      <c r="V373" s="120"/>
      <c r="W373" s="120"/>
      <c r="X373" s="120"/>
      <c r="Y373" s="120"/>
      <c r="Z373" s="125"/>
    </row>
    <row r="374" spans="1:52" x14ac:dyDescent="0.25">
      <c r="A374" s="127"/>
      <c r="B374" s="75"/>
      <c r="C374" s="125"/>
      <c r="D374" s="125"/>
      <c r="E374" s="125"/>
      <c r="F374" s="125"/>
      <c r="G374" s="125"/>
      <c r="H374" s="125"/>
      <c r="I374" s="125"/>
      <c r="J374" s="125"/>
      <c r="K374" s="125"/>
      <c r="L374" s="75"/>
      <c r="M374" s="127"/>
      <c r="N374" s="75"/>
      <c r="O374" s="120"/>
      <c r="P374" s="120"/>
      <c r="Q374" s="120"/>
      <c r="R374" s="125"/>
      <c r="S374" s="120"/>
      <c r="T374" s="120"/>
      <c r="U374" s="120"/>
      <c r="V374" s="120"/>
      <c r="W374" s="120"/>
      <c r="X374" s="120"/>
      <c r="Y374" s="120"/>
      <c r="Z374" s="125"/>
    </row>
    <row r="375" spans="1:52" x14ac:dyDescent="0.25">
      <c r="A375" s="127"/>
      <c r="B375" s="75"/>
      <c r="C375" s="125"/>
      <c r="D375" s="125"/>
      <c r="E375" s="125"/>
      <c r="F375" s="125"/>
      <c r="G375" s="125"/>
      <c r="H375" s="125"/>
      <c r="I375" s="125"/>
      <c r="J375" s="125"/>
      <c r="K375" s="125"/>
      <c r="L375" s="75"/>
      <c r="M375" s="127"/>
      <c r="N375" s="75"/>
      <c r="O375" s="120"/>
      <c r="P375" s="120"/>
      <c r="Q375" s="120"/>
      <c r="R375" s="125"/>
      <c r="S375" s="120"/>
      <c r="T375" s="120"/>
      <c r="U375" s="120"/>
      <c r="V375" s="120"/>
      <c r="W375" s="120"/>
      <c r="X375" s="120"/>
      <c r="Y375" s="120"/>
      <c r="Z375" s="125"/>
    </row>
    <row r="376" spans="1:52" x14ac:dyDescent="0.25">
      <c r="A376" s="127"/>
      <c r="B376" s="75"/>
      <c r="C376" s="125"/>
      <c r="D376" s="125"/>
      <c r="E376" s="125"/>
      <c r="F376" s="125"/>
      <c r="G376" s="125"/>
      <c r="H376" s="125"/>
      <c r="I376" s="125"/>
      <c r="J376" s="125"/>
      <c r="K376" s="125"/>
      <c r="L376" s="75"/>
      <c r="M376" s="127"/>
      <c r="N376" s="75"/>
      <c r="O376" s="120"/>
      <c r="P376" s="120"/>
      <c r="Q376" s="120"/>
      <c r="R376" s="125"/>
      <c r="S376" s="120"/>
      <c r="T376" s="120"/>
      <c r="U376" s="120"/>
      <c r="V376" s="120"/>
      <c r="W376" s="120"/>
      <c r="X376" s="120"/>
      <c r="Y376" s="120"/>
      <c r="Z376" s="125"/>
    </row>
    <row r="377" spans="1:52" x14ac:dyDescent="0.25">
      <c r="A377" s="127"/>
      <c r="B377" s="75"/>
      <c r="C377" s="125"/>
      <c r="D377" s="125"/>
      <c r="E377" s="125"/>
      <c r="F377" s="125"/>
      <c r="G377" s="125"/>
      <c r="H377" s="125"/>
      <c r="I377" s="125"/>
      <c r="J377" s="125"/>
      <c r="K377" s="125"/>
      <c r="L377" s="75"/>
      <c r="M377" s="127"/>
      <c r="N377" s="75"/>
      <c r="O377" s="120"/>
      <c r="P377" s="120"/>
      <c r="Q377" s="120"/>
      <c r="R377" s="125"/>
      <c r="S377" s="120"/>
      <c r="T377" s="120"/>
      <c r="U377" s="120"/>
      <c r="V377" s="120"/>
      <c r="W377" s="120"/>
      <c r="X377" s="120"/>
      <c r="Y377" s="120"/>
      <c r="Z377" s="125"/>
    </row>
    <row r="378" spans="1:52" x14ac:dyDescent="0.25">
      <c r="A378" s="127"/>
      <c r="B378" s="75"/>
      <c r="C378" s="125"/>
      <c r="D378" s="125"/>
      <c r="E378" s="125"/>
      <c r="F378" s="125"/>
      <c r="G378" s="125"/>
      <c r="H378" s="125"/>
      <c r="I378" s="125"/>
      <c r="J378" s="125"/>
      <c r="K378" s="125"/>
      <c r="L378" s="75"/>
      <c r="M378" s="127"/>
      <c r="N378" s="75"/>
      <c r="O378" s="120"/>
      <c r="P378" s="120"/>
      <c r="Q378" s="120"/>
      <c r="R378" s="125"/>
      <c r="S378" s="120"/>
      <c r="T378" s="120"/>
      <c r="U378" s="120"/>
      <c r="V378" s="120"/>
      <c r="W378" s="120"/>
      <c r="X378" s="120"/>
      <c r="Y378" s="120"/>
      <c r="Z378" s="125"/>
    </row>
    <row r="379" spans="1:52" x14ac:dyDescent="0.25">
      <c r="A379" s="127"/>
      <c r="B379" s="75"/>
      <c r="C379" s="125"/>
      <c r="D379" s="125"/>
      <c r="E379" s="125"/>
      <c r="F379" s="125"/>
      <c r="G379" s="125"/>
      <c r="H379" s="125"/>
      <c r="I379" s="125"/>
      <c r="J379" s="125"/>
      <c r="K379" s="125"/>
      <c r="L379" s="75"/>
      <c r="M379" s="127"/>
      <c r="N379" s="75"/>
      <c r="O379" s="120"/>
      <c r="P379" s="120"/>
      <c r="Q379" s="120"/>
      <c r="R379" s="125"/>
      <c r="S379" s="120"/>
      <c r="T379" s="120"/>
      <c r="U379" s="120"/>
      <c r="V379" s="120"/>
      <c r="W379" s="120"/>
      <c r="X379" s="120"/>
      <c r="Y379" s="120"/>
      <c r="Z379" s="125"/>
    </row>
    <row r="380" spans="1:52" x14ac:dyDescent="0.25">
      <c r="A380" s="127"/>
      <c r="B380" s="75"/>
      <c r="C380" s="125"/>
      <c r="D380" s="125"/>
      <c r="E380" s="125"/>
      <c r="F380" s="125"/>
      <c r="G380" s="125"/>
      <c r="H380" s="125"/>
      <c r="I380" s="125"/>
      <c r="J380" s="125"/>
      <c r="K380" s="125"/>
      <c r="L380" s="75"/>
      <c r="M380" s="127"/>
      <c r="N380" s="75"/>
      <c r="O380" s="120"/>
      <c r="P380" s="120"/>
      <c r="Q380" s="120"/>
      <c r="R380" s="125"/>
      <c r="S380" s="120"/>
      <c r="T380" s="120"/>
      <c r="U380" s="120"/>
      <c r="V380" s="120"/>
      <c r="W380" s="120"/>
      <c r="X380" s="120"/>
      <c r="Y380" s="120"/>
      <c r="Z380" s="125"/>
    </row>
    <row r="381" spans="1:52" x14ac:dyDescent="0.25">
      <c r="A381" s="127"/>
      <c r="B381" s="75"/>
      <c r="C381" s="125"/>
      <c r="D381" s="125"/>
      <c r="E381" s="125"/>
      <c r="F381" s="125"/>
      <c r="G381" s="125"/>
      <c r="H381" s="125"/>
      <c r="I381" s="125"/>
      <c r="J381" s="125"/>
      <c r="K381" s="125"/>
      <c r="L381" s="75"/>
      <c r="M381" s="127"/>
      <c r="N381" s="75"/>
      <c r="O381" s="120"/>
      <c r="P381" s="120"/>
      <c r="Q381" s="120"/>
      <c r="R381" s="125"/>
      <c r="S381" s="120"/>
      <c r="T381" s="120"/>
      <c r="U381" s="120"/>
      <c r="V381" s="120"/>
      <c r="W381" s="120"/>
      <c r="X381" s="120"/>
      <c r="Y381" s="120"/>
      <c r="Z381" s="125"/>
    </row>
    <row r="382" spans="1:52" x14ac:dyDescent="0.25">
      <c r="A382" s="127"/>
      <c r="B382" s="75"/>
      <c r="C382" s="125"/>
      <c r="D382" s="125"/>
      <c r="E382" s="125"/>
      <c r="F382" s="125"/>
      <c r="G382" s="125"/>
      <c r="H382" s="125"/>
      <c r="I382" s="125"/>
      <c r="J382" s="125"/>
      <c r="K382" s="125"/>
      <c r="L382" s="75"/>
      <c r="M382" s="127"/>
      <c r="N382" s="75"/>
      <c r="O382" s="120"/>
      <c r="P382" s="120"/>
      <c r="Q382" s="120"/>
      <c r="R382" s="125"/>
      <c r="S382" s="120"/>
      <c r="T382" s="120"/>
      <c r="U382" s="120"/>
      <c r="V382" s="120"/>
      <c r="W382" s="120"/>
      <c r="X382" s="120"/>
      <c r="Y382" s="120"/>
      <c r="Z382" s="125"/>
    </row>
    <row r="383" spans="1:52" x14ac:dyDescent="0.25">
      <c r="A383" s="127"/>
      <c r="B383" s="75"/>
      <c r="C383" s="125"/>
      <c r="D383" s="125"/>
      <c r="E383" s="125"/>
      <c r="F383" s="125"/>
      <c r="G383" s="125"/>
      <c r="H383" s="125"/>
      <c r="I383" s="125"/>
      <c r="J383" s="125"/>
      <c r="K383" s="125"/>
      <c r="L383" s="75"/>
      <c r="M383" s="127"/>
      <c r="N383" s="75"/>
      <c r="O383" s="120"/>
      <c r="P383" s="120"/>
      <c r="Q383" s="120"/>
      <c r="R383" s="125"/>
      <c r="S383" s="120"/>
      <c r="T383" s="120"/>
      <c r="U383" s="120"/>
      <c r="V383" s="120"/>
      <c r="W383" s="120"/>
      <c r="X383" s="120"/>
      <c r="Y383" s="120"/>
      <c r="Z383" s="125"/>
    </row>
    <row r="384" spans="1:52" x14ac:dyDescent="0.25">
      <c r="A384" s="127"/>
      <c r="B384" s="75"/>
      <c r="C384" s="125"/>
      <c r="D384" s="125"/>
      <c r="E384" s="125"/>
      <c r="F384" s="125"/>
      <c r="G384" s="125"/>
      <c r="H384" s="125"/>
      <c r="I384" s="125"/>
      <c r="J384" s="125"/>
      <c r="K384" s="125"/>
      <c r="L384" s="75"/>
      <c r="M384" s="127"/>
      <c r="N384" s="75"/>
      <c r="O384" s="120"/>
      <c r="P384" s="120"/>
      <c r="Q384" s="120"/>
      <c r="R384" s="125"/>
      <c r="S384" s="120"/>
      <c r="T384" s="120"/>
      <c r="U384" s="120"/>
      <c r="V384" s="120"/>
      <c r="W384" s="120"/>
      <c r="X384" s="120"/>
      <c r="Y384" s="120"/>
      <c r="Z384" s="125"/>
    </row>
    <row r="385" spans="1:26" x14ac:dyDescent="0.25">
      <c r="A385" s="127"/>
      <c r="B385" s="75"/>
      <c r="C385" s="125"/>
      <c r="D385" s="125"/>
      <c r="E385" s="125"/>
      <c r="F385" s="125"/>
      <c r="G385" s="125"/>
      <c r="H385" s="125"/>
      <c r="I385" s="125"/>
      <c r="J385" s="125"/>
      <c r="K385" s="125"/>
      <c r="L385" s="75"/>
      <c r="M385" s="127"/>
      <c r="N385" s="75"/>
      <c r="O385" s="120"/>
      <c r="P385" s="120"/>
      <c r="Q385" s="120"/>
      <c r="R385" s="125"/>
      <c r="S385" s="120"/>
      <c r="T385" s="120"/>
      <c r="U385" s="120"/>
      <c r="V385" s="120"/>
      <c r="W385" s="120"/>
      <c r="X385" s="120"/>
      <c r="Y385" s="120"/>
      <c r="Z385" s="125"/>
    </row>
    <row r="386" spans="1:26" x14ac:dyDescent="0.25">
      <c r="A386" s="127"/>
      <c r="B386" s="75"/>
      <c r="C386" s="125"/>
      <c r="D386" s="125"/>
      <c r="E386" s="125"/>
      <c r="F386" s="125"/>
      <c r="G386" s="125"/>
      <c r="H386" s="125"/>
      <c r="I386" s="125"/>
      <c r="J386" s="125"/>
      <c r="K386" s="125"/>
      <c r="L386" s="75"/>
      <c r="M386" s="127"/>
      <c r="N386" s="75"/>
      <c r="O386" s="120"/>
      <c r="P386" s="120"/>
      <c r="Q386" s="120"/>
      <c r="R386" s="125"/>
      <c r="S386" s="120"/>
      <c r="T386" s="120"/>
      <c r="U386" s="120"/>
      <c r="V386" s="120"/>
      <c r="W386" s="120"/>
      <c r="X386" s="120"/>
      <c r="Y386" s="120"/>
      <c r="Z386" s="125"/>
    </row>
    <row r="387" spans="1:26" x14ac:dyDescent="0.25">
      <c r="A387" s="127"/>
      <c r="B387" s="75"/>
      <c r="C387" s="125"/>
      <c r="D387" s="125"/>
      <c r="E387" s="125"/>
      <c r="F387" s="125"/>
      <c r="G387" s="125"/>
      <c r="H387" s="125"/>
      <c r="I387" s="125"/>
      <c r="J387" s="125"/>
      <c r="K387" s="125"/>
      <c r="L387" s="75"/>
      <c r="M387" s="127"/>
      <c r="N387" s="75"/>
      <c r="O387" s="120"/>
      <c r="P387" s="120"/>
      <c r="Q387" s="120"/>
      <c r="R387" s="125"/>
      <c r="S387" s="120"/>
      <c r="T387" s="120"/>
      <c r="U387" s="120"/>
      <c r="V387" s="120"/>
      <c r="W387" s="120"/>
      <c r="X387" s="120"/>
      <c r="Y387" s="120"/>
      <c r="Z387" s="125"/>
    </row>
    <row r="388" spans="1:26" x14ac:dyDescent="0.25">
      <c r="A388" s="127"/>
      <c r="B388" s="75"/>
      <c r="C388" s="125"/>
      <c r="D388" s="125"/>
      <c r="E388" s="125"/>
      <c r="F388" s="125"/>
      <c r="G388" s="125"/>
      <c r="H388" s="125"/>
      <c r="I388" s="125"/>
      <c r="J388" s="125"/>
      <c r="K388" s="125"/>
      <c r="L388" s="75"/>
      <c r="M388" s="127"/>
      <c r="N388" s="75"/>
      <c r="O388" s="120"/>
      <c r="P388" s="120"/>
      <c r="Q388" s="120"/>
      <c r="R388" s="125"/>
      <c r="S388" s="120"/>
      <c r="T388" s="120"/>
      <c r="U388" s="120"/>
      <c r="V388" s="120"/>
      <c r="W388" s="120"/>
      <c r="X388" s="120"/>
      <c r="Y388" s="120"/>
      <c r="Z388" s="125"/>
    </row>
    <row r="389" spans="1:26" x14ac:dyDescent="0.25">
      <c r="A389" s="127"/>
      <c r="B389" s="75"/>
      <c r="C389" s="125"/>
      <c r="D389" s="125"/>
      <c r="E389" s="125"/>
      <c r="F389" s="125"/>
      <c r="G389" s="125"/>
      <c r="H389" s="125"/>
      <c r="I389" s="125"/>
      <c r="J389" s="125"/>
      <c r="K389" s="125"/>
      <c r="L389" s="75"/>
      <c r="M389" s="127"/>
      <c r="N389" s="75"/>
      <c r="O389" s="120"/>
      <c r="P389" s="120"/>
      <c r="Q389" s="120"/>
      <c r="R389" s="125"/>
      <c r="S389" s="120"/>
      <c r="T389" s="120"/>
      <c r="U389" s="120"/>
      <c r="V389" s="120"/>
      <c r="W389" s="120"/>
      <c r="X389" s="120"/>
      <c r="Y389" s="120"/>
      <c r="Z389" s="125"/>
    </row>
    <row r="390" spans="1:26" x14ac:dyDescent="0.25">
      <c r="A390" s="127"/>
      <c r="B390" s="75"/>
      <c r="C390" s="125"/>
      <c r="D390" s="125"/>
      <c r="E390" s="125"/>
      <c r="F390" s="125"/>
      <c r="G390" s="125"/>
      <c r="H390" s="125"/>
      <c r="I390" s="125"/>
      <c r="J390" s="125"/>
      <c r="K390" s="125"/>
      <c r="L390" s="75"/>
      <c r="M390" s="127"/>
      <c r="N390" s="75"/>
      <c r="O390" s="120"/>
      <c r="P390" s="120"/>
      <c r="Q390" s="120"/>
      <c r="R390" s="125"/>
      <c r="S390" s="120"/>
      <c r="T390" s="120"/>
      <c r="U390" s="120"/>
      <c r="V390" s="120"/>
      <c r="W390" s="120"/>
      <c r="X390" s="120"/>
      <c r="Y390" s="120"/>
      <c r="Z390" s="125"/>
    </row>
    <row r="391" spans="1:26" x14ac:dyDescent="0.25">
      <c r="A391" s="127"/>
      <c r="B391" s="75"/>
      <c r="C391" s="125"/>
      <c r="D391" s="125"/>
      <c r="E391" s="125"/>
      <c r="F391" s="125"/>
      <c r="G391" s="125"/>
      <c r="H391" s="125"/>
      <c r="I391" s="125"/>
      <c r="J391" s="125"/>
      <c r="K391" s="125"/>
      <c r="L391" s="75"/>
      <c r="M391" s="127"/>
      <c r="N391" s="75"/>
      <c r="O391" s="120"/>
      <c r="P391" s="120"/>
      <c r="Q391" s="120"/>
      <c r="R391" s="125"/>
      <c r="S391" s="120"/>
      <c r="T391" s="120"/>
      <c r="U391" s="120"/>
      <c r="V391" s="120"/>
      <c r="W391" s="120"/>
      <c r="X391" s="120"/>
      <c r="Y391" s="120"/>
      <c r="Z391" s="125"/>
    </row>
    <row r="392" spans="1:26" x14ac:dyDescent="0.25">
      <c r="A392" s="127"/>
      <c r="B392" s="75"/>
      <c r="C392" s="125"/>
      <c r="D392" s="125"/>
      <c r="E392" s="125"/>
      <c r="F392" s="125"/>
      <c r="G392" s="125"/>
      <c r="H392" s="125"/>
      <c r="I392" s="125"/>
      <c r="J392" s="125"/>
      <c r="K392" s="125"/>
      <c r="L392" s="75"/>
      <c r="M392" s="127"/>
      <c r="N392" s="75"/>
      <c r="O392" s="120"/>
      <c r="P392" s="120"/>
      <c r="Q392" s="120"/>
      <c r="R392" s="125"/>
      <c r="S392" s="120"/>
      <c r="T392" s="120"/>
      <c r="U392" s="120"/>
      <c r="V392" s="120"/>
      <c r="W392" s="120"/>
      <c r="X392" s="120"/>
      <c r="Y392" s="120"/>
      <c r="Z392" s="125"/>
    </row>
    <row r="393" spans="1:26" x14ac:dyDescent="0.25">
      <c r="A393" s="127"/>
      <c r="B393" s="75"/>
      <c r="C393" s="125"/>
      <c r="D393" s="125"/>
      <c r="E393" s="125"/>
      <c r="F393" s="125"/>
      <c r="G393" s="125"/>
      <c r="H393" s="125"/>
      <c r="I393" s="125"/>
      <c r="J393" s="125"/>
      <c r="K393" s="125"/>
      <c r="L393" s="75"/>
      <c r="M393" s="127"/>
      <c r="N393" s="75"/>
      <c r="O393" s="120"/>
      <c r="P393" s="120"/>
      <c r="Q393" s="120"/>
      <c r="R393" s="125"/>
      <c r="S393" s="120"/>
      <c r="T393" s="120"/>
      <c r="U393" s="120"/>
      <c r="V393" s="120"/>
      <c r="W393" s="120"/>
      <c r="X393" s="120"/>
      <c r="Y393" s="120"/>
      <c r="Z393" s="125"/>
    </row>
    <row r="394" spans="1:26" x14ac:dyDescent="0.25">
      <c r="A394" s="127"/>
      <c r="B394" s="75"/>
      <c r="C394" s="125"/>
      <c r="D394" s="125"/>
      <c r="E394" s="125"/>
      <c r="F394" s="125"/>
      <c r="G394" s="125"/>
      <c r="H394" s="125"/>
      <c r="I394" s="125"/>
      <c r="J394" s="125"/>
      <c r="K394" s="125"/>
      <c r="L394" s="75"/>
      <c r="M394" s="127"/>
      <c r="N394" s="75"/>
      <c r="O394" s="120"/>
      <c r="P394" s="120"/>
      <c r="Q394" s="120"/>
      <c r="R394" s="125"/>
      <c r="S394" s="120"/>
      <c r="T394" s="120"/>
      <c r="U394" s="120"/>
      <c r="V394" s="120"/>
      <c r="W394" s="120"/>
      <c r="X394" s="120"/>
      <c r="Y394" s="120"/>
      <c r="Z394" s="125"/>
    </row>
    <row r="395" spans="1:26" x14ac:dyDescent="0.25">
      <c r="A395" s="127"/>
      <c r="B395" s="75"/>
      <c r="C395" s="125"/>
      <c r="D395" s="125"/>
      <c r="E395" s="125"/>
      <c r="F395" s="125"/>
      <c r="G395" s="125"/>
      <c r="H395" s="125"/>
      <c r="I395" s="125"/>
      <c r="J395" s="125"/>
      <c r="K395" s="125"/>
      <c r="L395" s="75"/>
      <c r="M395" s="127"/>
      <c r="N395" s="75"/>
      <c r="O395" s="120"/>
      <c r="P395" s="120"/>
      <c r="Q395" s="120"/>
      <c r="R395" s="125"/>
      <c r="S395" s="120"/>
      <c r="T395" s="120"/>
      <c r="U395" s="120"/>
      <c r="V395" s="120"/>
      <c r="W395" s="120"/>
      <c r="X395" s="120"/>
      <c r="Y395" s="120"/>
      <c r="Z395" s="125"/>
    </row>
  </sheetData>
  <mergeCells count="88">
    <mergeCell ref="A60:A66"/>
    <mergeCell ref="L60:L66"/>
    <mergeCell ref="A67:A73"/>
    <mergeCell ref="L67:L73"/>
    <mergeCell ref="A149:A155"/>
    <mergeCell ref="L149:L155"/>
    <mergeCell ref="A160:A166"/>
    <mergeCell ref="L160:L166"/>
    <mergeCell ref="L99:L105"/>
    <mergeCell ref="A92:A98"/>
    <mergeCell ref="L92:L98"/>
    <mergeCell ref="A99:A105"/>
    <mergeCell ref="M58:U58"/>
    <mergeCell ref="B58:J58"/>
    <mergeCell ref="A1:L1"/>
    <mergeCell ref="B7:J7"/>
    <mergeCell ref="M7:U7"/>
    <mergeCell ref="A9:A15"/>
    <mergeCell ref="L9:L15"/>
    <mergeCell ref="A16:A22"/>
    <mergeCell ref="L16:L22"/>
    <mergeCell ref="A41:A47"/>
    <mergeCell ref="A48:A54"/>
    <mergeCell ref="A25:A31"/>
    <mergeCell ref="A32:A38"/>
    <mergeCell ref="L25:L31"/>
    <mergeCell ref="L32:L38"/>
    <mergeCell ref="B39:J39"/>
    <mergeCell ref="AA92:AA98"/>
    <mergeCell ref="AL92:AL98"/>
    <mergeCell ref="AA99:AA105"/>
    <mergeCell ref="AL99:AL105"/>
    <mergeCell ref="A76:A82"/>
    <mergeCell ref="L76:L82"/>
    <mergeCell ref="A83:A89"/>
    <mergeCell ref="L83:L89"/>
    <mergeCell ref="AA83:AA89"/>
    <mergeCell ref="AL83:AL89"/>
    <mergeCell ref="AA76:AA82"/>
    <mergeCell ref="AL76:AL82"/>
    <mergeCell ref="AM58:AU58"/>
    <mergeCell ref="AA60:AA66"/>
    <mergeCell ref="AL60:AL66"/>
    <mergeCell ref="AA67:AA73"/>
    <mergeCell ref="AL67:AL73"/>
    <mergeCell ref="AM108:AU108"/>
    <mergeCell ref="B158:J158"/>
    <mergeCell ref="A176:A182"/>
    <mergeCell ref="L176:L182"/>
    <mergeCell ref="A183:A189"/>
    <mergeCell ref="L183:L189"/>
    <mergeCell ref="M158:U158"/>
    <mergeCell ref="A110:A116"/>
    <mergeCell ref="L110:L116"/>
    <mergeCell ref="A167:A173"/>
    <mergeCell ref="L167:L173"/>
    <mergeCell ref="AA110:AA116"/>
    <mergeCell ref="AL110:AL116"/>
    <mergeCell ref="AL117:AL123"/>
    <mergeCell ref="AL133:AL139"/>
    <mergeCell ref="AL126:AL132"/>
    <mergeCell ref="A199:A205"/>
    <mergeCell ref="L199:L205"/>
    <mergeCell ref="B108:J108"/>
    <mergeCell ref="M108:U108"/>
    <mergeCell ref="AB108:AJ108"/>
    <mergeCell ref="A117:A123"/>
    <mergeCell ref="L117:L123"/>
    <mergeCell ref="AA117:AA123"/>
    <mergeCell ref="A192:A198"/>
    <mergeCell ref="L192:L198"/>
    <mergeCell ref="A133:A139"/>
    <mergeCell ref="L133:L139"/>
    <mergeCell ref="AA133:AA139"/>
    <mergeCell ref="A126:A132"/>
    <mergeCell ref="L126:L132"/>
    <mergeCell ref="AA126:AA132"/>
    <mergeCell ref="AA149:AA155"/>
    <mergeCell ref="AL149:AL155"/>
    <mergeCell ref="A142:A148"/>
    <mergeCell ref="L142:L148"/>
    <mergeCell ref="AA142:AA148"/>
    <mergeCell ref="AL142:AL148"/>
    <mergeCell ref="L41:L47"/>
    <mergeCell ref="L48:L54"/>
    <mergeCell ref="M39:U39"/>
    <mergeCell ref="M23:U23"/>
    <mergeCell ref="B23:J23"/>
  </mergeCells>
  <phoneticPr fontId="14" type="noConversion"/>
  <pageMargins left="0.25" right="0.25" top="0.75" bottom="0.75" header="0.3" footer="0.3"/>
  <pageSetup paperSize="9" scale="1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CC39-D943-4203-9796-E9E497A18EA8}">
  <dimension ref="A2:AA253"/>
  <sheetViews>
    <sheetView topLeftCell="A93" zoomScale="55" zoomScaleNormal="55" workbookViewId="0">
      <selection activeCell="R58" sqref="R58"/>
    </sheetView>
  </sheetViews>
  <sheetFormatPr defaultRowHeight="15" x14ac:dyDescent="0.25"/>
  <cols>
    <col min="1" max="1" width="13.5703125" customWidth="1"/>
    <col min="2" max="2" width="6.140625" bestFit="1" customWidth="1"/>
    <col min="3" max="3" width="10.7109375" bestFit="1" customWidth="1"/>
    <col min="4" max="4" width="7.5703125" bestFit="1" customWidth="1"/>
    <col min="5" max="5" width="8.85546875" customWidth="1"/>
    <col min="6" max="6" width="11.7109375" bestFit="1" customWidth="1"/>
    <col min="7" max="7" width="8.42578125" customWidth="1"/>
    <col min="8" max="8" width="9" customWidth="1"/>
    <col min="9" max="9" width="15.140625" customWidth="1"/>
    <col min="10" max="10" width="15.42578125" customWidth="1"/>
    <col min="11" max="11" width="12" bestFit="1" customWidth="1"/>
    <col min="12" max="12" width="10.7109375" bestFit="1" customWidth="1"/>
    <col min="14" max="14" width="8.7109375" customWidth="1"/>
    <col min="15" max="15" width="15.28515625" customWidth="1"/>
    <col min="16" max="16" width="11.7109375" bestFit="1" customWidth="1"/>
    <col min="17" max="17" width="14.5703125" customWidth="1"/>
    <col min="18" max="18" width="13.140625" customWidth="1"/>
    <col min="19" max="19" width="9.5703125" customWidth="1"/>
    <col min="21" max="21" width="18" customWidth="1"/>
    <col min="22" max="22" width="16.140625" customWidth="1"/>
    <col min="23" max="23" width="12.28515625" customWidth="1"/>
  </cols>
  <sheetData>
    <row r="2" spans="1:19" x14ac:dyDescent="0.25">
      <c r="B2" s="13"/>
    </row>
    <row r="3" spans="1:19" x14ac:dyDescent="0.25">
      <c r="B3" s="13"/>
      <c r="C3" s="68"/>
      <c r="D3" s="68"/>
      <c r="E3" s="69"/>
      <c r="F3" s="68"/>
      <c r="G3" s="68"/>
      <c r="H3" s="69"/>
      <c r="I3" s="69"/>
      <c r="L3" s="68"/>
      <c r="N3" s="68"/>
      <c r="O3" s="69"/>
      <c r="P3" s="68"/>
      <c r="Q3" s="68"/>
      <c r="R3" s="69"/>
      <c r="S3" s="69"/>
    </row>
    <row r="4" spans="1:19" x14ac:dyDescent="0.25">
      <c r="B4" s="13"/>
      <c r="C4" s="68"/>
      <c r="D4" s="68"/>
      <c r="E4" s="69"/>
      <c r="F4" s="68"/>
      <c r="G4" s="68"/>
      <c r="H4" s="69"/>
      <c r="I4" s="69"/>
      <c r="L4" s="68"/>
      <c r="N4" s="68"/>
      <c r="O4" s="69"/>
      <c r="P4" s="68"/>
      <c r="Q4" s="68"/>
      <c r="R4" s="69"/>
      <c r="S4" s="69"/>
    </row>
    <row r="5" spans="1:19" x14ac:dyDescent="0.25">
      <c r="B5" s="13"/>
      <c r="C5" s="68"/>
      <c r="D5" s="68"/>
      <c r="E5" s="69"/>
      <c r="F5" s="68"/>
      <c r="G5" s="68"/>
      <c r="H5" s="69"/>
      <c r="I5" s="69"/>
    </row>
    <row r="6" spans="1:19" ht="15.75" thickBot="1" x14ac:dyDescent="0.3">
      <c r="B6" s="13"/>
      <c r="C6" s="68"/>
      <c r="D6" s="68"/>
      <c r="E6" s="69"/>
      <c r="F6" s="68"/>
      <c r="G6" s="68"/>
      <c r="H6" s="69"/>
      <c r="I6" s="69"/>
      <c r="O6" t="s">
        <v>225</v>
      </c>
      <c r="P6" s="92">
        <f>AVERAGE(F9:F15,F18:F24,F29:F35,F38:F44,F49:F55,F58:F64,F72:F78,F81:F87,F92:F98,F101:F107,F112:F118,F121:F127,F134:F140,F143:F149,F154:F160,F163:F169,F174:F180,F183:F189,F196:F202,F205:F211,F216:F222,F226:F231,F236:F242,F245:F251,T183:T189,T174:T180,T163:T169,T154:T160,T143:T149,T134:T140,T121:T127,T112:T118,T92:T98,T101:T107,T72:T78,T81:T87)</f>
        <v>18.162430278884457</v>
      </c>
      <c r="Q6" t="s">
        <v>226</v>
      </c>
      <c r="R6" s="92">
        <f>STDEV(F9:F15,F18:F24,F29:F35,F38:F44,F49:F55,F58:F64,F72:F78,F81:F87,F92:F98,F101:F107,F112:F118,F121:F127,F134:F140,F143:F149,F154:F160,F163:F169,F174:F180,F183:F189,F196:F202,F205:F211,F216:F222,F226:F231,F236:F242,F245:F251,T183:T189,T174:T180,T163:T169,T154:T160,T143:T149,T134:T140,T121:T127,T112:T118,T92:T98,T101:T107,T72:T78,T81:T87)</f>
        <v>0.48609453025285515</v>
      </c>
      <c r="S6" t="s">
        <v>29</v>
      </c>
    </row>
    <row r="7" spans="1:19" ht="15.75" thickBot="1" x14ac:dyDescent="0.3">
      <c r="A7" s="160" t="str">
        <f>'High and Diameter'!A7</f>
        <v>Ref #4</v>
      </c>
      <c r="B7" s="161"/>
      <c r="C7" s="161" t="s">
        <v>4</v>
      </c>
      <c r="D7" s="161"/>
      <c r="E7" s="161"/>
      <c r="F7" s="161" t="s">
        <v>227</v>
      </c>
      <c r="G7" s="161"/>
      <c r="H7" s="161"/>
      <c r="I7" s="162"/>
      <c r="J7" s="162"/>
      <c r="K7" s="162"/>
    </row>
    <row r="8" spans="1:19" ht="15.75" thickBot="1" x14ac:dyDescent="0.3">
      <c r="A8" s="242"/>
      <c r="B8" s="249" t="s">
        <v>6</v>
      </c>
      <c r="C8" s="246" t="s">
        <v>228</v>
      </c>
      <c r="D8" s="6" t="s">
        <v>229</v>
      </c>
      <c r="E8" s="258" t="str">
        <f>'High and Diameter'!K8</f>
        <v>Vol</v>
      </c>
      <c r="F8" s="10" t="s">
        <v>228</v>
      </c>
      <c r="G8" s="6" t="s">
        <v>229</v>
      </c>
      <c r="H8" s="200" t="str">
        <f>'High and Diameter'!V8</f>
        <v>Vol</v>
      </c>
      <c r="I8" s="162" t="str">
        <f>'High and Diameter'!W8</f>
        <v>Shrinkage D [%]</v>
      </c>
      <c r="J8" s="162" t="str">
        <f>'High and Diameter'!X8</f>
        <v>Shrinkage h [%]</v>
      </c>
      <c r="K8" s="162" t="str">
        <f>'High and Diameter'!Y8</f>
        <v>Shrinkage [%]</v>
      </c>
      <c r="L8" t="s">
        <v>313</v>
      </c>
    </row>
    <row r="9" spans="1:19" x14ac:dyDescent="0.25">
      <c r="A9" s="266" t="s">
        <v>168</v>
      </c>
      <c r="B9" s="250" t="s">
        <v>135</v>
      </c>
      <c r="C9" s="364">
        <f>'High and Diameter'!F9</f>
        <v>18.606666666666666</v>
      </c>
      <c r="D9" s="62">
        <f>'High and Diameter'!J9</f>
        <v>6.0466666666666669</v>
      </c>
      <c r="E9" s="259">
        <f>'High and Diameter'!K9</f>
        <v>1644.1561611326701</v>
      </c>
      <c r="F9" s="191">
        <f>'High and Diameter'!Q9</f>
        <v>18.643333333333331</v>
      </c>
      <c r="G9" s="62">
        <f>'High and Diameter'!U9</f>
        <v>6.05</v>
      </c>
      <c r="H9" s="163">
        <f>'High and Diameter'!V9</f>
        <v>1651.5525057721545</v>
      </c>
      <c r="I9" s="263">
        <f>'High and Diameter'!W9</f>
        <v>-0.19706198495162286</v>
      </c>
      <c r="J9" s="263">
        <f>'High and Diameter'!X9</f>
        <v>-5.51267916207216E-2</v>
      </c>
      <c r="K9" s="263">
        <f>'High and Diameter'!Y9</f>
        <v>-0.44985657775895072</v>
      </c>
      <c r="L9" s="92">
        <f t="shared" ref="L9:L15" si="0">(20-C9)/20*100</f>
        <v>6.9666666666666721</v>
      </c>
      <c r="O9" t="s">
        <v>135</v>
      </c>
    </row>
    <row r="10" spans="1:19" x14ac:dyDescent="0.25">
      <c r="A10" s="267"/>
      <c r="B10" s="251" t="s">
        <v>136</v>
      </c>
      <c r="C10" s="360">
        <f>'High and Diameter'!F10</f>
        <v>18.580000000000002</v>
      </c>
      <c r="D10" s="26">
        <f>'High and Diameter'!J10</f>
        <v>6.086666666666666</v>
      </c>
      <c r="E10" s="260">
        <f>'High and Diameter'!K10</f>
        <v>1650.2920941744123</v>
      </c>
      <c r="F10" s="192">
        <f>'High and Diameter'!Q10</f>
        <v>18.633333333333336</v>
      </c>
      <c r="G10" s="26">
        <f>'High and Diameter'!U10</f>
        <v>6.1333333333333329</v>
      </c>
      <c r="H10" s="164">
        <f>'High and Diameter'!V10</f>
        <v>1672.5055053101498</v>
      </c>
      <c r="I10" s="37">
        <f>'High and Diameter'!W10</f>
        <v>-0.28704700394690291</v>
      </c>
      <c r="J10" s="37">
        <f>'High and Diameter'!X10</f>
        <v>-0.76670317634173379</v>
      </c>
      <c r="K10" s="37">
        <f>'High and Diameter'!Y10</f>
        <v>-1.3460290583801251</v>
      </c>
      <c r="L10" s="92">
        <f t="shared" si="0"/>
        <v>7.0999999999999908</v>
      </c>
      <c r="O10" t="s">
        <v>136</v>
      </c>
    </row>
    <row r="11" spans="1:19" x14ac:dyDescent="0.25">
      <c r="A11" s="267"/>
      <c r="B11" s="251" t="s">
        <v>137</v>
      </c>
      <c r="C11" s="360">
        <f>'High and Diameter'!F11</f>
        <v>18.603333333333335</v>
      </c>
      <c r="D11" s="26">
        <f>'High and Diameter'!J11</f>
        <v>6.043333333333333</v>
      </c>
      <c r="E11" s="260">
        <f>'High and Diameter'!K11</f>
        <v>1642.661075938008</v>
      </c>
      <c r="F11" s="192">
        <f>'High and Diameter'!Q11</f>
        <v>18.566666666666666</v>
      </c>
      <c r="G11" s="26">
        <f>'High and Diameter'!U11</f>
        <v>6.0333333333333323</v>
      </c>
      <c r="H11" s="164">
        <f>'High and Diameter'!V11</f>
        <v>1633.4847428909991</v>
      </c>
      <c r="I11" s="37">
        <f>'High and Diameter'!W11</f>
        <v>0.19709729439169776</v>
      </c>
      <c r="J11" s="37">
        <f>'High and Diameter'!X11</f>
        <v>0.1654715940430338</v>
      </c>
      <c r="K11" s="37">
        <f>'High and Diameter'!Y11</f>
        <v>0.55862607213536009</v>
      </c>
      <c r="L11" s="92">
        <f t="shared" si="0"/>
        <v>6.9833333333333236</v>
      </c>
      <c r="O11" t="s">
        <v>137</v>
      </c>
    </row>
    <row r="12" spans="1:19" x14ac:dyDescent="0.25">
      <c r="A12" s="267"/>
      <c r="B12" s="251" t="s">
        <v>138</v>
      </c>
      <c r="C12" s="360">
        <f>'High and Diameter'!F12</f>
        <v>18.673333333333336</v>
      </c>
      <c r="D12" s="26">
        <f>'High and Diameter'!J12</f>
        <v>6.1133333333333333</v>
      </c>
      <c r="E12" s="260">
        <f>'High and Diameter'!K12</f>
        <v>1674.2166533359416</v>
      </c>
      <c r="F12" s="192">
        <f>'High and Diameter'!Q12</f>
        <v>18.633333333333336</v>
      </c>
      <c r="G12" s="26">
        <f>'High and Diameter'!U12</f>
        <v>6.14</v>
      </c>
      <c r="H12" s="164">
        <f>'High and Diameter'!V12</f>
        <v>1674.3234460767915</v>
      </c>
      <c r="I12" s="37">
        <f>'High and Diameter'!W12</f>
        <v>0.21420921099606824</v>
      </c>
      <c r="J12" s="37">
        <f>'High and Diameter'!X12</f>
        <v>-0.43620501635768361</v>
      </c>
      <c r="K12" s="37">
        <f>'High and Diameter'!Y12</f>
        <v>-6.3786691308487659E-3</v>
      </c>
      <c r="L12" s="92">
        <f t="shared" si="0"/>
        <v>6.6333333333333213</v>
      </c>
      <c r="O12" t="s">
        <v>138</v>
      </c>
    </row>
    <row r="13" spans="1:19" x14ac:dyDescent="0.25">
      <c r="A13" s="267"/>
      <c r="B13" s="251" t="s">
        <v>139</v>
      </c>
      <c r="C13" s="360">
        <f>'High and Diameter'!F13</f>
        <v>18.52</v>
      </c>
      <c r="D13" s="26">
        <f>'High and Diameter'!J13</f>
        <v>6.22</v>
      </c>
      <c r="E13" s="260">
        <f>'High and Diameter'!K13</f>
        <v>1675.5686679867872</v>
      </c>
      <c r="F13" s="192">
        <f>'High and Diameter'!Q13</f>
        <v>18.726666666666667</v>
      </c>
      <c r="G13" s="26">
        <f>'High and Diameter'!U13</f>
        <v>6.1766666666666667</v>
      </c>
      <c r="H13" s="164">
        <f>'High and Diameter'!V13</f>
        <v>1701.2377313249954</v>
      </c>
      <c r="I13" s="37">
        <f>'High and Diameter'!W13</f>
        <v>-1.1159107271418305</v>
      </c>
      <c r="J13" s="37">
        <f>'High and Diameter'!X13</f>
        <v>0.6966773847802733</v>
      </c>
      <c r="K13" s="37">
        <f>'High and Diameter'!Y13</f>
        <v>-1.5319612874505348</v>
      </c>
      <c r="L13" s="92">
        <f t="shared" si="0"/>
        <v>7.4000000000000021</v>
      </c>
      <c r="O13" t="s">
        <v>139</v>
      </c>
    </row>
    <row r="14" spans="1:19" x14ac:dyDescent="0.25">
      <c r="A14" s="267"/>
      <c r="B14" s="251" t="s">
        <v>140</v>
      </c>
      <c r="C14" s="360">
        <f>'High and Diameter'!F14</f>
        <v>18.579999999999998</v>
      </c>
      <c r="D14" s="26">
        <f>'High and Diameter'!J14</f>
        <v>6.1400000000000006</v>
      </c>
      <c r="E14" s="260">
        <f>'High and Diameter'!K14</f>
        <v>1664.7524849229283</v>
      </c>
      <c r="F14" s="192">
        <f>'High and Diameter'!Q14</f>
        <v>18.62</v>
      </c>
      <c r="G14" s="26">
        <f>'High and Diameter'!U14</f>
        <v>6.1766666666666667</v>
      </c>
      <c r="H14" s="164">
        <f>'High and Diameter'!V14</f>
        <v>1681.9125038345394</v>
      </c>
      <c r="I14" s="37">
        <f>'High and Diameter'!W14</f>
        <v>-0.21528525296018677</v>
      </c>
      <c r="J14" s="37">
        <f>'High and Diameter'!X14</f>
        <v>-0.59717698154179444</v>
      </c>
      <c r="K14" s="37">
        <f>'High and Diameter'!Y14</f>
        <v>-1.0307850005945824</v>
      </c>
      <c r="L14" s="92">
        <f t="shared" si="0"/>
        <v>7.1000000000000094</v>
      </c>
      <c r="O14" t="s">
        <v>140</v>
      </c>
    </row>
    <row r="15" spans="1:19" ht="15.75" thickBot="1" x14ac:dyDescent="0.3">
      <c r="A15" s="269"/>
      <c r="B15" s="252" t="s">
        <v>141</v>
      </c>
      <c r="C15" s="365">
        <f>'High and Diameter'!F15</f>
        <v>18.703333333333333</v>
      </c>
      <c r="D15" s="288">
        <f>'High and Diameter'!J15</f>
        <v>6.1233333333333322</v>
      </c>
      <c r="E15" s="262">
        <f>'High and Diameter'!K15</f>
        <v>1682.3479020764109</v>
      </c>
      <c r="F15" s="366">
        <f>'High and Diameter'!Q15</f>
        <v>18.653333333333332</v>
      </c>
      <c r="G15" s="288">
        <f>'High and Diameter'!U15</f>
        <v>6.1233333333333322</v>
      </c>
      <c r="H15" s="248">
        <f>'High and Diameter'!V15</f>
        <v>1673.3650157386401</v>
      </c>
      <c r="I15" s="265">
        <f>'High and Diameter'!W15</f>
        <v>0.26733202637676373</v>
      </c>
      <c r="J15" s="265">
        <f>'High and Diameter'!X15</f>
        <v>0</v>
      </c>
      <c r="K15" s="265">
        <f>'High and Diameter'!Y15</f>
        <v>0.53394938863025265</v>
      </c>
      <c r="L15" s="92">
        <f t="shared" si="0"/>
        <v>6.4833333333333343</v>
      </c>
      <c r="O15" t="s">
        <v>141</v>
      </c>
    </row>
    <row r="16" spans="1:19" x14ac:dyDescent="0.25">
      <c r="A16" s="266" t="s">
        <v>161</v>
      </c>
      <c r="B16" s="250"/>
      <c r="C16" s="364">
        <f t="shared" ref="C16:J16" si="1">AVERAGE(C9:C15)</f>
        <v>18.609523809523807</v>
      </c>
      <c r="D16" s="364">
        <f t="shared" si="1"/>
        <v>6.1104761904761906</v>
      </c>
      <c r="E16" s="370">
        <f t="shared" si="1"/>
        <v>1661.999291366737</v>
      </c>
      <c r="F16" s="191">
        <f t="shared" si="1"/>
        <v>18.639523809523812</v>
      </c>
      <c r="G16" s="364">
        <f t="shared" si="1"/>
        <v>6.1190476190476195</v>
      </c>
      <c r="H16" s="263">
        <f t="shared" si="1"/>
        <v>1669.7687787068958</v>
      </c>
      <c r="I16" s="23">
        <f t="shared" si="1"/>
        <v>-0.16238091960514472</v>
      </c>
      <c r="J16" s="23">
        <f t="shared" si="1"/>
        <v>-0.14186614100551806</v>
      </c>
      <c r="K16" s="23">
        <f>AVERAGE(K9:K15)</f>
        <v>-0.46749073322134699</v>
      </c>
      <c r="L16" s="23">
        <f>AVERAGE(L9:L15)</f>
        <v>6.9523809523809508</v>
      </c>
      <c r="M16" s="92"/>
    </row>
    <row r="17" spans="1:13" ht="15.75" thickBot="1" x14ac:dyDescent="0.3">
      <c r="A17" s="268" t="s">
        <v>162</v>
      </c>
      <c r="B17" s="363"/>
      <c r="C17" s="193">
        <f t="shared" ref="C17:J17" si="2">STDEV(C9:C15)</f>
        <v>6.1476540886464405E-2</v>
      </c>
      <c r="D17" s="59">
        <f t="shared" si="2"/>
        <v>6.0810226096303883E-2</v>
      </c>
      <c r="E17" s="165">
        <f t="shared" si="2"/>
        <v>16.250334799283461</v>
      </c>
      <c r="F17" s="193">
        <f t="shared" si="2"/>
        <v>4.7548360232993712E-2</v>
      </c>
      <c r="G17" s="59">
        <f t="shared" si="2"/>
        <v>5.6885664591168006E-2</v>
      </c>
      <c r="H17" s="165">
        <f t="shared" si="2"/>
        <v>21.707512070394973</v>
      </c>
      <c r="I17" s="61">
        <f t="shared" si="2"/>
        <v>0.48035755779356903</v>
      </c>
      <c r="J17" s="61">
        <f t="shared" si="2"/>
        <v>0.50160178436995129</v>
      </c>
      <c r="K17" s="61">
        <f>STDEV(K9:K15)</f>
        <v>0.86515517839552991</v>
      </c>
      <c r="L17" s="61">
        <f>STDEV(L9:L15)</f>
        <v>0.30738270443232224</v>
      </c>
      <c r="M17" s="92"/>
    </row>
    <row r="18" spans="1:13" x14ac:dyDescent="0.25">
      <c r="A18" s="270" t="s">
        <v>174</v>
      </c>
      <c r="B18" s="250" t="s">
        <v>135</v>
      </c>
      <c r="C18" s="364">
        <f>'High and Diameter'!F16</f>
        <v>18.513333333333332</v>
      </c>
      <c r="D18" s="62">
        <f>'High and Diameter'!J16</f>
        <v>6.3133333333333335</v>
      </c>
      <c r="E18" s="259">
        <f>'High and Diameter'!K16</f>
        <v>1699.4869837565157</v>
      </c>
      <c r="F18" s="191">
        <f>'High and Diameter'!Q16</f>
        <v>18.55</v>
      </c>
      <c r="G18" s="62">
        <f>'High and Diameter'!U16</f>
        <v>6.38</v>
      </c>
      <c r="H18" s="163">
        <f>'High and Diameter'!V16</f>
        <v>1724.2426683006015</v>
      </c>
      <c r="I18" s="263">
        <f>'High and Diameter'!W16</f>
        <v>-0.19805545552755949</v>
      </c>
      <c r="J18" s="263">
        <f>'High and Diameter'!X16</f>
        <v>-1.0559662090813056</v>
      </c>
      <c r="K18" s="263">
        <f>'High and Diameter'!Y16</f>
        <v>-1.4566563192714974</v>
      </c>
      <c r="L18" s="92">
        <f t="shared" ref="L18:L24" si="3">(20-C18)/20*100</f>
        <v>7.4333333333333407</v>
      </c>
    </row>
    <row r="19" spans="1:13" x14ac:dyDescent="0.25">
      <c r="A19" s="271"/>
      <c r="B19" s="251" t="s">
        <v>136</v>
      </c>
      <c r="C19" s="360">
        <f>'High and Diameter'!F17</f>
        <v>18.553333333333331</v>
      </c>
      <c r="D19" s="26">
        <f>'High and Diameter'!J17</f>
        <v>6.2466666666666661</v>
      </c>
      <c r="E19" s="260">
        <f>'High and Diameter'!K17</f>
        <v>1688.8151168488714</v>
      </c>
      <c r="F19" s="192">
        <f>'High and Diameter'!Q17</f>
        <v>18.48</v>
      </c>
      <c r="G19" s="26">
        <f>'High and Diameter'!U17</f>
        <v>6.3566666666666665</v>
      </c>
      <c r="H19" s="164">
        <f>'High and Diameter'!V17</f>
        <v>1704.9955642491032</v>
      </c>
      <c r="I19" s="37">
        <f>'High and Diameter'!W17</f>
        <v>0.39525691699603266</v>
      </c>
      <c r="J19" s="37">
        <f>'High and Diameter'!X17</f>
        <v>-1.7609391675560353</v>
      </c>
      <c r="K19" s="37">
        <f>'High and Diameter'!Y17</f>
        <v>-0.95809465694637641</v>
      </c>
      <c r="L19" s="92">
        <f>(20-C19)/20*100</f>
        <v>7.2333333333333441</v>
      </c>
    </row>
    <row r="20" spans="1:13" x14ac:dyDescent="0.25">
      <c r="A20" s="271"/>
      <c r="B20" s="251" t="s">
        <v>137</v>
      </c>
      <c r="C20" s="360">
        <f>'High and Diameter'!F18</f>
        <v>18.489999999999998</v>
      </c>
      <c r="D20" s="26">
        <f>'High and Diameter'!J18</f>
        <v>6.5066666666666668</v>
      </c>
      <c r="E20" s="260">
        <f>'High and Diameter'!K18</f>
        <v>1747.1180971914978</v>
      </c>
      <c r="F20" s="192">
        <f>'High and Diameter'!Q18</f>
        <v>18.513333333333332</v>
      </c>
      <c r="G20" s="26">
        <f>'High and Diameter'!U18</f>
        <v>6.583333333333333</v>
      </c>
      <c r="H20" s="164">
        <f>'High and Diameter'!V18</f>
        <v>1772.1683172751416</v>
      </c>
      <c r="I20" s="37">
        <f>'High and Diameter'!W18</f>
        <v>-0.12619433928249557</v>
      </c>
      <c r="J20" s="37">
        <f>'High and Diameter'!X18</f>
        <v>-1.1782786885245831</v>
      </c>
      <c r="K20" s="37">
        <f>'High and Diameter'!Y18</f>
        <v>-1.4338023356241447</v>
      </c>
      <c r="L20" s="92">
        <f t="shared" si="3"/>
        <v>7.5500000000000078</v>
      </c>
    </row>
    <row r="21" spans="1:13" x14ac:dyDescent="0.25">
      <c r="A21" s="271"/>
      <c r="B21" s="251" t="s">
        <v>138</v>
      </c>
      <c r="C21" s="360">
        <f>'High and Diameter'!F19</f>
        <v>18.483333333333334</v>
      </c>
      <c r="D21" s="26">
        <f>'High and Diameter'!J19</f>
        <v>6.2566666666666668</v>
      </c>
      <c r="E21" s="260">
        <f>'High and Diameter'!K19</f>
        <v>1678.7788564142147</v>
      </c>
      <c r="F21" s="192">
        <f>'High and Diameter'!Q19</f>
        <v>18.466666666666669</v>
      </c>
      <c r="G21" s="26">
        <f>'High and Diameter'!U19</f>
        <v>6.333333333333333</v>
      </c>
      <c r="H21" s="164">
        <f>'High and Diameter'!V19</f>
        <v>1696.2866635661237</v>
      </c>
      <c r="I21" s="37">
        <f>'High and Diameter'!W19</f>
        <v>9.0171325518479992E-2</v>
      </c>
      <c r="J21" s="37">
        <f>'High and Diameter'!X19</f>
        <v>-1.2253596164091562</v>
      </c>
      <c r="K21" s="37">
        <f>'High and Diameter'!Y19</f>
        <v>-1.0428894243584155</v>
      </c>
      <c r="L21" s="92">
        <f t="shared" si="3"/>
        <v>7.5833333333333277</v>
      </c>
    </row>
    <row r="22" spans="1:13" x14ac:dyDescent="0.25">
      <c r="A22" s="271"/>
      <c r="B22" s="251" t="s">
        <v>139</v>
      </c>
      <c r="C22" s="360">
        <f>'High and Diameter'!F20</f>
        <v>18.47</v>
      </c>
      <c r="D22" s="26">
        <f>'High and Diameter'!J20</f>
        <v>6.086666666666666</v>
      </c>
      <c r="E22" s="260">
        <f>'High and Diameter'!K20</f>
        <v>1630.8093423995599</v>
      </c>
      <c r="F22" s="192">
        <f>'High and Diameter'!Q20</f>
        <v>18.576666666666664</v>
      </c>
      <c r="G22" s="26">
        <f>'High and Diameter'!U20</f>
        <v>6.1466666666666656</v>
      </c>
      <c r="H22" s="164">
        <f>'High and Diameter'!V20</f>
        <v>1665.96211107554</v>
      </c>
      <c r="I22" s="37">
        <f>'High and Diameter'!W20</f>
        <v>-0.57751308428080983</v>
      </c>
      <c r="J22" s="37">
        <f>'High and Diameter'!X20</f>
        <v>-0.98576122672507582</v>
      </c>
      <c r="K22" s="37">
        <f>'High and Diameter'!Y20</f>
        <v>-2.1555412862828307</v>
      </c>
      <c r="L22" s="92">
        <f t="shared" si="3"/>
        <v>7.6500000000000057</v>
      </c>
    </row>
    <row r="23" spans="1:13" x14ac:dyDescent="0.25">
      <c r="A23" s="271"/>
      <c r="B23" s="251" t="s">
        <v>140</v>
      </c>
      <c r="C23" s="360">
        <f>'High and Diameter'!F21</f>
        <v>18.496666666666666</v>
      </c>
      <c r="D23" s="26">
        <f>'High and Diameter'!J21</f>
        <v>6.1033333333333344</v>
      </c>
      <c r="E23" s="260">
        <f>'High and Diameter'!K21</f>
        <v>1640.0002382411374</v>
      </c>
      <c r="F23" s="192">
        <f>'High and Diameter'!Q21</f>
        <v>18.573333333333334</v>
      </c>
      <c r="G23" s="26">
        <f>'High and Diameter'!U21</f>
        <v>6.2133333333333338</v>
      </c>
      <c r="H23" s="164">
        <f>'High and Diameter'!V21</f>
        <v>1683.4268151399099</v>
      </c>
      <c r="I23" s="37">
        <f>'High and Diameter'!W21</f>
        <v>-0.41448909713462606</v>
      </c>
      <c r="J23" s="37">
        <f>'High and Diameter'!X21</f>
        <v>-1.802293828509002</v>
      </c>
      <c r="K23" s="37">
        <f>'High and Diameter'!Y21</f>
        <v>-2.6479616213560138</v>
      </c>
      <c r="L23" s="92">
        <f t="shared" si="3"/>
        <v>7.5166666666666684</v>
      </c>
    </row>
    <row r="24" spans="1:13" ht="15.75" thickBot="1" x14ac:dyDescent="0.3">
      <c r="A24" s="272"/>
      <c r="B24" s="252" t="s">
        <v>141</v>
      </c>
      <c r="C24" s="365">
        <f>'High and Diameter'!F22</f>
        <v>18.57</v>
      </c>
      <c r="D24" s="288">
        <f>'High and Diameter'!J22</f>
        <v>6.0666666666666664</v>
      </c>
      <c r="E24" s="262">
        <f>'High and Diameter'!K22</f>
        <v>1643.099343442992</v>
      </c>
      <c r="F24" s="366">
        <f>'High and Diameter'!Q22</f>
        <v>18.603333333333335</v>
      </c>
      <c r="G24" s="288">
        <f>'High and Diameter'!U22</f>
        <v>6.1533333333333333</v>
      </c>
      <c r="H24" s="248">
        <f>'High and Diameter'!V22</f>
        <v>1672.5605880758758</v>
      </c>
      <c r="I24" s="265">
        <f>'High and Diameter'!W22</f>
        <v>-0.17950098725543884</v>
      </c>
      <c r="J24" s="265">
        <f>'High and Diameter'!X22</f>
        <v>-1.4285714285714324</v>
      </c>
      <c r="K24" s="265">
        <f>'High and Diameter'!Y22</f>
        <v>-1.7930288117059285</v>
      </c>
      <c r="L24" s="92">
        <f t="shared" si="3"/>
        <v>7.1499999999999977</v>
      </c>
    </row>
    <row r="25" spans="1:13" x14ac:dyDescent="0.25">
      <c r="A25" s="270" t="s">
        <v>161</v>
      </c>
      <c r="B25" s="250"/>
      <c r="C25" s="364">
        <f t="shared" ref="C25:J25" si="4">AVERAGE(C18:C24)</f>
        <v>18.510952380952379</v>
      </c>
      <c r="D25" s="364">
        <f t="shared" si="4"/>
        <v>6.2257142857142851</v>
      </c>
      <c r="E25" s="370">
        <f t="shared" si="4"/>
        <v>1675.4439968992556</v>
      </c>
      <c r="F25" s="191">
        <f t="shared" si="4"/>
        <v>18.537619047619049</v>
      </c>
      <c r="G25" s="364">
        <f t="shared" si="4"/>
        <v>6.3095238095238093</v>
      </c>
      <c r="H25" s="263">
        <f t="shared" si="4"/>
        <v>1702.8061039546137</v>
      </c>
      <c r="I25" s="23">
        <f t="shared" si="4"/>
        <v>-0.14433210299520244</v>
      </c>
      <c r="J25" s="23">
        <f t="shared" si="4"/>
        <v>-1.34816716648237</v>
      </c>
      <c r="K25" s="23">
        <f>AVERAGE(K18:K24)</f>
        <v>-1.6411392079350298</v>
      </c>
      <c r="L25" s="23">
        <f>AVERAGE(L18:L24)</f>
        <v>7.445238095238099</v>
      </c>
      <c r="M25" s="92"/>
    </row>
    <row r="26" spans="1:13" ht="15.75" thickBot="1" x14ac:dyDescent="0.3">
      <c r="A26" s="273" t="s">
        <v>162</v>
      </c>
      <c r="B26" s="363"/>
      <c r="C26" s="193">
        <f t="shared" ref="C26:J26" si="5">STDEV(C18:C24)</f>
        <v>3.735288603626348E-2</v>
      </c>
      <c r="D26" s="59">
        <f t="shared" si="5"/>
        <v>0.15685230474126133</v>
      </c>
      <c r="E26" s="165">
        <f t="shared" si="5"/>
        <v>41.230730900911396</v>
      </c>
      <c r="F26" s="193">
        <f t="shared" si="5"/>
        <v>5.1986974355558407E-2</v>
      </c>
      <c r="G26" s="59">
        <f t="shared" si="5"/>
        <v>0.15432563661427781</v>
      </c>
      <c r="H26" s="165">
        <f t="shared" si="5"/>
        <v>36.436629106917124</v>
      </c>
      <c r="I26" s="61">
        <f t="shared" si="5"/>
        <v>0.31917361002274491</v>
      </c>
      <c r="J26" s="61">
        <f t="shared" si="5"/>
        <v>0.32755148434283282</v>
      </c>
      <c r="K26" s="61">
        <f>STDEV(K18:K24)</f>
        <v>0.60592168073703034</v>
      </c>
      <c r="L26" s="61">
        <f>STDEV(L18:L24)</f>
        <v>0.18676443018131764</v>
      </c>
      <c r="M26" s="92"/>
    </row>
    <row r="27" spans="1:13" ht="15.75" thickBot="1" x14ac:dyDescent="0.3">
      <c r="A27" s="160" t="str">
        <f>'High and Diameter'!A23</f>
        <v>Ref #5</v>
      </c>
      <c r="B27" s="161"/>
      <c r="C27" s="161" t="s">
        <v>4</v>
      </c>
      <c r="D27" s="161"/>
      <c r="E27" s="161"/>
      <c r="F27" s="161" t="s">
        <v>230</v>
      </c>
      <c r="G27" s="161"/>
      <c r="H27" s="161"/>
      <c r="I27" s="162"/>
      <c r="J27" s="162"/>
      <c r="K27" s="162"/>
      <c r="L27" s="92"/>
    </row>
    <row r="28" spans="1:13" ht="15.75" thickBot="1" x14ac:dyDescent="0.3">
      <c r="A28" s="242"/>
      <c r="B28" s="249" t="s">
        <v>6</v>
      </c>
      <c r="C28" s="246" t="s">
        <v>228</v>
      </c>
      <c r="D28" s="6" t="s">
        <v>229</v>
      </c>
      <c r="E28" s="258" t="str">
        <f>'High and Diameter'!K24</f>
        <v>Vol</v>
      </c>
      <c r="F28" s="10" t="s">
        <v>228</v>
      </c>
      <c r="G28" s="6" t="s">
        <v>229</v>
      </c>
      <c r="H28" s="200" t="str">
        <f>'High and Diameter'!V24</f>
        <v>Vol</v>
      </c>
      <c r="I28" s="162" t="str">
        <f>'High and Diameter'!W24</f>
        <v>Shrinkage D [%]</v>
      </c>
      <c r="J28" s="162" t="str">
        <f>'High and Diameter'!X24</f>
        <v>Shrinkage h [%]</v>
      </c>
      <c r="K28" s="162" t="str">
        <f>'High and Diameter'!Y24</f>
        <v>Shrinkage [%]</v>
      </c>
      <c r="L28" t="s">
        <v>313</v>
      </c>
    </row>
    <row r="29" spans="1:13" x14ac:dyDescent="0.25">
      <c r="A29" s="266" t="s">
        <v>168</v>
      </c>
      <c r="B29" s="250" t="s">
        <v>135</v>
      </c>
      <c r="C29" s="364">
        <f>'High and Diameter'!F25</f>
        <v>18.64</v>
      </c>
      <c r="D29" s="62">
        <f>'High and Diameter'!J25</f>
        <v>6.0366666666666662</v>
      </c>
      <c r="E29" s="259">
        <f>'High and Diameter'!K25</f>
        <v>1647.3234964618848</v>
      </c>
      <c r="F29" s="191">
        <f>'High and Diameter'!Q25</f>
        <v>18.613333333333333</v>
      </c>
      <c r="G29" s="62">
        <f>'High and Diameter'!U25</f>
        <v>6.0733333333333333</v>
      </c>
      <c r="H29" s="163">
        <f>'High and Diameter'!V25</f>
        <v>1652.5907176993192</v>
      </c>
      <c r="I29" s="263">
        <f>'High and Diameter'!W25</f>
        <v>0.14306151645207768</v>
      </c>
      <c r="J29" s="263">
        <f>'High and Diameter'!X25</f>
        <v>-0.60739922694644521</v>
      </c>
      <c r="K29" s="263">
        <f>'High and Diameter'!Y25</f>
        <v>-0.31974419406675492</v>
      </c>
      <c r="L29" s="92">
        <f>(20-C29)/20*100</f>
        <v>6.799999999999998</v>
      </c>
    </row>
    <row r="30" spans="1:13" x14ac:dyDescent="0.25">
      <c r="A30" s="267"/>
      <c r="B30" s="251" t="s">
        <v>136</v>
      </c>
      <c r="C30" s="360">
        <f>'High and Diameter'!F26</f>
        <v>18.496666666666666</v>
      </c>
      <c r="D30" s="26">
        <f>'High and Diameter'!J26</f>
        <v>6.169999999999999</v>
      </c>
      <c r="E30" s="260">
        <f>'High and Diameter'!K26</f>
        <v>1657.9139491995327</v>
      </c>
      <c r="F30" s="192">
        <f>'High and Diameter'!Q26</f>
        <v>18.583333333333332</v>
      </c>
      <c r="G30" s="26">
        <f>'High and Diameter'!U26</f>
        <v>6.1400000000000006</v>
      </c>
      <c r="H30" s="164">
        <f>'High and Diameter'!V26</f>
        <v>1665.3498662709239</v>
      </c>
      <c r="I30" s="37">
        <f>'High and Diameter'!W26</f>
        <v>-0.46855289241304382</v>
      </c>
      <c r="J30" s="37">
        <f>'High and Diameter'!X26</f>
        <v>0.48622366288490237</v>
      </c>
      <c r="K30" s="37">
        <f>'High and Diameter'!Y26</f>
        <v>-0.44851043535651763</v>
      </c>
      <c r="L30" s="92">
        <f t="shared" ref="L30:L35" si="6">(20-C30)/20*100</f>
        <v>7.5166666666666684</v>
      </c>
    </row>
    <row r="31" spans="1:13" x14ac:dyDescent="0.25">
      <c r="A31" s="267"/>
      <c r="B31" s="251" t="s">
        <v>137</v>
      </c>
      <c r="C31" s="360">
        <f>'High and Diameter'!F27</f>
        <v>18.603333333333335</v>
      </c>
      <c r="D31" s="26">
        <f>'High and Diameter'!J27</f>
        <v>6.0133333333333328</v>
      </c>
      <c r="E31" s="260">
        <f>'High and Diameter'!K27</f>
        <v>1634.5066635367712</v>
      </c>
      <c r="F31" s="192">
        <f>'High and Diameter'!Q27</f>
        <v>18.626666666666669</v>
      </c>
      <c r="G31" s="26">
        <f>'High and Diameter'!U27</f>
        <v>6.0100000000000007</v>
      </c>
      <c r="H31" s="164">
        <f>'High and Diameter'!V27</f>
        <v>1637.7010927755175</v>
      </c>
      <c r="I31" s="37">
        <f>'High and Diameter'!W27</f>
        <v>-0.12542555097652799</v>
      </c>
      <c r="J31" s="37">
        <f>'High and Diameter'!X27</f>
        <v>5.5432372505522368E-2</v>
      </c>
      <c r="K31" s="37">
        <f>'High and Diameter'!Y27</f>
        <v>-0.19543690521482462</v>
      </c>
      <c r="L31" s="92">
        <f t="shared" si="6"/>
        <v>6.9833333333333236</v>
      </c>
    </row>
    <row r="32" spans="1:13" x14ac:dyDescent="0.25">
      <c r="A32" s="267"/>
      <c r="B32" s="251" t="s">
        <v>138</v>
      </c>
      <c r="C32" s="360">
        <f>'High and Diameter'!F28</f>
        <v>18.599999999999998</v>
      </c>
      <c r="D32" s="26">
        <f>'High and Diameter'!J28</f>
        <v>6.0966666666666667</v>
      </c>
      <c r="E32" s="260">
        <f>'High and Diameter'!K28</f>
        <v>1656.564005352755</v>
      </c>
      <c r="F32" s="192">
        <f>'High and Diameter'!Q28</f>
        <v>18.68</v>
      </c>
      <c r="G32" s="26">
        <f>'High and Diameter'!U28</f>
        <v>6.1033333333333326</v>
      </c>
      <c r="H32" s="164">
        <f>'High and Diameter'!V28</f>
        <v>1672.6717216251075</v>
      </c>
      <c r="I32" s="37">
        <f>'High and Diameter'!W28</f>
        <v>-0.43010752688173043</v>
      </c>
      <c r="J32" s="37">
        <f>'High and Diameter'!X28</f>
        <v>-0.10934937124110332</v>
      </c>
      <c r="K32" s="37">
        <f>'High and Diameter'!Y28</f>
        <v>-0.97235701248515627</v>
      </c>
      <c r="L32" s="92">
        <f t="shared" si="6"/>
        <v>7.0000000000000107</v>
      </c>
    </row>
    <row r="33" spans="1:12" x14ac:dyDescent="0.25">
      <c r="A33" s="267"/>
      <c r="B33" s="251" t="s">
        <v>139</v>
      </c>
      <c r="C33" s="360">
        <f>'High and Diameter'!F29</f>
        <v>18.5</v>
      </c>
      <c r="D33" s="26">
        <f>'High and Diameter'!J29</f>
        <v>6.2133333333333338</v>
      </c>
      <c r="E33" s="260">
        <f>'High and Diameter'!K29</f>
        <v>1670.1596664401859</v>
      </c>
      <c r="F33" s="192">
        <f>'High and Diameter'!Q29</f>
        <v>18.559999999999999</v>
      </c>
      <c r="G33" s="26">
        <f>'High and Diameter'!U29</f>
        <v>6.1033333333333344</v>
      </c>
      <c r="H33" s="164">
        <f>'High and Diameter'!V29</f>
        <v>1651.250319727264</v>
      </c>
      <c r="I33" s="37">
        <f>'High and Diameter'!W29</f>
        <v>-0.3243243243243174</v>
      </c>
      <c r="J33" s="37">
        <f>'High and Diameter'!X29</f>
        <v>1.7703862660944112</v>
      </c>
      <c r="K33" s="37">
        <f>'High and Diameter'!Y29</f>
        <v>1.1321879633954803</v>
      </c>
      <c r="L33" s="92">
        <f t="shared" si="6"/>
        <v>7.5</v>
      </c>
    </row>
    <row r="34" spans="1:12" x14ac:dyDescent="0.25">
      <c r="A34" s="267"/>
      <c r="B34" s="251" t="s">
        <v>140</v>
      </c>
      <c r="C34" s="360">
        <f>'High and Diameter'!F30</f>
        <v>18.579999999999998</v>
      </c>
      <c r="D34" s="26">
        <f>'High and Diameter'!J30</f>
        <v>6.03</v>
      </c>
      <c r="E34" s="260">
        <f>'High and Diameter'!K30</f>
        <v>1634.9279290041134</v>
      </c>
      <c r="F34" s="192">
        <f>'High and Diameter'!Q30</f>
        <v>18.64</v>
      </c>
      <c r="G34" s="26">
        <f>'High and Diameter'!U30</f>
        <v>6.0666666666666673</v>
      </c>
      <c r="H34" s="164">
        <f>'High and Diameter'!V30</f>
        <v>1655.5100847932804</v>
      </c>
      <c r="I34" s="37">
        <f>'High and Diameter'!W30</f>
        <v>-0.32292787944027063</v>
      </c>
      <c r="J34" s="37">
        <f>'High and Diameter'!X30</f>
        <v>-0.60807075732449534</v>
      </c>
      <c r="K34" s="37">
        <f>'High and Diameter'!Y30</f>
        <v>-1.2589029414712039</v>
      </c>
      <c r="L34" s="92">
        <f t="shared" si="6"/>
        <v>7.1000000000000094</v>
      </c>
    </row>
    <row r="35" spans="1:12" ht="15.75" thickBot="1" x14ac:dyDescent="0.3">
      <c r="A35" s="269"/>
      <c r="B35" s="252" t="s">
        <v>141</v>
      </c>
      <c r="C35" s="365">
        <f>'High and Diameter'!F31</f>
        <v>19.11</v>
      </c>
      <c r="D35" s="288">
        <f>'High and Diameter'!J31</f>
        <v>5.9933333333333332</v>
      </c>
      <c r="E35" s="262">
        <f>'High and Diameter'!K31</f>
        <v>1719.0150863993617</v>
      </c>
      <c r="F35" s="366">
        <f>'High and Diameter'!Q31</f>
        <v>18.896666666666665</v>
      </c>
      <c r="G35" s="288">
        <f>'High and Diameter'!U31</f>
        <v>6.0033333333333339</v>
      </c>
      <c r="H35" s="248">
        <f>'High and Diameter'!V31</f>
        <v>1683.6536027865814</v>
      </c>
      <c r="I35" s="265">
        <f>'High and Diameter'!W31</f>
        <v>1.1163439734868379</v>
      </c>
      <c r="J35" s="265">
        <f>'High and Diameter'!X31</f>
        <v>-0.16685205784205798</v>
      </c>
      <c r="K35" s="265">
        <f>'High and Diameter'!Y31</f>
        <v>2.0570781427432565</v>
      </c>
      <c r="L35" s="92">
        <f t="shared" si="6"/>
        <v>4.4500000000000028</v>
      </c>
    </row>
    <row r="36" spans="1:12" x14ac:dyDescent="0.25">
      <c r="A36" s="266" t="s">
        <v>161</v>
      </c>
      <c r="B36" s="250"/>
      <c r="C36" s="364">
        <f t="shared" ref="C36:J36" si="7">AVERAGE(C29:C35)</f>
        <v>18.647142857142857</v>
      </c>
      <c r="D36" s="364">
        <f t="shared" si="7"/>
        <v>6.0790476190476195</v>
      </c>
      <c r="E36" s="370">
        <f t="shared" si="7"/>
        <v>1660.0586851992296</v>
      </c>
      <c r="F36" s="191">
        <f t="shared" si="7"/>
        <v>18.657142857142855</v>
      </c>
      <c r="G36" s="364">
        <f t="shared" si="7"/>
        <v>6.0714285714285712</v>
      </c>
      <c r="H36" s="263">
        <f t="shared" si="7"/>
        <v>1659.8182008111419</v>
      </c>
      <c r="I36" s="23">
        <f t="shared" si="7"/>
        <v>-5.8847526299567798E-2</v>
      </c>
      <c r="J36" s="23">
        <f t="shared" si="7"/>
        <v>0.11719584116153345</v>
      </c>
      <c r="K36" s="23">
        <f>AVERAGE(K29:K35)</f>
        <v>-8.121974936743699E-4</v>
      </c>
      <c r="L36" s="23">
        <f>AVERAGE(L29:L35)</f>
        <v>6.7642857142857151</v>
      </c>
    </row>
    <row r="37" spans="1:12" ht="15.75" thickBot="1" x14ac:dyDescent="0.3">
      <c r="A37" s="268" t="s">
        <v>162</v>
      </c>
      <c r="B37" s="363"/>
      <c r="C37" s="193">
        <f t="shared" ref="C37:J37" si="8">STDEV(C29:C35)</f>
        <v>0.21104175970320263</v>
      </c>
      <c r="D37" s="59">
        <f t="shared" si="8"/>
        <v>8.4145251086578221E-2</v>
      </c>
      <c r="E37" s="165">
        <f t="shared" si="8"/>
        <v>28.986621898132469</v>
      </c>
      <c r="F37" s="193">
        <f t="shared" si="8"/>
        <v>0.11248750665491275</v>
      </c>
      <c r="G37" s="59">
        <f t="shared" si="8"/>
        <v>5.0290163343346961E-2</v>
      </c>
      <c r="H37" s="165">
        <f t="shared" si="8"/>
        <v>15.260570856987222</v>
      </c>
      <c r="I37" s="61">
        <f t="shared" si="8"/>
        <v>0.55859702146595658</v>
      </c>
      <c r="J37" s="61">
        <f t="shared" si="8"/>
        <v>0.82220135755106405</v>
      </c>
      <c r="K37" s="61">
        <f>STDEV(K29:K35)</f>
        <v>1.1821818650355238</v>
      </c>
      <c r="L37" s="61">
        <f>STDEV(L29:L35)</f>
        <v>1.0552087985160175</v>
      </c>
    </row>
    <row r="38" spans="1:12" x14ac:dyDescent="0.25">
      <c r="A38" s="270" t="s">
        <v>174</v>
      </c>
      <c r="B38" s="250" t="s">
        <v>135</v>
      </c>
      <c r="C38" s="364">
        <f>'High and Diameter'!F32</f>
        <v>18.416666666666668</v>
      </c>
      <c r="D38" s="62">
        <f>'High and Diameter'!J32</f>
        <v>6.4733333333333336</v>
      </c>
      <c r="E38" s="259">
        <f>'High and Diameter'!K32</f>
        <v>1724.4075175573348</v>
      </c>
      <c r="F38" s="191">
        <f>'High and Diameter'!Q32</f>
        <v>18.45</v>
      </c>
      <c r="G38" s="62">
        <f>'High and Diameter'!U32</f>
        <v>6.53</v>
      </c>
      <c r="H38" s="163">
        <f>'High and Diameter'!V32</f>
        <v>1745.8052840028261</v>
      </c>
      <c r="I38" s="263">
        <f>'High and Diameter'!W32</f>
        <v>-0.18099547511311187</v>
      </c>
      <c r="J38" s="263">
        <f>'High and Diameter'!X32</f>
        <v>-0.87538619979402632</v>
      </c>
      <c r="K38" s="263">
        <f>'High and Diameter'!Y32</f>
        <v>-1.2408764301724746</v>
      </c>
      <c r="L38" s="92">
        <f t="shared" ref="L38:L44" si="9">(20-C38)/20*100</f>
        <v>7.9166666666666607</v>
      </c>
    </row>
    <row r="39" spans="1:12" x14ac:dyDescent="0.25">
      <c r="A39" s="271"/>
      <c r="B39" s="251" t="s">
        <v>136</v>
      </c>
      <c r="C39" s="360">
        <f>'High and Diameter'!F33</f>
        <v>18.543333333333333</v>
      </c>
      <c r="D39" s="26">
        <f>'High and Diameter'!J33</f>
        <v>6.3466666666666667</v>
      </c>
      <c r="E39" s="260">
        <f>'High and Diameter'!K33</f>
        <v>1714.0014347987046</v>
      </c>
      <c r="F39" s="192">
        <f>'High and Diameter'!Q33</f>
        <v>18.489999999999998</v>
      </c>
      <c r="G39" s="26">
        <f>'High and Diameter'!U33</f>
        <v>6.4833333333333334</v>
      </c>
      <c r="H39" s="164">
        <f>'High and Diameter'!V33</f>
        <v>1740.8528171298481</v>
      </c>
      <c r="I39" s="37">
        <f>'High and Diameter'!W33</f>
        <v>0.28761459644077603</v>
      </c>
      <c r="J39" s="37">
        <f>'High and Diameter'!X33</f>
        <v>-2.1533613445378159</v>
      </c>
      <c r="K39" s="37">
        <f>'High and Diameter'!Y33</f>
        <v>-1.5665904232044541</v>
      </c>
      <c r="L39" s="92">
        <f t="shared" si="9"/>
        <v>7.283333333333335</v>
      </c>
    </row>
    <row r="40" spans="1:12" x14ac:dyDescent="0.25">
      <c r="A40" s="271"/>
      <c r="B40" s="251" t="s">
        <v>137</v>
      </c>
      <c r="C40" s="360">
        <f>'High and Diameter'!F34</f>
        <v>18.48</v>
      </c>
      <c r="D40" s="26">
        <f>'High and Diameter'!J34</f>
        <v>6.2266666666666666</v>
      </c>
      <c r="E40" s="260">
        <f>'High and Diameter'!K34</f>
        <v>1670.1267509267566</v>
      </c>
      <c r="F40" s="192">
        <f>'High and Diameter'!Q34</f>
        <v>18.52</v>
      </c>
      <c r="G40" s="26">
        <f>'High and Diameter'!U34</f>
        <v>6.2766666666666664</v>
      </c>
      <c r="H40" s="164">
        <f>'High and Diameter'!V34</f>
        <v>1690.8337630327546</v>
      </c>
      <c r="I40" s="37">
        <f>'High and Diameter'!W34</f>
        <v>-0.21645021645021181</v>
      </c>
      <c r="J40" s="37">
        <f>'High and Diameter'!X34</f>
        <v>-0.80299785867237405</v>
      </c>
      <c r="K40" s="37">
        <f>'High and Diameter'!Y34</f>
        <v>-1.2398467418420598</v>
      </c>
      <c r="L40" s="92">
        <f t="shared" si="9"/>
        <v>7.5999999999999988</v>
      </c>
    </row>
    <row r="41" spans="1:12" x14ac:dyDescent="0.25">
      <c r="A41" s="271"/>
      <c r="B41" s="251" t="s">
        <v>138</v>
      </c>
      <c r="C41" s="360">
        <f>'High and Diameter'!F35</f>
        <v>18.556666666666668</v>
      </c>
      <c r="D41" s="26">
        <f>'High and Diameter'!J35</f>
        <v>6.2566666666666668</v>
      </c>
      <c r="E41" s="260">
        <f>'High and Diameter'!K35</f>
        <v>1692.1265215738345</v>
      </c>
      <c r="F41" s="192">
        <f>'High and Diameter'!Q35</f>
        <v>18.506666666666664</v>
      </c>
      <c r="G41" s="26">
        <f>'High and Diameter'!U35</f>
        <v>6.3666666666666671</v>
      </c>
      <c r="H41" s="164">
        <f>'High and Diameter'!V35</f>
        <v>1712.6096994793204</v>
      </c>
      <c r="I41" s="37">
        <f>'High and Diameter'!W35</f>
        <v>0.26944494341658487</v>
      </c>
      <c r="J41" s="37">
        <f>'High and Diameter'!X35</f>
        <v>-1.7581246670218482</v>
      </c>
      <c r="K41" s="37">
        <f>'High and Diameter'!Y35</f>
        <v>-1.2104991940221286</v>
      </c>
      <c r="L41" s="92">
        <f t="shared" si="9"/>
        <v>7.216666666666657</v>
      </c>
    </row>
    <row r="42" spans="1:12" x14ac:dyDescent="0.25">
      <c r="A42" s="271"/>
      <c r="B42" s="251" t="s">
        <v>139</v>
      </c>
      <c r="C42" s="360">
        <f>'High and Diameter'!F36</f>
        <v>18.573333333333334</v>
      </c>
      <c r="D42" s="26">
        <f>'High and Diameter'!J36</f>
        <v>6.1933333333333325</v>
      </c>
      <c r="E42" s="260">
        <f>'High and Diameter'!K36</f>
        <v>1678.0080592971844</v>
      </c>
      <c r="F42" s="192">
        <f>'High and Diameter'!Q36</f>
        <v>18.57</v>
      </c>
      <c r="G42" s="26">
        <f>'High and Diameter'!U36</f>
        <v>6.2533333333333339</v>
      </c>
      <c r="H42" s="164">
        <f>'High and Diameter'!V36</f>
        <v>1693.6562463181613</v>
      </c>
      <c r="I42" s="37">
        <f>'High and Diameter'!W36</f>
        <v>1.7946877243362459E-2</v>
      </c>
      <c r="J42" s="37">
        <f>'High and Diameter'!X36</f>
        <v>-0.96878363832079761</v>
      </c>
      <c r="K42" s="37">
        <f>'High and Diameter'!Y36</f>
        <v>-0.93254540312106093</v>
      </c>
      <c r="L42" s="92">
        <f t="shared" si="9"/>
        <v>7.1333333333333293</v>
      </c>
    </row>
    <row r="43" spans="1:12" x14ac:dyDescent="0.25">
      <c r="A43" s="271"/>
      <c r="B43" s="251" t="s">
        <v>140</v>
      </c>
      <c r="C43" s="360">
        <f>'High and Diameter'!F37</f>
        <v>18.58666666666667</v>
      </c>
      <c r="D43" s="26">
        <f>'High and Diameter'!J37</f>
        <v>6.2433333333333332</v>
      </c>
      <c r="E43" s="260">
        <f>'High and Diameter'!K37</f>
        <v>1693.9844709592519</v>
      </c>
      <c r="F43" s="192">
        <f>'High and Diameter'!Q37</f>
        <v>18.596666666666668</v>
      </c>
      <c r="G43" s="26">
        <f>'High and Diameter'!U37</f>
        <v>6.336666666666666</v>
      </c>
      <c r="H43" s="164">
        <f>'High and Diameter'!V37</f>
        <v>1721.1588603278635</v>
      </c>
      <c r="I43" s="37">
        <f>'High and Diameter'!W37</f>
        <v>-5.3802008608310664E-2</v>
      </c>
      <c r="J43" s="37">
        <f>'High and Diameter'!X37</f>
        <v>-1.4949279231179844</v>
      </c>
      <c r="K43" s="37">
        <f>'High and Diameter'!Y37</f>
        <v>-1.6041699221258858</v>
      </c>
      <c r="L43" s="92">
        <f t="shared" si="9"/>
        <v>7.0666666666666513</v>
      </c>
    </row>
    <row r="44" spans="1:12" ht="15.75" thickBot="1" x14ac:dyDescent="0.3">
      <c r="A44" s="272"/>
      <c r="B44" s="252" t="s">
        <v>141</v>
      </c>
      <c r="C44" s="365">
        <f>'High and Diameter'!F38</f>
        <v>18.726666666666667</v>
      </c>
      <c r="D44" s="288">
        <f>'High and Diameter'!J38</f>
        <v>6.1499999999999995</v>
      </c>
      <c r="E44" s="262">
        <f>'High and Diameter'!K38</f>
        <v>1693.8929380974723</v>
      </c>
      <c r="F44" s="366">
        <f>'High and Diameter'!Q38</f>
        <v>18.63</v>
      </c>
      <c r="G44" s="288">
        <f>'High and Diameter'!U38</f>
        <v>6.2633333333333328</v>
      </c>
      <c r="H44" s="248">
        <f>'High and Diameter'!V38</f>
        <v>1707.3443296580679</v>
      </c>
      <c r="I44" s="265">
        <f>'High and Diameter'!W38</f>
        <v>0.51619793520826396</v>
      </c>
      <c r="J44" s="265">
        <f>'High and Diameter'!X38</f>
        <v>-1.8428184281842812</v>
      </c>
      <c r="K44" s="265">
        <f>'High and Diameter'!Y38</f>
        <v>-0.79411108329572011</v>
      </c>
      <c r="L44" s="92">
        <f t="shared" si="9"/>
        <v>6.366666666666668</v>
      </c>
    </row>
    <row r="45" spans="1:12" x14ac:dyDescent="0.25">
      <c r="A45" s="270" t="s">
        <v>161</v>
      </c>
      <c r="B45" s="250"/>
      <c r="C45" s="364">
        <f t="shared" ref="C45:J45" si="10">AVERAGE(C38:C44)</f>
        <v>18.554761904761907</v>
      </c>
      <c r="D45" s="364">
        <f t="shared" si="10"/>
        <v>6.2700000000000005</v>
      </c>
      <c r="E45" s="370">
        <f t="shared" si="10"/>
        <v>1695.2210990300773</v>
      </c>
      <c r="F45" s="191">
        <f t="shared" si="10"/>
        <v>18.537619047619046</v>
      </c>
      <c r="G45" s="364">
        <f t="shared" si="10"/>
        <v>6.3585714285714294</v>
      </c>
      <c r="H45" s="263">
        <f t="shared" si="10"/>
        <v>1716.0372857069776</v>
      </c>
      <c r="I45" s="23">
        <f t="shared" si="10"/>
        <v>9.1422378876764715E-2</v>
      </c>
      <c r="J45" s="23">
        <f t="shared" si="10"/>
        <v>-1.4137714370927326</v>
      </c>
      <c r="K45" s="23">
        <f>AVERAGE(K38:K44)</f>
        <v>-1.226948456826255</v>
      </c>
      <c r="L45" s="23">
        <f>AVERAGE(L38:L44)</f>
        <v>7.2261904761904701</v>
      </c>
    </row>
    <row r="46" spans="1:12" ht="15.75" thickBot="1" x14ac:dyDescent="0.3">
      <c r="A46" s="273" t="s">
        <v>162</v>
      </c>
      <c r="B46" s="363"/>
      <c r="C46" s="193">
        <f t="shared" ref="C46:J46" si="11">STDEV(C38:C44)</f>
        <v>9.6356920273823879E-2</v>
      </c>
      <c r="D46" s="59">
        <f t="shared" si="11"/>
        <v>0.10821788720498647</v>
      </c>
      <c r="E46" s="165">
        <f t="shared" si="11"/>
        <v>18.900761676400528</v>
      </c>
      <c r="F46" s="193">
        <f t="shared" si="11"/>
        <v>6.3616742663311618E-2</v>
      </c>
      <c r="G46" s="59">
        <f t="shared" si="11"/>
        <v>0.10981224958414333</v>
      </c>
      <c r="H46" s="165">
        <f t="shared" si="11"/>
        <v>21.415022610574614</v>
      </c>
      <c r="I46" s="61">
        <f t="shared" si="11"/>
        <v>0.27267302982426495</v>
      </c>
      <c r="J46" s="61">
        <f t="shared" si="11"/>
        <v>0.53496997467761465</v>
      </c>
      <c r="K46" s="61">
        <f>STDEV(K38:K44)</f>
        <v>0.29785482526685297</v>
      </c>
      <c r="L46" s="61">
        <f>STDEV(L38:L44)</f>
        <v>0.48178460136911933</v>
      </c>
    </row>
    <row r="47" spans="1:12" ht="15.75" thickBot="1" x14ac:dyDescent="0.3">
      <c r="A47" s="160" t="str">
        <f>'High and Diameter'!A39</f>
        <v>Ref #6</v>
      </c>
      <c r="B47" s="161"/>
      <c r="C47" s="161" t="s">
        <v>4</v>
      </c>
      <c r="D47" s="161"/>
      <c r="E47" s="161"/>
      <c r="F47" s="161" t="s">
        <v>231</v>
      </c>
      <c r="G47" s="161"/>
      <c r="H47" s="161"/>
      <c r="I47" s="162"/>
      <c r="J47" s="162"/>
      <c r="K47" s="162"/>
      <c r="L47" s="92"/>
    </row>
    <row r="48" spans="1:12" ht="15.75" thickBot="1" x14ac:dyDescent="0.3">
      <c r="A48" s="242"/>
      <c r="B48" s="249" t="s">
        <v>6</v>
      </c>
      <c r="C48" s="246" t="s">
        <v>228</v>
      </c>
      <c r="D48" s="6" t="s">
        <v>229</v>
      </c>
      <c r="E48" s="258" t="str">
        <f>'High and Diameter'!K40</f>
        <v>Vol</v>
      </c>
      <c r="F48" s="10" t="s">
        <v>228</v>
      </c>
      <c r="G48" s="6" t="s">
        <v>229</v>
      </c>
      <c r="H48" s="200" t="str">
        <f>'High and Diameter'!V40</f>
        <v>Vol</v>
      </c>
      <c r="I48" s="162" t="str">
        <f>'High and Diameter'!W40</f>
        <v>Shrinkage D [%]</v>
      </c>
      <c r="J48" s="162" t="str">
        <f>'High and Diameter'!X40</f>
        <v>Shrinkage h [%]</v>
      </c>
      <c r="K48" s="162" t="str">
        <f>'High and Diameter'!Y40</f>
        <v>Shrinkage [%]</v>
      </c>
      <c r="L48" t="s">
        <v>313</v>
      </c>
    </row>
    <row r="49" spans="1:12" x14ac:dyDescent="0.25">
      <c r="A49" s="266" t="s">
        <v>168</v>
      </c>
      <c r="B49" s="250" t="s">
        <v>135</v>
      </c>
      <c r="C49" s="364">
        <f>'High and Diameter'!F41</f>
        <v>18.526666666666667</v>
      </c>
      <c r="D49" s="62">
        <f>'High and Diameter'!J41</f>
        <v>6.206666666666667</v>
      </c>
      <c r="E49" s="259">
        <f>'High and Diameter'!K41</f>
        <v>1673.1808246267817</v>
      </c>
      <c r="F49" s="191">
        <f>'High and Diameter'!Q41</f>
        <v>18.533333333333331</v>
      </c>
      <c r="G49" s="62">
        <f>'High and Diameter'!U41</f>
        <v>6.19</v>
      </c>
      <c r="H49" s="163">
        <f>'High and Diameter'!V41</f>
        <v>1669.8890007797863</v>
      </c>
      <c r="I49" s="263">
        <f>'High and Diameter'!W41</f>
        <v>-3.5984166966521167E-2</v>
      </c>
      <c r="J49" s="263">
        <f>'High and Diameter'!X41</f>
        <v>0.26852846401718489</v>
      </c>
      <c r="K49" s="263">
        <f>'High and Diameter'!Y41</f>
        <v>0.19674047171378842</v>
      </c>
      <c r="L49" s="92">
        <f t="shared" ref="L49:L55" si="12">(20-C49)/20*100</f>
        <v>7.3666666666666627</v>
      </c>
    </row>
    <row r="50" spans="1:12" x14ac:dyDescent="0.25">
      <c r="A50" s="267"/>
      <c r="B50" s="251" t="s">
        <v>136</v>
      </c>
      <c r="C50" s="360">
        <f>'High and Diameter'!F42</f>
        <v>18.543333333333333</v>
      </c>
      <c r="D50" s="26">
        <f>'High and Diameter'!J42</f>
        <v>6.1933333333333325</v>
      </c>
      <c r="E50" s="260">
        <f>'High and Diameter'!K42</f>
        <v>1672.5917362689038</v>
      </c>
      <c r="F50" s="192">
        <f>'High and Diameter'!Q42</f>
        <v>18.436666666666667</v>
      </c>
      <c r="G50" s="26">
        <f>'High and Diameter'!U42</f>
        <v>6.2033333333333331</v>
      </c>
      <c r="H50" s="164">
        <f>'High and Diameter'!V42</f>
        <v>1656.074260757747</v>
      </c>
      <c r="I50" s="37">
        <f>'High and Diameter'!W42</f>
        <v>0.57522919288153285</v>
      </c>
      <c r="J50" s="37">
        <f>'High and Diameter'!X42</f>
        <v>-0.16146393972014009</v>
      </c>
      <c r="K50" s="37">
        <f>'High and Diameter'!Y42</f>
        <v>0.98753779257589791</v>
      </c>
      <c r="L50" s="92">
        <f t="shared" si="12"/>
        <v>7.283333333333335</v>
      </c>
    </row>
    <row r="51" spans="1:12" x14ac:dyDescent="0.25">
      <c r="A51" s="267"/>
      <c r="B51" s="251" t="s">
        <v>137</v>
      </c>
      <c r="C51" s="360">
        <f>'High and Diameter'!F43</f>
        <v>18.393333333333334</v>
      </c>
      <c r="D51" s="26">
        <f>'High and Diameter'!J43</f>
        <v>6.4033333333333333</v>
      </c>
      <c r="E51" s="260">
        <f>'High and Diameter'!K43</f>
        <v>1701.4409234873553</v>
      </c>
      <c r="F51" s="192">
        <f>'High and Diameter'!Q43</f>
        <v>18.283333333333335</v>
      </c>
      <c r="G51" s="26">
        <f>'High and Diameter'!U43</f>
        <v>6.3033333333333319</v>
      </c>
      <c r="H51" s="164">
        <f>'High and Diameter'!V43</f>
        <v>1654.8967759486852</v>
      </c>
      <c r="I51" s="37">
        <f>'High and Diameter'!W43</f>
        <v>0.59804276911924292</v>
      </c>
      <c r="J51" s="37">
        <f>'High and Diameter'!X43</f>
        <v>1.5616866215512974</v>
      </c>
      <c r="K51" s="37">
        <f>'High and Diameter'!Y43</f>
        <v>2.7355723549467119</v>
      </c>
      <c r="L51" s="92">
        <f t="shared" si="12"/>
        <v>8.0333333333333279</v>
      </c>
    </row>
    <row r="52" spans="1:12" x14ac:dyDescent="0.25">
      <c r="A52" s="267"/>
      <c r="B52" s="251" t="s">
        <v>138</v>
      </c>
      <c r="C52" s="360">
        <f>'High and Diameter'!F44</f>
        <v>18.486666666666665</v>
      </c>
      <c r="D52" s="26">
        <f>'High and Diameter'!J44</f>
        <v>6.2899999999999991</v>
      </c>
      <c r="E52" s="260">
        <f>'High and Diameter'!K44</f>
        <v>1688.3315951380446</v>
      </c>
      <c r="F52" s="192">
        <f>'High and Diameter'!Q44</f>
        <v>18.456666666666667</v>
      </c>
      <c r="G52" s="26">
        <f>'High and Diameter'!U44</f>
        <v>6.21</v>
      </c>
      <c r="H52" s="164">
        <f>'High and Diameter'!V44</f>
        <v>1661.4528426699271</v>
      </c>
      <c r="I52" s="37">
        <f>'High and Diameter'!W44</f>
        <v>0.16227912008653581</v>
      </c>
      <c r="J52" s="37">
        <f>'High and Diameter'!X44</f>
        <v>1.2718600953894943</v>
      </c>
      <c r="K52" s="37">
        <f>'High and Diameter'!Y44</f>
        <v>1.592030413072957</v>
      </c>
      <c r="L52" s="92">
        <f t="shared" si="12"/>
        <v>7.5666666666666771</v>
      </c>
    </row>
    <row r="53" spans="1:12" x14ac:dyDescent="0.25">
      <c r="A53" s="267"/>
      <c r="B53" s="251" t="s">
        <v>139</v>
      </c>
      <c r="C53" s="360">
        <f>'High and Diameter'!F45</f>
        <v>18.536666666666665</v>
      </c>
      <c r="D53" s="26">
        <f>'High and Diameter'!J45</f>
        <v>6.28</v>
      </c>
      <c r="E53" s="260">
        <f>'High and Diameter'!K45</f>
        <v>1694.7779533713883</v>
      </c>
      <c r="F53" s="192">
        <f>'High and Diameter'!Q45</f>
        <v>18.253333333333334</v>
      </c>
      <c r="G53" s="26">
        <f>'High and Diameter'!U45</f>
        <v>6.22</v>
      </c>
      <c r="H53" s="164">
        <f>'High and Diameter'!V45</f>
        <v>1627.6635408844795</v>
      </c>
      <c r="I53" s="37">
        <f>'High and Diameter'!W45</f>
        <v>1.5285020679733761</v>
      </c>
      <c r="J53" s="37">
        <f>'High and Diameter'!X45</f>
        <v>0.9554140127388614</v>
      </c>
      <c r="K53" s="37">
        <f>'High and Diameter'!Y45</f>
        <v>3.9600711322329527</v>
      </c>
      <c r="L53" s="92">
        <f t="shared" si="12"/>
        <v>7.3166666666666744</v>
      </c>
    </row>
    <row r="54" spans="1:12" x14ac:dyDescent="0.25">
      <c r="A54" s="267"/>
      <c r="B54" s="251" t="s">
        <v>140</v>
      </c>
      <c r="C54" s="360">
        <f>'High and Diameter'!F46</f>
        <v>18.423333333333332</v>
      </c>
      <c r="D54" s="26">
        <f>'High and Diameter'!J46</f>
        <v>6.1566666666666663</v>
      </c>
      <c r="E54" s="260">
        <f>'High and Diameter'!K46</f>
        <v>1641.239428758659</v>
      </c>
      <c r="F54" s="192">
        <f>'High and Diameter'!Q46</f>
        <v>18.32</v>
      </c>
      <c r="G54" s="26">
        <f>'High and Diameter'!U46</f>
        <v>6.0466666666666669</v>
      </c>
      <c r="H54" s="164">
        <f>'High and Diameter'!V46</f>
        <v>1593.8845027694979</v>
      </c>
      <c r="I54" s="37">
        <f>'High and Diameter'!W46</f>
        <v>0.56088293830286806</v>
      </c>
      <c r="J54" s="37">
        <f>'High and Diameter'!X46</f>
        <v>1.7866811044937647</v>
      </c>
      <c r="K54" s="37">
        <f>'High and Diameter'!Y46</f>
        <v>2.8853149125827224</v>
      </c>
      <c r="L54" s="92">
        <f t="shared" si="12"/>
        <v>7.8833333333333391</v>
      </c>
    </row>
    <row r="55" spans="1:12" ht="15.75" thickBot="1" x14ac:dyDescent="0.3">
      <c r="A55" s="269"/>
      <c r="B55" s="252" t="s">
        <v>141</v>
      </c>
      <c r="C55" s="365">
        <f>'High and Diameter'!F47</f>
        <v>18.506666666666671</v>
      </c>
      <c r="D55" s="288">
        <f>'High and Diameter'!J47</f>
        <v>6.22</v>
      </c>
      <c r="E55" s="262">
        <f>'High and Diameter'!K47</f>
        <v>1673.1569105907924</v>
      </c>
      <c r="F55" s="366">
        <f>'High and Diameter'!Q47</f>
        <v>18.283333333333331</v>
      </c>
      <c r="G55" s="288">
        <f>'High and Diameter'!U47</f>
        <v>6.2066666666666661</v>
      </c>
      <c r="H55" s="248">
        <f>'High and Diameter'!V47</f>
        <v>1629.5176080467747</v>
      </c>
      <c r="I55" s="265">
        <f>'High and Diameter'!W47</f>
        <v>1.2067723342939829</v>
      </c>
      <c r="J55" s="265">
        <f>'High and Diameter'!X47</f>
        <v>0.21436227224009069</v>
      </c>
      <c r="K55" s="265">
        <f>'High and Diameter'!Y47</f>
        <v>2.6082014345330378</v>
      </c>
      <c r="L55" s="92">
        <f t="shared" si="12"/>
        <v>7.4666666666666437</v>
      </c>
    </row>
    <row r="56" spans="1:12" x14ac:dyDescent="0.25">
      <c r="A56" s="266" t="s">
        <v>161</v>
      </c>
      <c r="B56" s="250"/>
      <c r="C56" s="364">
        <f t="shared" ref="C56:J56" si="13">AVERAGE(C49:C55)</f>
        <v>18.488095238095237</v>
      </c>
      <c r="D56" s="364">
        <f t="shared" si="13"/>
        <v>6.25</v>
      </c>
      <c r="E56" s="370">
        <f t="shared" si="13"/>
        <v>1677.8170531774178</v>
      </c>
      <c r="F56" s="191">
        <f t="shared" si="13"/>
        <v>18.366666666666667</v>
      </c>
      <c r="G56" s="364">
        <f t="shared" si="13"/>
        <v>6.1971428571428566</v>
      </c>
      <c r="H56" s="263">
        <f t="shared" si="13"/>
        <v>1641.9112188366998</v>
      </c>
      <c r="I56" s="23">
        <f t="shared" si="13"/>
        <v>0.6565320365272882</v>
      </c>
      <c r="J56" s="23">
        <f t="shared" si="13"/>
        <v>0.84243837581579328</v>
      </c>
      <c r="K56" s="23">
        <f>AVERAGE(K49:K55)</f>
        <v>2.1379240730940099</v>
      </c>
      <c r="L56" s="23">
        <f>AVERAGE(L49:L55)</f>
        <v>7.5595238095238084</v>
      </c>
    </row>
    <row r="57" spans="1:12" ht="15.75" thickBot="1" x14ac:dyDescent="0.3">
      <c r="A57" s="268" t="s">
        <v>162</v>
      </c>
      <c r="B57" s="363"/>
      <c r="C57" s="193">
        <f t="shared" ref="C57:J57" si="14">STDEV(C49:C55)</f>
        <v>5.8336734594718331E-2</v>
      </c>
      <c r="D57" s="59">
        <f t="shared" si="14"/>
        <v>8.2372235523780715E-2</v>
      </c>
      <c r="E57" s="165">
        <f t="shared" si="14"/>
        <v>19.852594563717012</v>
      </c>
      <c r="F57" s="193">
        <f t="shared" si="14"/>
        <v>0.1077720502487297</v>
      </c>
      <c r="G57" s="59">
        <f t="shared" si="14"/>
        <v>7.6143834930239324E-2</v>
      </c>
      <c r="H57" s="165">
        <f t="shared" si="14"/>
        <v>26.448097493336494</v>
      </c>
      <c r="I57" s="61">
        <f t="shared" si="14"/>
        <v>0.54865603300490884</v>
      </c>
      <c r="J57" s="61">
        <f t="shared" si="14"/>
        <v>0.74584972965030083</v>
      </c>
      <c r="K57" s="61">
        <f>STDEV(K49:K55)</f>
        <v>1.2810633274931444</v>
      </c>
      <c r="L57" s="61">
        <f>STDEV(L49:L55)</f>
        <v>0.29168367297359143</v>
      </c>
    </row>
    <row r="58" spans="1:12" x14ac:dyDescent="0.25">
      <c r="A58" s="270" t="s">
        <v>174</v>
      </c>
      <c r="B58" s="250" t="s">
        <v>135</v>
      </c>
      <c r="C58" s="364">
        <f>'High and Diameter'!F48</f>
        <v>18.5</v>
      </c>
      <c r="D58" s="62">
        <f>'High and Diameter'!J48</f>
        <v>6.16</v>
      </c>
      <c r="E58" s="259">
        <f>'High and Diameter'!K48</f>
        <v>1655.8235319643045</v>
      </c>
      <c r="F58" s="191">
        <f>'High and Diameter'!Q48</f>
        <v>18.353333333333335</v>
      </c>
      <c r="G58" s="62">
        <f>'High and Diameter'!U48</f>
        <v>6.2866666666666662</v>
      </c>
      <c r="H58" s="163">
        <f>'High and Diameter'!V48</f>
        <v>1663.1836987500108</v>
      </c>
      <c r="I58" s="263">
        <f>'High and Diameter'!W48</f>
        <v>0.79279279279278225</v>
      </c>
      <c r="J58" s="263">
        <f>'High and Diameter'!X48</f>
        <v>-2.0562770562770458</v>
      </c>
      <c r="K58" s="263">
        <f>'High and Diameter'!Y48</f>
        <v>-0.44450188342080743</v>
      </c>
      <c r="L58" s="92">
        <f t="shared" ref="L58:L64" si="15">(20-C58)/20*100</f>
        <v>7.5</v>
      </c>
    </row>
    <row r="59" spans="1:12" x14ac:dyDescent="0.25">
      <c r="A59" s="271"/>
      <c r="B59" s="251" t="s">
        <v>136</v>
      </c>
      <c r="C59" s="360">
        <f>'High and Diameter'!F49</f>
        <v>18.34</v>
      </c>
      <c r="D59" s="26">
        <f>'High and Diameter'!J49</f>
        <v>6.21</v>
      </c>
      <c r="E59" s="260">
        <f>'High and Diameter'!K49</f>
        <v>1640.5147677332543</v>
      </c>
      <c r="F59" s="192">
        <f>'High and Diameter'!Q49</f>
        <v>18.253333333333334</v>
      </c>
      <c r="G59" s="26">
        <f>'High and Diameter'!U49</f>
        <v>6.2600000000000007</v>
      </c>
      <c r="H59" s="164">
        <f>'High and Diameter'!V49</f>
        <v>1638.1308305364701</v>
      </c>
      <c r="I59" s="37">
        <f>'High and Diameter'!W49</f>
        <v>0.47255543438749187</v>
      </c>
      <c r="J59" s="37">
        <f>'High and Diameter'!X49</f>
        <v>-0.80515297906603389</v>
      </c>
      <c r="K59" s="37">
        <f>'High and Diameter'!Y49</f>
        <v>0.14531641187712066</v>
      </c>
      <c r="L59" s="92">
        <f t="shared" si="15"/>
        <v>8.3000000000000007</v>
      </c>
    </row>
    <row r="60" spans="1:12" x14ac:dyDescent="0.25">
      <c r="A60" s="271"/>
      <c r="B60" s="251" t="s">
        <v>137</v>
      </c>
      <c r="C60" s="360">
        <f>'High and Diameter'!F50</f>
        <v>18.436666666666667</v>
      </c>
      <c r="D60" s="26">
        <f>'High and Diameter'!J50</f>
        <v>6.2533333333333339</v>
      </c>
      <c r="E60" s="260">
        <f>'High and Diameter'!K50</f>
        <v>1669.4225218600395</v>
      </c>
      <c r="F60" s="192">
        <f>'High and Diameter'!Q50</f>
        <v>18.32</v>
      </c>
      <c r="G60" s="26">
        <f>'High and Diameter'!U50</f>
        <v>6.3866666666666667</v>
      </c>
      <c r="H60" s="164">
        <f>'High and Diameter'!V50</f>
        <v>1683.5075563982127</v>
      </c>
      <c r="I60" s="37">
        <f>'High and Diameter'!W50</f>
        <v>0.63279696257458218</v>
      </c>
      <c r="J60" s="37">
        <f>'High and Diameter'!X50</f>
        <v>-2.1321961620469008</v>
      </c>
      <c r="K60" s="37">
        <f>'High and Diameter'!Y50</f>
        <v>-0.84370699171351304</v>
      </c>
      <c r="L60" s="92">
        <f t="shared" si="15"/>
        <v>7.8166666666666638</v>
      </c>
    </row>
    <row r="61" spans="1:12" x14ac:dyDescent="0.25">
      <c r="A61" s="271"/>
      <c r="B61" s="251" t="s">
        <v>138</v>
      </c>
      <c r="C61" s="360">
        <f>'High and Diameter'!F51</f>
        <v>18.996666666666666</v>
      </c>
      <c r="D61" s="26">
        <f>'High and Diameter'!J51</f>
        <v>5.8433333333333337</v>
      </c>
      <c r="E61" s="260">
        <f>'High and Diameter'!K51</f>
        <v>1656.1716539697325</v>
      </c>
      <c r="F61" s="192">
        <f>'High and Diameter'!Q51</f>
        <v>18.833333333333332</v>
      </c>
      <c r="G61" s="26">
        <f>'High and Diameter'!U51</f>
        <v>5.94</v>
      </c>
      <c r="H61" s="164">
        <f>'High and Diameter'!V51</f>
        <v>1654.7436094896327</v>
      </c>
      <c r="I61" s="37">
        <f>'High and Diameter'!W51</f>
        <v>0.85979996490612742</v>
      </c>
      <c r="J61" s="37">
        <f>'High and Diameter'!X51</f>
        <v>-1.654306902452938</v>
      </c>
      <c r="K61" s="37">
        <f>'High and Diameter'!Y51</f>
        <v>8.6225632269264843E-2</v>
      </c>
      <c r="L61" s="92">
        <f t="shared" si="15"/>
        <v>5.0166666666666693</v>
      </c>
    </row>
    <row r="62" spans="1:12" x14ac:dyDescent="0.25">
      <c r="A62" s="271"/>
      <c r="B62" s="251" t="s">
        <v>139</v>
      </c>
      <c r="C62" s="360">
        <f>'High and Diameter'!F52</f>
        <v>18.58666666666667</v>
      </c>
      <c r="D62" s="26">
        <f>'High and Diameter'!J52</f>
        <v>6.09</v>
      </c>
      <c r="E62" s="260">
        <f>'High and Diameter'!K52</f>
        <v>1652.3810082448229</v>
      </c>
      <c r="F62" s="192">
        <f>'High and Diameter'!Q52</f>
        <v>18.38</v>
      </c>
      <c r="G62" s="26">
        <f>'High and Diameter'!U52</f>
        <v>6.2399999999999993</v>
      </c>
      <c r="H62" s="164">
        <f>'High and Diameter'!V52</f>
        <v>1655.6383790596719</v>
      </c>
      <c r="I62" s="37">
        <f>'High and Diameter'!W52</f>
        <v>1.1119081779053293</v>
      </c>
      <c r="J62" s="37">
        <f>'High and Diameter'!X52</f>
        <v>-2.4630541871921094</v>
      </c>
      <c r="K62" s="37">
        <f>'High and Diameter'!Y52</f>
        <v>-0.1971319446662666</v>
      </c>
      <c r="L62" s="92">
        <f t="shared" si="15"/>
        <v>7.0666666666666513</v>
      </c>
    </row>
    <row r="63" spans="1:12" x14ac:dyDescent="0.25">
      <c r="A63" s="271"/>
      <c r="B63" s="251" t="s">
        <v>140</v>
      </c>
      <c r="C63" s="360">
        <f>'High and Diameter'!F53</f>
        <v>18.553333333333331</v>
      </c>
      <c r="D63" s="26">
        <f>'High and Diameter'!J53</f>
        <v>6.3533333333333326</v>
      </c>
      <c r="E63" s="260">
        <f>'High and Diameter'!K53</f>
        <v>1717.6529416830037</v>
      </c>
      <c r="F63" s="192">
        <f>'High and Diameter'!Q53</f>
        <v>18.446666666666669</v>
      </c>
      <c r="G63" s="26">
        <f>'High and Diameter'!U53</f>
        <v>6.2766666666666673</v>
      </c>
      <c r="H63" s="164">
        <f>'High and Diameter'!V53</f>
        <v>1677.469941592961</v>
      </c>
      <c r="I63" s="37">
        <f>'High and Diameter'!W53</f>
        <v>0.57491915199422583</v>
      </c>
      <c r="J63" s="37">
        <f>'High and Diameter'!X53</f>
        <v>1.2067156348373349</v>
      </c>
      <c r="K63" s="37">
        <f>'High and Diameter'!Y53</f>
        <v>2.3394132257399032</v>
      </c>
      <c r="L63" s="92">
        <f t="shared" si="15"/>
        <v>7.2333333333333441</v>
      </c>
    </row>
    <row r="64" spans="1:12" ht="15.75" thickBot="1" x14ac:dyDescent="0.3">
      <c r="A64" s="272"/>
      <c r="B64" s="252" t="s">
        <v>141</v>
      </c>
      <c r="C64" s="365">
        <f>'High and Diameter'!F54</f>
        <v>18.486666666666668</v>
      </c>
      <c r="D64" s="288">
        <f>'High and Diameter'!J54</f>
        <v>6.0333333333333323</v>
      </c>
      <c r="E64" s="262">
        <f>'High and Diameter'!K54</f>
        <v>1619.4383609962169</v>
      </c>
      <c r="F64" s="366">
        <f>'High and Diameter'!Q54</f>
        <v>18.343333333333334</v>
      </c>
      <c r="G64" s="288">
        <f>'High and Diameter'!U54</f>
        <v>6.1366666666666667</v>
      </c>
      <c r="H64" s="248">
        <f>'High and Diameter'!V54</f>
        <v>1621.7314213714001</v>
      </c>
      <c r="I64" s="265">
        <f>'High and Diameter'!W54</f>
        <v>0.77533357374685041</v>
      </c>
      <c r="J64" s="265">
        <f>'High and Diameter'!X54</f>
        <v>-1.7127071823204598</v>
      </c>
      <c r="K64" s="265">
        <f>'High and Diameter'!Y54</f>
        <v>-0.14159602677143746</v>
      </c>
      <c r="L64" s="92">
        <f t="shared" si="15"/>
        <v>7.5666666666666593</v>
      </c>
    </row>
    <row r="65" spans="1:27" x14ac:dyDescent="0.25">
      <c r="A65" s="270" t="s">
        <v>161</v>
      </c>
      <c r="B65" s="250"/>
      <c r="C65" s="364">
        <f t="shared" ref="C65:J65" si="16">AVERAGE(C58:C64)</f>
        <v>18.557142857142857</v>
      </c>
      <c r="D65" s="364">
        <f t="shared" si="16"/>
        <v>6.1347619047619046</v>
      </c>
      <c r="E65" s="370">
        <f t="shared" si="16"/>
        <v>1658.7721123501963</v>
      </c>
      <c r="F65" s="191">
        <f t="shared" si="16"/>
        <v>18.418571428571429</v>
      </c>
      <c r="G65" s="364">
        <f t="shared" si="16"/>
        <v>6.2180952380952386</v>
      </c>
      <c r="H65" s="263">
        <f t="shared" si="16"/>
        <v>1656.3436338854801</v>
      </c>
      <c r="I65" s="23">
        <f t="shared" si="16"/>
        <v>0.74572943690105564</v>
      </c>
      <c r="J65" s="23">
        <f t="shared" si="16"/>
        <v>-1.3738541192168792</v>
      </c>
      <c r="K65" s="23">
        <f>AVERAGE(K58:K64)</f>
        <v>0.1348597747591806</v>
      </c>
      <c r="L65" s="23">
        <f>AVERAGE(L58:L64)</f>
        <v>7.2142857142857126</v>
      </c>
    </row>
    <row r="66" spans="1:27" ht="15.75" thickBot="1" x14ac:dyDescent="0.3">
      <c r="A66" s="273" t="s">
        <v>162</v>
      </c>
      <c r="B66" s="363"/>
      <c r="C66" s="193">
        <f t="shared" ref="C66:J66" si="17">STDEV(C58:C64)</f>
        <v>0.2097478960423198</v>
      </c>
      <c r="D66" s="59">
        <f t="shared" si="17"/>
        <v>0.16600822316599298</v>
      </c>
      <c r="E66" s="165">
        <f t="shared" si="17"/>
        <v>30.32369984970865</v>
      </c>
      <c r="F66" s="193">
        <f t="shared" si="17"/>
        <v>0.19202485509314871</v>
      </c>
      <c r="G66" s="59">
        <f t="shared" si="17"/>
        <v>0.14303401748790434</v>
      </c>
      <c r="H66" s="165">
        <f t="shared" si="17"/>
        <v>21.462195345793806</v>
      </c>
      <c r="I66" s="61">
        <f t="shared" si="17"/>
        <v>0.21084917711709567</v>
      </c>
      <c r="J66" s="61">
        <f t="shared" si="17"/>
        <v>1.251890364700154</v>
      </c>
      <c r="K66" s="61">
        <f>STDEV(K58:K64)</f>
        <v>1.0281398817514609</v>
      </c>
      <c r="L66" s="61">
        <f>STDEV(L58:L64)</f>
        <v>1.0487394802116012</v>
      </c>
    </row>
    <row r="69" spans="1:27" ht="15.75" thickBot="1" x14ac:dyDescent="0.3"/>
    <row r="70" spans="1:27" ht="15.75" thickBot="1" x14ac:dyDescent="0.3">
      <c r="A70" s="160" t="str">
        <f>'High and Diameter'!A58</f>
        <v>SSA-Av-Raw #1</v>
      </c>
      <c r="B70" s="161"/>
      <c r="C70" s="161" t="s">
        <v>4</v>
      </c>
      <c r="D70" s="161"/>
      <c r="E70" s="161"/>
      <c r="F70" s="161" t="s">
        <v>227</v>
      </c>
      <c r="G70" s="161"/>
      <c r="H70" s="161"/>
      <c r="I70" s="162"/>
      <c r="J70" s="162"/>
      <c r="K70" s="162"/>
      <c r="O70" s="10" t="str">
        <f>'High and Diameter'!AA58</f>
        <v>SSA-Av-ED #1</v>
      </c>
      <c r="P70" s="256"/>
      <c r="Q70" s="6" t="s">
        <v>4</v>
      </c>
      <c r="R70" s="6"/>
      <c r="S70" s="6"/>
      <c r="T70" s="161" t="s">
        <v>227</v>
      </c>
      <c r="U70" s="6"/>
      <c r="V70" s="6"/>
      <c r="W70" s="200"/>
      <c r="X70" s="200"/>
      <c r="Y70" s="200"/>
    </row>
    <row r="71" spans="1:27" ht="15.75" thickBot="1" x14ac:dyDescent="0.3">
      <c r="A71" s="242"/>
      <c r="B71" s="249" t="s">
        <v>6</v>
      </c>
      <c r="C71" s="246" t="s">
        <v>228</v>
      </c>
      <c r="D71" s="6" t="s">
        <v>229</v>
      </c>
      <c r="E71" s="258" t="str">
        <f>'High and Diameter'!K59</f>
        <v>Vol</v>
      </c>
      <c r="F71" s="10" t="s">
        <v>228</v>
      </c>
      <c r="G71" s="6" t="s">
        <v>229</v>
      </c>
      <c r="H71" s="200" t="str">
        <f>'High and Diameter'!V59</f>
        <v>Vol</v>
      </c>
      <c r="I71" s="162" t="str">
        <f>'High and Diameter'!W59</f>
        <v>Shrinkage D [%]</v>
      </c>
      <c r="J71" s="162" t="str">
        <f>'High and Diameter'!X59</f>
        <v>Shrinkage h [%]</v>
      </c>
      <c r="K71" s="162" t="str">
        <f>'High and Diameter'!Y59</f>
        <v>Shrinkage [%]</v>
      </c>
      <c r="L71" t="s">
        <v>313</v>
      </c>
      <c r="O71" s="242"/>
      <c r="P71" s="249" t="s">
        <v>6</v>
      </c>
      <c r="Q71" s="10" t="s">
        <v>228</v>
      </c>
      <c r="R71" s="6" t="s">
        <v>229</v>
      </c>
      <c r="S71" s="258" t="str">
        <f>'High and Diameter'!AK59</f>
        <v>vol</v>
      </c>
      <c r="T71" s="10" t="s">
        <v>228</v>
      </c>
      <c r="U71" s="6" t="s">
        <v>229</v>
      </c>
      <c r="V71" s="200" t="str">
        <f>'High and Diameter'!AV59</f>
        <v>Vol</v>
      </c>
      <c r="W71" s="162" t="str">
        <f>'High and Diameter'!AW59</f>
        <v>Shrinkage D [%]</v>
      </c>
      <c r="X71" s="162" t="str">
        <f>'High and Diameter'!AX59</f>
        <v>Shrinkage h [%]</v>
      </c>
      <c r="Y71" s="162" t="str">
        <f>'High and Diameter'!AY59</f>
        <v>Shrinkage [%]</v>
      </c>
      <c r="Z71" t="s">
        <v>313</v>
      </c>
    </row>
    <row r="72" spans="1:27" x14ac:dyDescent="0.25">
      <c r="A72" s="266" t="s">
        <v>169</v>
      </c>
      <c r="B72" s="250" t="s">
        <v>135</v>
      </c>
      <c r="C72" s="364">
        <f>'High and Diameter'!F60</f>
        <v>19.093333333333334</v>
      </c>
      <c r="D72" s="62">
        <f>'High and Diameter'!J60</f>
        <v>6.5100000000000007</v>
      </c>
      <c r="E72" s="259">
        <f>'High and Diameter'!K60</f>
        <v>1863.9505183032759</v>
      </c>
      <c r="F72" s="191">
        <f>'High and Diameter'!Q60</f>
        <v>18.88</v>
      </c>
      <c r="G72" s="62">
        <f>'High and Diameter'!U60</f>
        <v>6.503333333333333</v>
      </c>
      <c r="H72" s="163">
        <f>'High and Diameter'!V60</f>
        <v>1820.6642975540888</v>
      </c>
      <c r="I72" s="263">
        <f>'High and Diameter'!W60</f>
        <v>1.1173184357541972</v>
      </c>
      <c r="J72" s="263">
        <f>'High and Diameter'!X60</f>
        <v>0.10240655401947325</v>
      </c>
      <c r="K72" s="263">
        <f>'High and Diameter'!Y60</f>
        <v>2.3222837904833371</v>
      </c>
      <c r="L72" s="92">
        <f t="shared" ref="L72:L77" si="18">(20-C72)/20*100</f>
        <v>4.5333333333333314</v>
      </c>
      <c r="O72" s="266" t="s">
        <v>170</v>
      </c>
      <c r="P72" s="257" t="s">
        <v>135</v>
      </c>
      <c r="Q72" s="191">
        <f>'High and Diameter'!AF60</f>
        <v>19.059999999999999</v>
      </c>
      <c r="R72" s="62">
        <f>'High and Diameter'!AJ60</f>
        <v>6.6733333333333329</v>
      </c>
      <c r="S72" s="259">
        <f>'High and Diameter'!AK60</f>
        <v>1904.050630030971</v>
      </c>
      <c r="T72" s="191">
        <f>'High and Diameter'!AQ60</f>
        <v>18.66333333333333</v>
      </c>
      <c r="U72" s="62">
        <f>'High and Diameter'!AU60</f>
        <v>6.543333333333333</v>
      </c>
      <c r="V72" s="163">
        <f>'High and Diameter'!AV60</f>
        <v>1790.0590260448153</v>
      </c>
      <c r="W72" s="263">
        <f>'High and Diameter'!AW60</f>
        <v>2.0811472542847236</v>
      </c>
      <c r="X72" s="263">
        <f>'High and Diameter'!AX60</f>
        <v>1.9480519480519467</v>
      </c>
      <c r="Y72" s="263">
        <f>'High and Diameter'!AY60</f>
        <v>5.9867947935975607</v>
      </c>
      <c r="Z72" s="92">
        <f t="shared" ref="Z72:Z78" si="19">(20-Q72)/20*100</f>
        <v>4.7000000000000064</v>
      </c>
    </row>
    <row r="73" spans="1:27" x14ac:dyDescent="0.25">
      <c r="A73" s="267"/>
      <c r="B73" s="251" t="s">
        <v>136</v>
      </c>
      <c r="C73" s="360">
        <f>'High and Diameter'!F61</f>
        <v>19.099999999999998</v>
      </c>
      <c r="D73" s="26">
        <f>'High and Diameter'!J61</f>
        <v>6.4866666666666672</v>
      </c>
      <c r="E73" s="260">
        <f>'High and Diameter'!K61</f>
        <v>1858.5668945421298</v>
      </c>
      <c r="F73" s="192">
        <f>'High and Diameter'!Q61</f>
        <v>18.833333333333332</v>
      </c>
      <c r="G73" s="26">
        <f>'High and Diameter'!U61</f>
        <v>6.3833333333333329</v>
      </c>
      <c r="H73" s="164">
        <f>'High and Diameter'!V61</f>
        <v>1778.2457980766815</v>
      </c>
      <c r="I73" s="37">
        <f>'High and Diameter'!W61</f>
        <v>1.3961605584642185</v>
      </c>
      <c r="J73" s="37">
        <f>'High and Diameter'!X61</f>
        <v>1.5930113052415373</v>
      </c>
      <c r="K73" s="37">
        <f>'High and Diameter'!Y61</f>
        <v>4.3216683080560303</v>
      </c>
      <c r="L73" s="92">
        <f t="shared" si="18"/>
        <v>4.5000000000000107</v>
      </c>
      <c r="O73" s="267"/>
      <c r="P73" s="251" t="s">
        <v>136</v>
      </c>
      <c r="Q73" s="192">
        <f>'High and Diameter'!AF61</f>
        <v>19.11</v>
      </c>
      <c r="R73" s="26">
        <f>'High and Diameter'!AJ61</f>
        <v>6.3866666666666667</v>
      </c>
      <c r="S73" s="260">
        <f>'High and Diameter'!AK61</f>
        <v>1831.8314268860831</v>
      </c>
      <c r="T73" s="192">
        <f>'High and Diameter'!AQ61</f>
        <v>18.733333333333334</v>
      </c>
      <c r="U73" s="26">
        <f>'High and Diameter'!AU61</f>
        <v>6.2633333333333328</v>
      </c>
      <c r="V73" s="164">
        <f>'High and Diameter'!AV61</f>
        <v>1726.3368001491658</v>
      </c>
      <c r="W73" s="37">
        <f>'High and Diameter'!AW61</f>
        <v>1.9710448281876773</v>
      </c>
      <c r="X73" s="37">
        <f>'High and Diameter'!AX61</f>
        <v>1.9311064718162938</v>
      </c>
      <c r="Y73" s="37">
        <f>'High and Diameter'!AY61</f>
        <v>5.7589702408505392</v>
      </c>
      <c r="Z73" s="92">
        <f t="shared" si="19"/>
        <v>4.4500000000000028</v>
      </c>
    </row>
    <row r="74" spans="1:27" x14ac:dyDescent="0.25">
      <c r="A74" s="267"/>
      <c r="B74" s="251" t="s">
        <v>137</v>
      </c>
      <c r="C74" s="360">
        <f>'High and Diameter'!F62</f>
        <v>19.153333333333332</v>
      </c>
      <c r="D74" s="26">
        <f>'High and Diameter'!J62</f>
        <v>6.27</v>
      </c>
      <c r="E74" s="260">
        <f>'High and Diameter'!K62</f>
        <v>1806.5340682967112</v>
      </c>
      <c r="F74" s="192">
        <f>'High and Diameter'!Q62</f>
        <v>18.866666666666664</v>
      </c>
      <c r="G74" s="26">
        <f>'High and Diameter'!U62</f>
        <v>6.21</v>
      </c>
      <c r="H74" s="164">
        <f>'High and Diameter'!V62</f>
        <v>1736.0883968301348</v>
      </c>
      <c r="I74" s="37">
        <f>'High and Diameter'!W62</f>
        <v>1.4966933518969832</v>
      </c>
      <c r="J74" s="37">
        <f>'High and Diameter'!X62</f>
        <v>0.95693779904305609</v>
      </c>
      <c r="K74" s="37">
        <f>'High and Diameter'!Y62</f>
        <v>3.8994931068748704</v>
      </c>
      <c r="L74" s="92">
        <f t="shared" si="18"/>
        <v>4.2333333333333378</v>
      </c>
      <c r="O74" s="267"/>
      <c r="P74" s="251" t="s">
        <v>137</v>
      </c>
      <c r="Q74" s="192">
        <f>'High and Diameter'!AF62</f>
        <v>19.116666666666667</v>
      </c>
      <c r="R74" s="26">
        <f>'High and Diameter'!AJ62</f>
        <v>6.7133333333333338</v>
      </c>
      <c r="S74" s="260">
        <f>'High and Diameter'!AK62</f>
        <v>1926.8700566585142</v>
      </c>
      <c r="T74" s="192">
        <f>'High and Diameter'!AQ62</f>
        <v>18.643333333333334</v>
      </c>
      <c r="U74" s="26">
        <f>'High and Diameter'!AU62</f>
        <v>6.5066666666666668</v>
      </c>
      <c r="V74" s="164">
        <f>'High and Diameter'!AV62</f>
        <v>1776.215146703717</v>
      </c>
      <c r="W74" s="37">
        <f>'High and Diameter'!AW62</f>
        <v>2.4760244115082792</v>
      </c>
      <c r="X74" s="37">
        <f>'High and Diameter'!AX62</f>
        <v>3.0784508440913649</v>
      </c>
      <c r="Y74" s="37">
        <f>'High and Diameter'!AY62</f>
        <v>7.8186336143525796</v>
      </c>
      <c r="Z74" s="92">
        <f t="shared" si="19"/>
        <v>4.4166666666666643</v>
      </c>
    </row>
    <row r="75" spans="1:27" x14ac:dyDescent="0.25">
      <c r="A75" s="267"/>
      <c r="B75" s="251" t="s">
        <v>138</v>
      </c>
      <c r="C75" s="360">
        <f>'High and Diameter'!F63</f>
        <v>19.096666666666668</v>
      </c>
      <c r="D75" s="26">
        <f>'High and Diameter'!J63</f>
        <v>6.5399999999999991</v>
      </c>
      <c r="E75" s="260">
        <f>'High and Diameter'!K63</f>
        <v>1873.1940289859269</v>
      </c>
      <c r="F75" s="192">
        <f>'High and Diameter'!Q63</f>
        <v>18.883333333333333</v>
      </c>
      <c r="G75" s="26">
        <f>'High and Diameter'!U63</f>
        <v>6.4333333333333336</v>
      </c>
      <c r="H75" s="164">
        <f>'High and Diameter'!V63</f>
        <v>1801.7032195730264</v>
      </c>
      <c r="I75" s="37">
        <f>'High and Diameter'!W63</f>
        <v>1.1171234072263991</v>
      </c>
      <c r="J75" s="37">
        <f>'High and Diameter'!X63</f>
        <v>1.6309887869520732</v>
      </c>
      <c r="K75" s="37">
        <f>'High and Diameter'!Y63</f>
        <v>3.8165191809629446</v>
      </c>
      <c r="L75" s="92">
        <f t="shared" si="18"/>
        <v>4.5166666666666622</v>
      </c>
      <c r="O75" s="267"/>
      <c r="P75" s="251" t="s">
        <v>138</v>
      </c>
      <c r="Q75" s="192">
        <f>'High and Diameter'!AF63</f>
        <v>18.956666666666667</v>
      </c>
      <c r="R75" s="26">
        <f>'High and Diameter'!AJ63</f>
        <v>6.4333333333333336</v>
      </c>
      <c r="S75" s="260">
        <f>'High and Diameter'!AK63</f>
        <v>1815.7242034365338</v>
      </c>
      <c r="T75" s="192">
        <f>'High and Diameter'!AQ63</f>
        <v>18.616666666666667</v>
      </c>
      <c r="U75" s="26">
        <f>'High and Diameter'!AU63</f>
        <v>6.3266666666666671</v>
      </c>
      <c r="V75" s="164">
        <f>'High and Diameter'!AV63</f>
        <v>1722.1408962732366</v>
      </c>
      <c r="W75" s="37">
        <f>'High and Diameter'!AW63</f>
        <v>1.7935642693863187</v>
      </c>
      <c r="X75" s="37">
        <f>'High and Diameter'!AX63</f>
        <v>1.6580310880828983</v>
      </c>
      <c r="Y75" s="37">
        <f>'High and Diameter'!AY63</f>
        <v>5.1540485601379613</v>
      </c>
      <c r="Z75" s="92">
        <f t="shared" si="19"/>
        <v>5.216666666666665</v>
      </c>
    </row>
    <row r="76" spans="1:27" x14ac:dyDescent="0.25">
      <c r="A76" s="267"/>
      <c r="B76" s="251" t="s">
        <v>139</v>
      </c>
      <c r="C76" s="360">
        <f>'High and Diameter'!F64</f>
        <v>19.063333333333333</v>
      </c>
      <c r="D76" s="26">
        <f>'High and Diameter'!J64</f>
        <v>6.5100000000000007</v>
      </c>
      <c r="E76" s="260">
        <f>'High and Diameter'!K64</f>
        <v>1858.0977335458324</v>
      </c>
      <c r="F76" s="192">
        <f>'High and Diameter'!Q64</f>
        <v>18.849999999999998</v>
      </c>
      <c r="G76" s="26">
        <f>'High and Diameter'!U64</f>
        <v>6.456666666666667</v>
      </c>
      <c r="H76" s="164">
        <f>'High and Diameter'!V64</f>
        <v>1801.8596352533696</v>
      </c>
      <c r="I76" s="37">
        <f>'High and Diameter'!W64</f>
        <v>1.1190767616716282</v>
      </c>
      <c r="J76" s="37">
        <f>'High and Diameter'!X64</f>
        <v>0.81925243215566312</v>
      </c>
      <c r="K76" s="37">
        <f>'High and Diameter'!Y64</f>
        <v>3.0266490980075051</v>
      </c>
      <c r="L76" s="92">
        <f t="shared" si="18"/>
        <v>4.6833333333333371</v>
      </c>
      <c r="O76" s="267"/>
      <c r="P76" s="251" t="s">
        <v>139</v>
      </c>
      <c r="Q76" s="192">
        <f>'High and Diameter'!AF64</f>
        <v>19.073333333333334</v>
      </c>
      <c r="R76" s="26">
        <f>'High and Diameter'!AJ64</f>
        <v>6.456666666666667</v>
      </c>
      <c r="S76" s="260">
        <f>'High and Diameter'!AK64</f>
        <v>1844.809153686424</v>
      </c>
      <c r="T76" s="192">
        <f>'High and Diameter'!AQ64</f>
        <v>18.703333333333333</v>
      </c>
      <c r="U76" s="26">
        <f>'High and Diameter'!AU64</f>
        <v>6.3566666666666665</v>
      </c>
      <c r="V76" s="164">
        <f>'High and Diameter'!AV64</f>
        <v>1746.4547900161765</v>
      </c>
      <c r="W76" s="37">
        <f>'High and Diameter'!AW64</f>
        <v>1.9398811604334198</v>
      </c>
      <c r="X76" s="37">
        <f>'High and Diameter'!AX64</f>
        <v>1.5487867836861207</v>
      </c>
      <c r="Y76" s="37">
        <f>'High and Diameter'!AY64</f>
        <v>5.3314112993048131</v>
      </c>
      <c r="Z76" s="92">
        <f t="shared" si="19"/>
        <v>4.6333333333333293</v>
      </c>
    </row>
    <row r="77" spans="1:27" x14ac:dyDescent="0.25">
      <c r="A77" s="267"/>
      <c r="B77" s="251" t="s">
        <v>140</v>
      </c>
      <c r="C77" s="360">
        <f>'High and Diameter'!F65</f>
        <v>19.086666666666666</v>
      </c>
      <c r="D77" s="26">
        <f>'High and Diameter'!J65</f>
        <v>6.2866666666666662</v>
      </c>
      <c r="E77" s="260">
        <f>'High and Diameter'!K65</f>
        <v>1798.7486996280677</v>
      </c>
      <c r="F77" s="192">
        <f>'High and Diameter'!Q65</f>
        <v>18.930000000000003</v>
      </c>
      <c r="G77" s="26">
        <f>'High and Diameter'!U65</f>
        <v>6.2866666666666662</v>
      </c>
      <c r="H77" s="164">
        <f>'High and Diameter'!V65</f>
        <v>1769.3410068162689</v>
      </c>
      <c r="I77" s="37">
        <f>'High and Diameter'!W65</f>
        <v>0.82081732448478562</v>
      </c>
      <c r="J77" s="37">
        <f>'High and Diameter'!X65</f>
        <v>0</v>
      </c>
      <c r="K77" s="37">
        <f>'High and Diameter'!Y65</f>
        <v>1.6348972381678182</v>
      </c>
      <c r="L77" s="92">
        <f t="shared" si="18"/>
        <v>4.56666666666667</v>
      </c>
      <c r="O77" s="267"/>
      <c r="P77" s="251" t="s">
        <v>140</v>
      </c>
      <c r="Q77" s="192">
        <f>'High and Diameter'!AF65</f>
        <v>19.113333333333333</v>
      </c>
      <c r="R77" s="26">
        <f>'High and Diameter'!AJ65</f>
        <v>6.583333333333333</v>
      </c>
      <c r="S77" s="260">
        <f>'High and Diameter'!AK65</f>
        <v>1888.8983811094756</v>
      </c>
      <c r="T77" s="192">
        <f>'High and Diameter'!AQ65</f>
        <v>18.68</v>
      </c>
      <c r="U77" s="26">
        <f>'High and Diameter'!AU65</f>
        <v>6.4733333333333336</v>
      </c>
      <c r="V77" s="164">
        <f>'High and Diameter'!AV65</f>
        <v>1774.073448058962</v>
      </c>
      <c r="W77" s="37">
        <f>'High and Diameter'!AW65</f>
        <v>2.2671782350889442</v>
      </c>
      <c r="X77" s="37">
        <f>'High and Diameter'!AX65</f>
        <v>1.6708860759493585</v>
      </c>
      <c r="Y77" s="37">
        <f>'High and Diameter'!AY65</f>
        <v>6.078936495412175</v>
      </c>
      <c r="Z77" s="92">
        <f t="shared" si="19"/>
        <v>4.4333333333333336</v>
      </c>
    </row>
    <row r="78" spans="1:27" ht="15.75" thickBot="1" x14ac:dyDescent="0.3">
      <c r="A78" s="269"/>
      <c r="B78" s="252" t="s">
        <v>141</v>
      </c>
      <c r="C78" s="365">
        <f>'High and Diameter'!F66</f>
        <v>21.276666666666667</v>
      </c>
      <c r="D78" s="288">
        <f>'High and Diameter'!J66</f>
        <v>5.4366666666666665</v>
      </c>
      <c r="E78" s="262">
        <f>'High and Diameter'!K66</f>
        <v>1932.9907113497836</v>
      </c>
      <c r="F78" s="366">
        <f>'High and Diameter'!Q66</f>
        <v>21.08</v>
      </c>
      <c r="G78" s="288">
        <f>'High and Diameter'!U66</f>
        <v>5.3766666666666678</v>
      </c>
      <c r="H78" s="248">
        <f>'High and Diameter'!V66</f>
        <v>1876.4811543483979</v>
      </c>
      <c r="I78" s="265">
        <f>'High and Diameter'!W66</f>
        <v>0.92433025223250342</v>
      </c>
      <c r="J78" s="265">
        <f>'High and Diameter'!X66</f>
        <v>1.1036174126302647</v>
      </c>
      <c r="K78" s="265">
        <f>'High and Diameter'!Y66</f>
        <v>2.9234262052881657</v>
      </c>
      <c r="L78" s="92">
        <f>(20-C78)/20*100</f>
        <v>-6.3833333333333364</v>
      </c>
      <c r="O78" s="268"/>
      <c r="P78" s="252" t="s">
        <v>141</v>
      </c>
      <c r="Q78" s="193">
        <f>'High and Diameter'!AF66</f>
        <v>19.033333333333331</v>
      </c>
      <c r="R78" s="59">
        <f>'High and Diameter'!AJ66</f>
        <v>6.6866666666666674</v>
      </c>
      <c r="S78" s="261">
        <f>'High and Diameter'!AK66</f>
        <v>1902.5201377781054</v>
      </c>
      <c r="T78" s="193">
        <f>'High and Diameter'!AQ66</f>
        <v>18.7</v>
      </c>
      <c r="U78" s="59">
        <f>'High and Diameter'!AU66</f>
        <v>6.5566666666666658</v>
      </c>
      <c r="V78" s="165">
        <f>'High and Diameter'!AV66</f>
        <v>1800.7615111762611</v>
      </c>
      <c r="W78" s="264">
        <f>'High and Diameter'!AW66</f>
        <v>1.7513134851138294</v>
      </c>
      <c r="X78" s="264">
        <f>'High and Diameter'!AX66</f>
        <v>1.9441674975075023</v>
      </c>
      <c r="Y78" s="264">
        <f>'High and Diameter'!AY66</f>
        <v>5.3486228387934469</v>
      </c>
      <c r="Z78" s="92">
        <f t="shared" si="19"/>
        <v>4.8333333333333428</v>
      </c>
    </row>
    <row r="79" spans="1:27" x14ac:dyDescent="0.25">
      <c r="A79" s="266" t="s">
        <v>161</v>
      </c>
      <c r="B79" s="250"/>
      <c r="C79" s="364">
        <f t="shared" ref="C79:J79" si="20">AVERAGE(C72:C78)</f>
        <v>19.41</v>
      </c>
      <c r="D79" s="364">
        <f t="shared" si="20"/>
        <v>6.2914285714285709</v>
      </c>
      <c r="E79" s="370">
        <f t="shared" si="20"/>
        <v>1856.0118078073895</v>
      </c>
      <c r="F79" s="191">
        <f t="shared" si="20"/>
        <v>19.189047619047617</v>
      </c>
      <c r="G79" s="364">
        <f t="shared" si="20"/>
        <v>6.2357142857142858</v>
      </c>
      <c r="H79" s="263">
        <f t="shared" si="20"/>
        <v>1797.7690726359954</v>
      </c>
      <c r="I79" s="23">
        <f t="shared" si="20"/>
        <v>1.1416457273901022</v>
      </c>
      <c r="J79" s="23">
        <f t="shared" si="20"/>
        <v>0.88660204143458099</v>
      </c>
      <c r="K79" s="23">
        <f>AVERAGE(K72:K78)</f>
        <v>3.1349909896915245</v>
      </c>
      <c r="L79" s="23">
        <f>AVERAGE(L72:L78)</f>
        <v>2.950000000000002</v>
      </c>
      <c r="M79" s="92"/>
      <c r="O79" s="266" t="s">
        <v>161</v>
      </c>
      <c r="P79" s="250"/>
      <c r="Q79" s="364">
        <f t="shared" ref="Q79:X79" si="21">AVERAGE(Q72:Q78)</f>
        <v>19.066190476190478</v>
      </c>
      <c r="R79" s="364">
        <f t="shared" si="21"/>
        <v>6.5619047619047626</v>
      </c>
      <c r="S79" s="370">
        <f t="shared" si="21"/>
        <v>1873.5291413694436</v>
      </c>
      <c r="T79" s="191">
        <f t="shared" si="21"/>
        <v>18.677142857142854</v>
      </c>
      <c r="U79" s="364">
        <f t="shared" si="21"/>
        <v>6.4323809523809521</v>
      </c>
      <c r="V79" s="263">
        <f t="shared" si="21"/>
        <v>1762.2916597746191</v>
      </c>
      <c r="W79" s="23">
        <f t="shared" si="21"/>
        <v>2.0400219491433131</v>
      </c>
      <c r="X79" s="23">
        <f t="shared" si="21"/>
        <v>1.9684972441693549</v>
      </c>
      <c r="Y79" s="23">
        <f>AVERAGE(Y72:Y78)</f>
        <v>5.9253454060641531</v>
      </c>
      <c r="Z79" s="23">
        <f>AVERAGE(Z72:Z78)</f>
        <v>4.6690476190476202</v>
      </c>
      <c r="AA79" s="92"/>
    </row>
    <row r="80" spans="1:27" ht="15.75" thickBot="1" x14ac:dyDescent="0.3">
      <c r="A80" s="268" t="s">
        <v>162</v>
      </c>
      <c r="B80" s="363"/>
      <c r="C80" s="193">
        <f t="shared" ref="C80:J80" si="22">STDEV(C72:C78)</f>
        <v>0.82356946681301102</v>
      </c>
      <c r="D80" s="59">
        <f t="shared" si="22"/>
        <v>0.39296996936839451</v>
      </c>
      <c r="E80" s="165">
        <f t="shared" si="22"/>
        <v>44.762322808746362</v>
      </c>
      <c r="F80" s="193">
        <f t="shared" si="22"/>
        <v>0.83438536768027116</v>
      </c>
      <c r="G80" s="59">
        <f t="shared" si="22"/>
        <v>0.39211069055917525</v>
      </c>
      <c r="H80" s="165">
        <f t="shared" si="22"/>
        <v>44.245173540616385</v>
      </c>
      <c r="I80" s="61">
        <f t="shared" si="22"/>
        <v>0.23898954449813831</v>
      </c>
      <c r="J80" s="61">
        <f t="shared" si="22"/>
        <v>0.64688100106796786</v>
      </c>
      <c r="K80" s="61">
        <f>STDEV(K72:K78)</f>
        <v>0.95082587777633931</v>
      </c>
      <c r="L80" s="61">
        <f>STDEV(L72:L78)</f>
        <v>4.1178473340650559</v>
      </c>
      <c r="M80" s="92"/>
      <c r="O80" s="268" t="s">
        <v>162</v>
      </c>
      <c r="P80" s="363"/>
      <c r="Q80" s="193">
        <f t="shared" ref="Q80:X80" si="23">STDEV(Q72:Q78)</f>
        <v>5.7523862083440826E-2</v>
      </c>
      <c r="R80" s="59">
        <f t="shared" si="23"/>
        <v>0.13520707222979275</v>
      </c>
      <c r="S80" s="165">
        <f t="shared" si="23"/>
        <v>42.344723898067421</v>
      </c>
      <c r="T80" s="193">
        <f t="shared" si="23"/>
        <v>3.9507550681440157E-2</v>
      </c>
      <c r="U80" s="59">
        <f t="shared" si="23"/>
        <v>0.11578579017456843</v>
      </c>
      <c r="V80" s="165">
        <f t="shared" si="23"/>
        <v>30.928067899739428</v>
      </c>
      <c r="W80" s="61">
        <f t="shared" si="23"/>
        <v>0.25893030016078888</v>
      </c>
      <c r="X80" s="61">
        <f t="shared" si="23"/>
        <v>0.51567488509498594</v>
      </c>
      <c r="Y80" s="61">
        <f>STDEV(Y72:Y78)</f>
        <v>0.9055249538717195</v>
      </c>
      <c r="Z80" s="61">
        <f>STDEV(Z72:Z78)</f>
        <v>0.28761931041720412</v>
      </c>
      <c r="AA80" s="92"/>
    </row>
    <row r="81" spans="1:27" x14ac:dyDescent="0.25">
      <c r="A81" s="270" t="s">
        <v>175</v>
      </c>
      <c r="B81" s="250" t="s">
        <v>135</v>
      </c>
      <c r="C81" s="364">
        <f>'High and Diameter'!F67</f>
        <v>18.98</v>
      </c>
      <c r="D81" s="62">
        <f>'High and Diameter'!J67</f>
        <v>6.5166666666666666</v>
      </c>
      <c r="E81" s="259">
        <f>'High and Diameter'!K67</f>
        <v>1843.7745013291799</v>
      </c>
      <c r="F81" s="191">
        <f>'High and Diameter'!Q67</f>
        <v>18.39</v>
      </c>
      <c r="G81" s="62">
        <f>'High and Diameter'!U67</f>
        <v>6.376666666666666</v>
      </c>
      <c r="H81" s="163">
        <f>'High and Diameter'!V67</f>
        <v>1693.7412130476719</v>
      </c>
      <c r="I81" s="263">
        <f>'High and Diameter'!W67</f>
        <v>3.1085353003161216</v>
      </c>
      <c r="J81" s="263">
        <f>'High and Diameter'!X67</f>
        <v>2.1483375959079369</v>
      </c>
      <c r="K81" s="263">
        <f>'High and Diameter'!Y67</f>
        <v>8.1372905511682045</v>
      </c>
      <c r="L81" s="92">
        <f t="shared" ref="L81:L87" si="24">(20-C81)/20*100</f>
        <v>5.0999999999999979</v>
      </c>
      <c r="O81" s="270" t="s">
        <v>176</v>
      </c>
      <c r="P81" s="257" t="s">
        <v>135</v>
      </c>
      <c r="Q81" s="191">
        <f>'High and Diameter'!AF67</f>
        <v>18.819999999999997</v>
      </c>
      <c r="R81" s="62">
        <f>'High and Diameter'!AJ67</f>
        <v>6.623333333333334</v>
      </c>
      <c r="S81" s="259">
        <f>'High and Diameter'!AK67</f>
        <v>1842.492513709424</v>
      </c>
      <c r="T81" s="191">
        <f>'High and Diameter'!AQ67</f>
        <v>18.143333333333334</v>
      </c>
      <c r="U81" s="62">
        <f>'High and Diameter'!AU67</f>
        <v>6.5066666666666668</v>
      </c>
      <c r="V81" s="163">
        <f>'High and Diameter'!AV67</f>
        <v>1682.2192530136713</v>
      </c>
      <c r="W81" s="263">
        <f>'High and Diameter'!AW67</f>
        <v>3.5954658165072395</v>
      </c>
      <c r="X81" s="263">
        <f>'High and Diameter'!AX67</f>
        <v>1.7614494212380543</v>
      </c>
      <c r="Y81" s="263">
        <f>'High and Diameter'!AY67</f>
        <v>8.6987197778665752</v>
      </c>
      <c r="Z81" s="92">
        <f t="shared" ref="Z81:Z87" si="25">(20-Q81)/20*100</f>
        <v>5.9000000000000163</v>
      </c>
    </row>
    <row r="82" spans="1:27" x14ac:dyDescent="0.25">
      <c r="A82" s="271"/>
      <c r="B82" s="251" t="s">
        <v>136</v>
      </c>
      <c r="C82" s="360">
        <f>'High and Diameter'!F68</f>
        <v>19.053333333333331</v>
      </c>
      <c r="D82" s="26">
        <f>'High and Diameter'!J68</f>
        <v>6.3466666666666667</v>
      </c>
      <c r="E82" s="260">
        <f>'High and Diameter'!K68</f>
        <v>1809.5788076268307</v>
      </c>
      <c r="F82" s="192">
        <f>'High and Diameter'!Q68</f>
        <v>18.459999999999997</v>
      </c>
      <c r="G82" s="26">
        <f>'High and Diameter'!U68</f>
        <v>6.1499999999999995</v>
      </c>
      <c r="H82" s="164">
        <f>'High and Diameter'!V68</f>
        <v>1645.9945409847601</v>
      </c>
      <c r="I82" s="37">
        <f>'High and Diameter'!W68</f>
        <v>3.1140657802659226</v>
      </c>
      <c r="J82" s="37">
        <f>'High and Diameter'!X68</f>
        <v>3.0987394957983279</v>
      </c>
      <c r="K82" s="37">
        <f>'High and Diameter'!Y68</f>
        <v>9.0399084003753849</v>
      </c>
      <c r="L82" s="92">
        <f t="shared" si="24"/>
        <v>4.7333333333333449</v>
      </c>
      <c r="O82" s="271"/>
      <c r="P82" s="251" t="s">
        <v>136</v>
      </c>
      <c r="Q82" s="192">
        <f>'High and Diameter'!AF68</f>
        <v>18.849999999999998</v>
      </c>
      <c r="R82" s="26">
        <f>'High and Diameter'!AJ68</f>
        <v>6.6133333333333333</v>
      </c>
      <c r="S82" s="260">
        <f>'High and Diameter'!AK68</f>
        <v>1845.5805453498631</v>
      </c>
      <c r="T82" s="192">
        <f>'High and Diameter'!AQ68</f>
        <v>18.14</v>
      </c>
      <c r="U82" s="26">
        <f>'High and Diameter'!AU68</f>
        <v>6.4833333333333343</v>
      </c>
      <c r="V82" s="164">
        <f>'High and Diameter'!AV68</f>
        <v>1675.5708555824722</v>
      </c>
      <c r="W82" s="37">
        <f>'High and Diameter'!AW68</f>
        <v>3.7665782493368565</v>
      </c>
      <c r="X82" s="37">
        <f>'High and Diameter'!AX68</f>
        <v>1.9657258064515979</v>
      </c>
      <c r="Y82" s="37">
        <f>'High and Diameter'!AY68</f>
        <v>9.2117187838671377</v>
      </c>
      <c r="Z82" s="92">
        <f t="shared" si="25"/>
        <v>5.7500000000000107</v>
      </c>
    </row>
    <row r="83" spans="1:27" x14ac:dyDescent="0.25">
      <c r="A83" s="271"/>
      <c r="B83" s="251" t="s">
        <v>137</v>
      </c>
      <c r="C83" s="360">
        <f>'High and Diameter'!F69</f>
        <v>19.013333333333332</v>
      </c>
      <c r="D83" s="26">
        <f>'High and Diameter'!J69</f>
        <v>6.5</v>
      </c>
      <c r="E83" s="260">
        <f>'High and Diameter'!K69</f>
        <v>1845.5242759347786</v>
      </c>
      <c r="F83" s="192">
        <f>'High and Diameter'!Q69</f>
        <v>18.39</v>
      </c>
      <c r="G83" s="26">
        <f>'High and Diameter'!U69</f>
        <v>6.31</v>
      </c>
      <c r="H83" s="164">
        <f>'High and Diameter'!V69</f>
        <v>1676.0335160999703</v>
      </c>
      <c r="I83" s="37">
        <f>'High and Diameter'!W69</f>
        <v>3.2784011220196252</v>
      </c>
      <c r="J83" s="37">
        <f>'High and Diameter'!X69</f>
        <v>2.9230769230769291</v>
      </c>
      <c r="K83" s="37">
        <f>'High and Diameter'!Y69</f>
        <v>9.1838813525744278</v>
      </c>
      <c r="L83" s="92">
        <f t="shared" si="24"/>
        <v>4.9333333333333407</v>
      </c>
      <c r="O83" s="271"/>
      <c r="P83" s="251" t="s">
        <v>137</v>
      </c>
      <c r="Q83" s="192">
        <f>'High and Diameter'!AF69</f>
        <v>18.849999999999998</v>
      </c>
      <c r="R83" s="26">
        <f>'High and Diameter'!AJ69</f>
        <v>6.4899999999999993</v>
      </c>
      <c r="S83" s="260">
        <f>'High and Diameter'!AK69</f>
        <v>1811.1619565504955</v>
      </c>
      <c r="T83" s="192">
        <f>'High and Diameter'!AQ69</f>
        <v>18.180000000000003</v>
      </c>
      <c r="U83" s="26">
        <f>'High and Diameter'!AU69</f>
        <v>6.373333333333334</v>
      </c>
      <c r="V83" s="164">
        <f>'High and Diameter'!AV69</f>
        <v>1654.4142888981282</v>
      </c>
      <c r="W83" s="37">
        <f>'High and Diameter'!AW69</f>
        <v>3.5543766578249056</v>
      </c>
      <c r="X83" s="37">
        <f>'High and Diameter'!AX69</f>
        <v>1.7976373908577099</v>
      </c>
      <c r="Y83" s="37">
        <f>'High and Diameter'!AY69</f>
        <v>8.6545362266169636</v>
      </c>
      <c r="Z83" s="92">
        <f t="shared" si="25"/>
        <v>5.7500000000000107</v>
      </c>
    </row>
    <row r="84" spans="1:27" x14ac:dyDescent="0.25">
      <c r="A84" s="271"/>
      <c r="B84" s="251" t="s">
        <v>138</v>
      </c>
      <c r="C84" s="360">
        <f>'High and Diameter'!F70</f>
        <v>18.953333333333333</v>
      </c>
      <c r="D84" s="26">
        <f>'High and Diameter'!J70</f>
        <v>6.3433333333333337</v>
      </c>
      <c r="E84" s="260">
        <f>'High and Diameter'!K70</f>
        <v>1789.6933162983378</v>
      </c>
      <c r="F84" s="192">
        <f>'High and Diameter'!Q70</f>
        <v>18.436666666666664</v>
      </c>
      <c r="G84" s="26">
        <f>'High and Diameter'!U70</f>
        <v>6.163333333333334</v>
      </c>
      <c r="H84" s="164">
        <f>'High and Diameter'!V70</f>
        <v>1645.3956518759126</v>
      </c>
      <c r="I84" s="37">
        <f>'High and Diameter'!W70</f>
        <v>2.7259936686598802</v>
      </c>
      <c r="J84" s="37">
        <f>'High and Diameter'!X70</f>
        <v>2.8376248029427171</v>
      </c>
      <c r="K84" s="37">
        <f>'High and Diameter'!Y70</f>
        <v>8.0627034312716361</v>
      </c>
      <c r="L84" s="92">
        <f t="shared" si="24"/>
        <v>5.2333333333333343</v>
      </c>
      <c r="O84" s="271"/>
      <c r="P84" s="251" t="s">
        <v>138</v>
      </c>
      <c r="Q84" s="192">
        <f>'High and Diameter'!AF70</f>
        <v>18.953333333333333</v>
      </c>
      <c r="R84" s="26">
        <f>'High and Diameter'!AJ70</f>
        <v>6.3633333333333333</v>
      </c>
      <c r="S84" s="260">
        <f>'High and Diameter'!AK70</f>
        <v>1795.3360697916589</v>
      </c>
      <c r="T84" s="192">
        <f>'High and Diameter'!AQ70</f>
        <v>18.239999999999998</v>
      </c>
      <c r="U84" s="26">
        <f>'High and Diameter'!AU70</f>
        <v>6.2533333333333339</v>
      </c>
      <c r="V84" s="164">
        <f>'High and Diameter'!AV70</f>
        <v>1633.9965253221405</v>
      </c>
      <c r="W84" s="37">
        <f>'High and Diameter'!AW70</f>
        <v>3.7636299683433063</v>
      </c>
      <c r="X84" s="37">
        <f>'High and Diameter'!AX70</f>
        <v>1.7286537454164395</v>
      </c>
      <c r="Y84" s="37">
        <f>'High and Diameter'!AY70</f>
        <v>8.9865929384597703</v>
      </c>
      <c r="Z84" s="92">
        <f t="shared" si="25"/>
        <v>5.2333333333333343</v>
      </c>
    </row>
    <row r="85" spans="1:27" x14ac:dyDescent="0.25">
      <c r="A85" s="271"/>
      <c r="B85" s="251" t="s">
        <v>139</v>
      </c>
      <c r="C85" s="360">
        <f>'High and Diameter'!F71</f>
        <v>18.973333333333333</v>
      </c>
      <c r="D85" s="26">
        <f>'High and Diameter'!J71</f>
        <v>6.4433333333333325</v>
      </c>
      <c r="E85" s="260">
        <f>'High and Diameter'!K71</f>
        <v>1821.7457040240454</v>
      </c>
      <c r="F85" s="192">
        <f>'High and Diameter'!Q71</f>
        <v>18.456666666666667</v>
      </c>
      <c r="G85" s="26">
        <f>'High and Diameter'!U71</f>
        <v>6.29</v>
      </c>
      <c r="H85" s="164">
        <f>'High and Diameter'!V71</f>
        <v>1682.8564219635816</v>
      </c>
      <c r="I85" s="37">
        <f>'High and Diameter'!W71</f>
        <v>2.7231201686577604</v>
      </c>
      <c r="J85" s="37">
        <f>'High and Diameter'!X71</f>
        <v>2.3797206414898984</v>
      </c>
      <c r="K85" s="37">
        <f>'High and Diameter'!Y71</f>
        <v>7.6239664928904123</v>
      </c>
      <c r="L85" s="92">
        <f t="shared" si="24"/>
        <v>5.1333333333333364</v>
      </c>
      <c r="O85" s="271"/>
      <c r="P85" s="251" t="s">
        <v>139</v>
      </c>
      <c r="Q85" s="192">
        <f>'High and Diameter'!AF71</f>
        <v>18.753333333333334</v>
      </c>
      <c r="R85" s="26">
        <f>'High and Diameter'!AJ71</f>
        <v>6.5566666666666675</v>
      </c>
      <c r="S85" s="260">
        <f>'High and Diameter'!AK71</f>
        <v>1811.0478823250958</v>
      </c>
      <c r="T85" s="192">
        <f>'High and Diameter'!AQ71</f>
        <v>18.043333333333333</v>
      </c>
      <c r="U85" s="26">
        <f>'High and Diameter'!AU71</f>
        <v>6.4200000000000008</v>
      </c>
      <c r="V85" s="164">
        <f>'High and Diameter'!AV71</f>
        <v>1641.5663996424814</v>
      </c>
      <c r="W85" s="37">
        <f>'High and Diameter'!AW71</f>
        <v>3.7859936011375801</v>
      </c>
      <c r="X85" s="37">
        <f>'High and Diameter'!AX71</f>
        <v>2.0843924758515509</v>
      </c>
      <c r="Y85" s="37">
        <f>'High and Diameter'!AY71</f>
        <v>9.3581999866854559</v>
      </c>
      <c r="Z85" s="92">
        <f t="shared" si="25"/>
        <v>6.2333333333333307</v>
      </c>
    </row>
    <row r="86" spans="1:27" x14ac:dyDescent="0.25">
      <c r="A86" s="271"/>
      <c r="B86" s="251" t="s">
        <v>140</v>
      </c>
      <c r="C86" s="360">
        <f>'High and Diameter'!F72</f>
        <v>19.056666666666668</v>
      </c>
      <c r="D86" s="26">
        <f>'High and Diameter'!J72</f>
        <v>6.44</v>
      </c>
      <c r="E86" s="260">
        <f>'High and Diameter'!K72</f>
        <v>1836.8327907288528</v>
      </c>
      <c r="F86" s="192">
        <f>'High and Diameter'!Q72</f>
        <v>18.490000000000002</v>
      </c>
      <c r="G86" s="26">
        <f>'High and Diameter'!U72</f>
        <v>6.3433333333333337</v>
      </c>
      <c r="H86" s="164">
        <f>'High and Diameter'!V72</f>
        <v>1703.2611367599495</v>
      </c>
      <c r="I86" s="37">
        <f>'High and Diameter'!W72</f>
        <v>2.9735875459156884</v>
      </c>
      <c r="J86" s="37">
        <f>'High and Diameter'!X72</f>
        <v>1.5010351966873707</v>
      </c>
      <c r="K86" s="37">
        <f>'High and Diameter'!Y72</f>
        <v>7.2718461170274651</v>
      </c>
      <c r="L86" s="92">
        <f t="shared" si="24"/>
        <v>4.7166666666666579</v>
      </c>
      <c r="O86" s="271"/>
      <c r="P86" s="251" t="s">
        <v>140</v>
      </c>
      <c r="Q86" s="192">
        <f>'High and Diameter'!AF72</f>
        <v>18.900000000000002</v>
      </c>
      <c r="R86" s="26">
        <f>'High and Diameter'!AJ72</f>
        <v>6.4466666666666663</v>
      </c>
      <c r="S86" s="260">
        <f>'High and Diameter'!AK72</f>
        <v>1808.6257291662992</v>
      </c>
      <c r="T86" s="192">
        <f>'High and Diameter'!AQ72</f>
        <v>18.253333333333334</v>
      </c>
      <c r="U86" s="26">
        <f>'High and Diameter'!AU72</f>
        <v>6.333333333333333</v>
      </c>
      <c r="V86" s="164">
        <f>'High and Diameter'!AV72</f>
        <v>1657.3208615651185</v>
      </c>
      <c r="W86" s="37">
        <f>'High and Diameter'!AW72</f>
        <v>3.4215167548500967</v>
      </c>
      <c r="X86" s="37">
        <f>'High and Diameter'!AX72</f>
        <v>1.7580144777662867</v>
      </c>
      <c r="Y86" s="37">
        <f>'High and Diameter'!AY72</f>
        <v>8.3657367669388307</v>
      </c>
      <c r="Z86" s="92">
        <f t="shared" si="25"/>
        <v>5.4999999999999893</v>
      </c>
    </row>
    <row r="87" spans="1:27" ht="15.75" thickBot="1" x14ac:dyDescent="0.3">
      <c r="A87" s="272"/>
      <c r="B87" s="252" t="s">
        <v>141</v>
      </c>
      <c r="C87" s="365">
        <f>'High and Diameter'!F73</f>
        <v>19.073333333333334</v>
      </c>
      <c r="D87" s="288">
        <f>'High and Diameter'!J73</f>
        <v>6.330000000000001</v>
      </c>
      <c r="E87" s="262">
        <f>'High and Diameter'!K73</f>
        <v>1808.6177505681567</v>
      </c>
      <c r="F87" s="366">
        <f>'High and Diameter'!Q73</f>
        <v>18.506666666666664</v>
      </c>
      <c r="G87" s="288">
        <f>'High and Diameter'!U73</f>
        <v>6.1833333333333336</v>
      </c>
      <c r="H87" s="248">
        <f>'High and Diameter'!V73</f>
        <v>1663.2937133686594</v>
      </c>
      <c r="I87" s="265">
        <f>'High and Diameter'!W73</f>
        <v>2.9709891646277695</v>
      </c>
      <c r="J87" s="265">
        <f>'High and Diameter'!X73</f>
        <v>2.3170089520800534</v>
      </c>
      <c r="K87" s="265">
        <f>'High and Diameter'!Y73</f>
        <v>8.0350885173965256</v>
      </c>
      <c r="L87" s="92">
        <f t="shared" si="24"/>
        <v>4.6333333333333293</v>
      </c>
      <c r="O87" s="273"/>
      <c r="P87" s="252" t="s">
        <v>141</v>
      </c>
      <c r="Q87" s="193">
        <f>'High and Diameter'!AF73</f>
        <v>18.806666666666668</v>
      </c>
      <c r="R87" s="59">
        <f>'High and Diameter'!AJ73</f>
        <v>6.46</v>
      </c>
      <c r="S87" s="261">
        <f>'High and Diameter'!AK73</f>
        <v>1794.5107055664309</v>
      </c>
      <c r="T87" s="193">
        <f>'High and Diameter'!AQ73</f>
        <v>18.25333333333333</v>
      </c>
      <c r="U87" s="59">
        <f>'High and Diameter'!AU73</f>
        <v>6.3433333333333337</v>
      </c>
      <c r="V87" s="165">
        <f>'High and Diameter'!AV73</f>
        <v>1659.937683978116</v>
      </c>
      <c r="W87" s="264">
        <f>'High and Diameter'!AW73</f>
        <v>2.9422190712513547</v>
      </c>
      <c r="X87" s="264">
        <f>'High and Diameter'!AX73</f>
        <v>1.8059855521155768</v>
      </c>
      <c r="Y87" s="264">
        <f>'High and Diameter'!AY73</f>
        <v>7.4991484403453299</v>
      </c>
      <c r="Z87" s="92">
        <f t="shared" si="25"/>
        <v>5.9666666666666579</v>
      </c>
    </row>
    <row r="88" spans="1:27" x14ac:dyDescent="0.25">
      <c r="A88" s="270" t="s">
        <v>161</v>
      </c>
      <c r="B88" s="250"/>
      <c r="C88" s="364">
        <f t="shared" ref="C88:J88" si="26">AVERAGE(C81:C87)</f>
        <v>19.014761904761905</v>
      </c>
      <c r="D88" s="364">
        <f t="shared" si="26"/>
        <v>6.4171428571428564</v>
      </c>
      <c r="E88" s="370">
        <f t="shared" si="26"/>
        <v>1822.2524495014547</v>
      </c>
      <c r="F88" s="191">
        <f t="shared" si="26"/>
        <v>18.447142857142858</v>
      </c>
      <c r="G88" s="364">
        <f t="shared" si="26"/>
        <v>6.2595238095238086</v>
      </c>
      <c r="H88" s="263">
        <f t="shared" si="26"/>
        <v>1672.9394563000719</v>
      </c>
      <c r="I88" s="23">
        <f t="shared" si="26"/>
        <v>2.9849561072089665</v>
      </c>
      <c r="J88" s="23">
        <f t="shared" si="26"/>
        <v>2.4579348011404614</v>
      </c>
      <c r="K88" s="23">
        <f>AVERAGE(K81:K87)</f>
        <v>8.1935264089577213</v>
      </c>
      <c r="L88" s="23">
        <f>AVERAGE(L81:L87)</f>
        <v>4.9261904761904773</v>
      </c>
      <c r="M88" s="92"/>
      <c r="O88" s="270" t="s">
        <v>161</v>
      </c>
      <c r="P88" s="250"/>
      <c r="Q88" s="364">
        <f t="shared" ref="Q88:X88" si="27">AVERAGE(Q81:Q87)</f>
        <v>18.847619047619048</v>
      </c>
      <c r="R88" s="364">
        <f t="shared" si="27"/>
        <v>6.5076190476190474</v>
      </c>
      <c r="S88" s="370">
        <f t="shared" si="27"/>
        <v>1815.5364860656096</v>
      </c>
      <c r="T88" s="191">
        <f t="shared" si="27"/>
        <v>18.179047619047619</v>
      </c>
      <c r="U88" s="364">
        <f t="shared" si="27"/>
        <v>6.3876190476190482</v>
      </c>
      <c r="V88" s="263">
        <f t="shared" si="27"/>
        <v>1657.8608382860184</v>
      </c>
      <c r="W88" s="23">
        <f t="shared" si="27"/>
        <v>3.5471114456073338</v>
      </c>
      <c r="X88" s="23">
        <f t="shared" si="27"/>
        <v>1.8431226956710307</v>
      </c>
      <c r="Y88" s="23">
        <f>AVERAGE(Y81:Y87)</f>
        <v>8.6820932743971522</v>
      </c>
      <c r="Z88" s="23">
        <f>AVERAGE(Z81:Z87)</f>
        <v>5.7619047619047636</v>
      </c>
      <c r="AA88" s="92"/>
    </row>
    <row r="89" spans="1:27" ht="15.75" thickBot="1" x14ac:dyDescent="0.3">
      <c r="A89" s="273" t="s">
        <v>162</v>
      </c>
      <c r="B89" s="363"/>
      <c r="C89" s="193">
        <f t="shared" ref="C89:J89" si="28">STDEV(C81:C87)</f>
        <v>4.7213351174223456E-2</v>
      </c>
      <c r="D89" s="59">
        <f t="shared" si="28"/>
        <v>7.7446004402316027E-2</v>
      </c>
      <c r="E89" s="165">
        <f t="shared" si="28"/>
        <v>20.913485003742196</v>
      </c>
      <c r="F89" s="193">
        <f t="shared" si="28"/>
        <v>4.5233082429033095E-2</v>
      </c>
      <c r="G89" s="59">
        <f t="shared" si="28"/>
        <v>9.244474969424557E-2</v>
      </c>
      <c r="H89" s="165">
        <f t="shared" si="28"/>
        <v>22.500988066891573</v>
      </c>
      <c r="I89" s="61">
        <f t="shared" si="28"/>
        <v>0.20574864289967304</v>
      </c>
      <c r="J89" s="61">
        <f t="shared" si="28"/>
        <v>0.54903508994678485</v>
      </c>
      <c r="K89" s="61">
        <f>STDEV(K81:K87)</f>
        <v>0.69718937371656264</v>
      </c>
      <c r="L89" s="61">
        <f>STDEV(L81:L87)</f>
        <v>0.23606675587111728</v>
      </c>
      <c r="M89" s="92"/>
      <c r="O89" s="273" t="s">
        <v>162</v>
      </c>
      <c r="P89" s="363"/>
      <c r="Q89" s="193">
        <f t="shared" ref="Q89:X89" si="29">STDEV(Q81:Q87)</f>
        <v>6.4884920513574848E-2</v>
      </c>
      <c r="R89" s="59">
        <f t="shared" si="29"/>
        <v>9.4940805841095863E-2</v>
      </c>
      <c r="S89" s="165">
        <f t="shared" si="29"/>
        <v>20.681939870289739</v>
      </c>
      <c r="T89" s="193">
        <f t="shared" si="29"/>
        <v>7.7428922859859015E-2</v>
      </c>
      <c r="U89" s="59">
        <f t="shared" si="29"/>
        <v>8.9000921462443525E-2</v>
      </c>
      <c r="V89" s="165">
        <f t="shared" si="29"/>
        <v>17.119554171580091</v>
      </c>
      <c r="W89" s="61">
        <f t="shared" si="29"/>
        <v>0.29893432173079687</v>
      </c>
      <c r="X89" s="61">
        <f t="shared" si="29"/>
        <v>0.13147102536982649</v>
      </c>
      <c r="Y89" s="61">
        <f>STDEV(Y81:Y87)</f>
        <v>0.62327351724824454</v>
      </c>
      <c r="Z89" s="61">
        <f>STDEV(Z81:Z87)</f>
        <v>0.32442460256787425</v>
      </c>
      <c r="AA89" s="92"/>
    </row>
    <row r="90" spans="1:27" ht="15.75" thickBot="1" x14ac:dyDescent="0.3">
      <c r="A90" s="160" t="str">
        <f>'High and Diameter'!A74</f>
        <v>SSA-Av-Raw #2</v>
      </c>
      <c r="B90" s="161"/>
      <c r="C90" s="161" t="s">
        <v>4</v>
      </c>
      <c r="D90" s="161"/>
      <c r="E90" s="161"/>
      <c r="F90" s="161" t="s">
        <v>230</v>
      </c>
      <c r="G90" s="161"/>
      <c r="H90" s="161"/>
      <c r="I90" s="162"/>
      <c r="J90" s="162"/>
      <c r="K90" s="162"/>
      <c r="L90" s="92"/>
      <c r="O90" s="10" t="str">
        <f>'High and Diameter'!AA74</f>
        <v>SSA-Av-ED #2</v>
      </c>
      <c r="P90" s="256"/>
      <c r="Q90" s="6" t="s">
        <v>4</v>
      </c>
      <c r="R90" s="6"/>
      <c r="S90" s="6"/>
      <c r="T90" s="161" t="s">
        <v>230</v>
      </c>
      <c r="U90" s="6"/>
      <c r="V90" s="6"/>
      <c r="W90" s="200"/>
      <c r="X90" s="200"/>
      <c r="Y90" s="200"/>
      <c r="Z90" s="92"/>
    </row>
    <row r="91" spans="1:27" ht="15.75" thickBot="1" x14ac:dyDescent="0.3">
      <c r="A91" s="242"/>
      <c r="B91" s="249" t="s">
        <v>6</v>
      </c>
      <c r="C91" s="246" t="s">
        <v>228</v>
      </c>
      <c r="D91" s="6" t="s">
        <v>229</v>
      </c>
      <c r="E91" s="258" t="str">
        <f>'High and Diameter'!K75</f>
        <v>Vol</v>
      </c>
      <c r="F91" s="10" t="s">
        <v>228</v>
      </c>
      <c r="G91" s="6" t="s">
        <v>229</v>
      </c>
      <c r="H91" s="200" t="str">
        <f>'High and Diameter'!V75</f>
        <v>Vol</v>
      </c>
      <c r="I91" s="162" t="str">
        <f>'High and Diameter'!W75</f>
        <v>Shrinkage D [%]</v>
      </c>
      <c r="J91" s="162" t="str">
        <f>'High and Diameter'!X75</f>
        <v>Shrinkage h [%]</v>
      </c>
      <c r="K91" s="162" t="str">
        <f>'High and Diameter'!Y75</f>
        <v>Shrinkage [%]</v>
      </c>
      <c r="L91" t="s">
        <v>313</v>
      </c>
      <c r="O91" s="242"/>
      <c r="P91" s="249" t="s">
        <v>6</v>
      </c>
      <c r="Q91" s="10" t="s">
        <v>228</v>
      </c>
      <c r="R91" s="6" t="s">
        <v>229</v>
      </c>
      <c r="S91" s="258" t="str">
        <f>'High and Diameter'!AK75</f>
        <v>vol</v>
      </c>
      <c r="T91" s="10" t="s">
        <v>228</v>
      </c>
      <c r="U91" s="6" t="s">
        <v>229</v>
      </c>
      <c r="V91" s="200" t="str">
        <f>'High and Diameter'!AV75</f>
        <v>Vol</v>
      </c>
      <c r="W91" s="162" t="str">
        <f>'High and Diameter'!AW75</f>
        <v>Shrinkage D [%]</v>
      </c>
      <c r="X91" s="162" t="str">
        <f>'High and Diameter'!AX75</f>
        <v>Shrinkage h [%]</v>
      </c>
      <c r="Y91" s="162" t="str">
        <f>'High and Diameter'!AY75</f>
        <v>Shrinkage [%]</v>
      </c>
      <c r="Z91" t="s">
        <v>313</v>
      </c>
    </row>
    <row r="92" spans="1:27" x14ac:dyDescent="0.25">
      <c r="A92" s="266" t="s">
        <v>169</v>
      </c>
      <c r="B92" s="250" t="s">
        <v>135</v>
      </c>
      <c r="C92" s="364">
        <f>'High and Diameter'!F76</f>
        <v>18.993333333333332</v>
      </c>
      <c r="D92" s="62">
        <f>'High and Diameter'!J76</f>
        <v>6.330000000000001</v>
      </c>
      <c r="E92" s="259">
        <f>'High and Diameter'!K76</f>
        <v>1793.4776615882704</v>
      </c>
      <c r="F92" s="191">
        <f>'High and Diameter'!Q76</f>
        <v>18.703333333333333</v>
      </c>
      <c r="G92" s="62">
        <f>'High and Diameter'!U76</f>
        <v>6.3466666666666667</v>
      </c>
      <c r="H92" s="163">
        <f>'High and Diameter'!V76</f>
        <v>1743.7073519616151</v>
      </c>
      <c r="I92" s="263">
        <f>'High and Diameter'!W76</f>
        <v>1.5268515268515224</v>
      </c>
      <c r="J92" s="263">
        <f>'High and Diameter'!X76</f>
        <v>-0.26329647182726251</v>
      </c>
      <c r="K92" s="263">
        <f>'High and Diameter'!Y76</f>
        <v>2.7750727367621408</v>
      </c>
      <c r="L92" s="92">
        <f t="shared" ref="L92:L98" si="30">(20-C92)/20*100</f>
        <v>5.0333333333333385</v>
      </c>
      <c r="O92" s="266" t="s">
        <v>170</v>
      </c>
      <c r="P92" s="257" t="s">
        <v>135</v>
      </c>
      <c r="Q92" s="191">
        <f>'High and Diameter'!AF76</f>
        <v>19.063333333333336</v>
      </c>
      <c r="R92" s="62">
        <f>'High and Diameter'!AJ76</f>
        <v>6.4266666666666667</v>
      </c>
      <c r="S92" s="259">
        <f>'High and Diameter'!AK76</f>
        <v>1834.3125603053588</v>
      </c>
      <c r="T92" s="191">
        <f>'High and Diameter'!AQ76</f>
        <v>18.47</v>
      </c>
      <c r="U92" s="62">
        <f>'High and Diameter'!AU76</f>
        <v>6.2166666666666659</v>
      </c>
      <c r="V92" s="163">
        <f>'High and Diameter'!AV76</f>
        <v>1665.6404291211277</v>
      </c>
      <c r="W92" s="263">
        <f>'High and Diameter'!AW76</f>
        <v>3.1124322433992155</v>
      </c>
      <c r="X92" s="263">
        <f>'High and Diameter'!AX76</f>
        <v>3.2676348547717975</v>
      </c>
      <c r="Y92" s="263">
        <f>'High and Diameter'!AY76</f>
        <v>9.1953865897397673</v>
      </c>
      <c r="Z92" s="92">
        <f t="shared" ref="Z92:Z98" si="31">(20-Q92)/20*100</f>
        <v>4.6833333333333194</v>
      </c>
    </row>
    <row r="93" spans="1:27" x14ac:dyDescent="0.25">
      <c r="A93" s="267"/>
      <c r="B93" s="251" t="s">
        <v>136</v>
      </c>
      <c r="C93" s="360">
        <f>'High and Diameter'!F77</f>
        <v>19.066666666666666</v>
      </c>
      <c r="D93" s="26">
        <f>'High and Diameter'!J77</f>
        <v>6.63</v>
      </c>
      <c r="E93" s="260">
        <f>'High and Diameter'!K77</f>
        <v>1893.0102168386595</v>
      </c>
      <c r="F93" s="192">
        <f>'High and Diameter'!Q77</f>
        <v>18.626666666666665</v>
      </c>
      <c r="G93" s="26">
        <f>'High and Diameter'!U77</f>
        <v>6.54</v>
      </c>
      <c r="H93" s="164">
        <f>'High and Diameter'!V77</f>
        <v>1782.1239844845059</v>
      </c>
      <c r="I93" s="37">
        <f>'High and Diameter'!W77</f>
        <v>2.3076923076923146</v>
      </c>
      <c r="J93" s="37">
        <f>'High and Diameter'!X77</f>
        <v>1.3574660633484141</v>
      </c>
      <c r="K93" s="37">
        <f>'High and Diameter'!Y77</f>
        <v>5.8576668719376732</v>
      </c>
      <c r="L93" s="92">
        <f t="shared" si="30"/>
        <v>4.6666666666666679</v>
      </c>
      <c r="O93" s="267"/>
      <c r="P93" s="251" t="s">
        <v>136</v>
      </c>
      <c r="Q93" s="192">
        <f>'High and Diameter'!AF77</f>
        <v>19.05</v>
      </c>
      <c r="R93" s="26">
        <f>'High and Diameter'!AJ77</f>
        <v>6.5766666666666671</v>
      </c>
      <c r="S93" s="260">
        <f>'High and Diameter'!AK77</f>
        <v>1874.5009804863057</v>
      </c>
      <c r="T93" s="192">
        <f>'High and Diameter'!AQ77</f>
        <v>18.450000000000003</v>
      </c>
      <c r="U93" s="26">
        <f>'High and Diameter'!AU77</f>
        <v>6.3766666666666678</v>
      </c>
      <c r="V93" s="164">
        <f>'High and Diameter'!AV77</f>
        <v>1704.8113875943891</v>
      </c>
      <c r="W93" s="37">
        <f>'High and Diameter'!AW77</f>
        <v>3.1496062992125875</v>
      </c>
      <c r="X93" s="37">
        <f>'High and Diameter'!AX77</f>
        <v>3.0410542321337957</v>
      </c>
      <c r="Y93" s="37">
        <f>'High and Diameter'!AY77</f>
        <v>9.0525208926747904</v>
      </c>
      <c r="Z93" s="92">
        <f t="shared" si="31"/>
        <v>4.7499999999999964</v>
      </c>
    </row>
    <row r="94" spans="1:27" x14ac:dyDescent="0.25">
      <c r="A94" s="267"/>
      <c r="B94" s="251" t="s">
        <v>137</v>
      </c>
      <c r="C94" s="360">
        <f>'High and Diameter'!F78</f>
        <v>18.84</v>
      </c>
      <c r="D94" s="26">
        <f>'High and Diameter'!J78</f>
        <v>6.4733333333333336</v>
      </c>
      <c r="E94" s="260">
        <f>'High and Diameter'!K78</f>
        <v>1804.5945819864744</v>
      </c>
      <c r="F94" s="192">
        <f>'High and Diameter'!Q78</f>
        <v>18.563333333333333</v>
      </c>
      <c r="G94" s="26">
        <f>'High and Diameter'!U78</f>
        <v>6.3733333333333322</v>
      </c>
      <c r="H94" s="164">
        <f>'High and Diameter'!V78</f>
        <v>1724.9179473001268</v>
      </c>
      <c r="I94" s="37">
        <f>'High and Diameter'!W78</f>
        <v>1.4685067232837965</v>
      </c>
      <c r="J94" s="37">
        <f>'High and Diameter'!X78</f>
        <v>1.544799176107128</v>
      </c>
      <c r="K94" s="37">
        <f>'High and Diameter'!Y78</f>
        <v>4.4152096809822288</v>
      </c>
      <c r="L94" s="92">
        <f t="shared" si="30"/>
        <v>5.8000000000000007</v>
      </c>
      <c r="O94" s="267"/>
      <c r="P94" s="251" t="s">
        <v>137</v>
      </c>
      <c r="Q94" s="192">
        <f>'High and Diameter'!AF78</f>
        <v>19.013333333333332</v>
      </c>
      <c r="R94" s="26">
        <f>'High and Diameter'!AJ78</f>
        <v>6.6366666666666667</v>
      </c>
      <c r="S94" s="260">
        <f>'High and Diameter'!AK78</f>
        <v>1884.3276068646894</v>
      </c>
      <c r="T94" s="192">
        <f>'High and Diameter'!AQ78</f>
        <v>18.413333333333334</v>
      </c>
      <c r="U94" s="26">
        <f>'High and Diameter'!AU78</f>
        <v>6.413333333333334</v>
      </c>
      <c r="V94" s="164">
        <f>'High and Diameter'!AV78</f>
        <v>1707.8059595004656</v>
      </c>
      <c r="W94" s="37">
        <f>'High and Diameter'!AW78</f>
        <v>3.1556802244039157</v>
      </c>
      <c r="X94" s="37">
        <f>'High and Diameter'!AX78</f>
        <v>3.3651431441486599</v>
      </c>
      <c r="Y94" s="37">
        <f>'High and Diameter'!AY78</f>
        <v>9.3678852191703594</v>
      </c>
      <c r="Z94" s="92">
        <f t="shared" si="31"/>
        <v>4.9333333333333407</v>
      </c>
    </row>
    <row r="95" spans="1:27" x14ac:dyDescent="0.25">
      <c r="A95" s="267"/>
      <c r="B95" s="251" t="s">
        <v>138</v>
      </c>
      <c r="C95" s="360">
        <f>'High and Diameter'!F79</f>
        <v>18.893333333333331</v>
      </c>
      <c r="D95" s="26">
        <f>'High and Diameter'!J79</f>
        <v>6.3833333333333329</v>
      </c>
      <c r="E95" s="260">
        <f>'High and Diameter'!K79</f>
        <v>1789.5942622310354</v>
      </c>
      <c r="F95" s="192">
        <f>'High and Diameter'!Q79</f>
        <v>18.559999999999999</v>
      </c>
      <c r="G95" s="26">
        <f>'High and Diameter'!U79</f>
        <v>6.2333333333333334</v>
      </c>
      <c r="H95" s="164">
        <f>'High and Diameter'!V79</f>
        <v>1686.4216809885218</v>
      </c>
      <c r="I95" s="37">
        <f>'High and Diameter'!W79</f>
        <v>1.7642907551164371</v>
      </c>
      <c r="J95" s="37">
        <f>'High and Diameter'!X79</f>
        <v>2.3498694516971197</v>
      </c>
      <c r="K95" s="37">
        <f>'High and Diameter'!Y79</f>
        <v>5.7651381332599572</v>
      </c>
      <c r="L95" s="92">
        <f t="shared" si="30"/>
        <v>5.5333333333333456</v>
      </c>
      <c r="O95" s="267"/>
      <c r="P95" s="251" t="s">
        <v>138</v>
      </c>
      <c r="Q95" s="192">
        <f>'High and Diameter'!AF79</f>
        <v>18.973333333333333</v>
      </c>
      <c r="R95" s="26">
        <f>'High and Diameter'!AJ79</f>
        <v>6.666666666666667</v>
      </c>
      <c r="S95" s="260">
        <f>'High and Diameter'!AK79</f>
        <v>1884.8895023528667</v>
      </c>
      <c r="T95" s="192">
        <f>'High and Diameter'!AQ79</f>
        <v>18.406666666666666</v>
      </c>
      <c r="U95" s="26">
        <f>'High and Diameter'!AU79</f>
        <v>6.4766666666666666</v>
      </c>
      <c r="V95" s="164">
        <f>'High and Diameter'!AV79</f>
        <v>1723.4223566290248</v>
      </c>
      <c r="W95" s="37">
        <f>'High and Diameter'!AW79</f>
        <v>2.9866479269149671</v>
      </c>
      <c r="X95" s="37">
        <f>'High and Diameter'!AX79</f>
        <v>2.8500000000000059</v>
      </c>
      <c r="Y95" s="37">
        <f>'High and Diameter'!AY79</f>
        <v>8.5663984823665249</v>
      </c>
      <c r="Z95" s="92">
        <f t="shared" si="31"/>
        <v>5.1333333333333364</v>
      </c>
    </row>
    <row r="96" spans="1:27" x14ac:dyDescent="0.25">
      <c r="A96" s="267"/>
      <c r="B96" s="251" t="s">
        <v>139</v>
      </c>
      <c r="C96" s="360">
        <f>'High and Diameter'!F80</f>
        <v>18.87</v>
      </c>
      <c r="D96" s="26">
        <f>'High and Diameter'!J80</f>
        <v>6.4133333333333331</v>
      </c>
      <c r="E96" s="260">
        <f>'High and Diameter'!K80</f>
        <v>1793.5665456220206</v>
      </c>
      <c r="F96" s="192">
        <f>'High and Diameter'!Q80</f>
        <v>18.63</v>
      </c>
      <c r="G96" s="26">
        <f>'High and Diameter'!U80</f>
        <v>6.4799999999999995</v>
      </c>
      <c r="H96" s="164">
        <f>'High and Diameter'!V80</f>
        <v>1766.4062676185652</v>
      </c>
      <c r="I96" s="37">
        <f>'High and Diameter'!W80</f>
        <v>1.2718600953895176</v>
      </c>
      <c r="J96" s="37">
        <f>'High and Diameter'!X80</f>
        <v>-1.039501039501036</v>
      </c>
      <c r="K96" s="37">
        <f>'High and Diameter'!Y80</f>
        <v>1.5143167154713013</v>
      </c>
      <c r="L96" s="92">
        <f t="shared" si="30"/>
        <v>5.649999999999995</v>
      </c>
      <c r="O96" s="267"/>
      <c r="P96" s="251" t="s">
        <v>139</v>
      </c>
      <c r="Q96" s="192">
        <f>'High and Diameter'!AF80</f>
        <v>19.023333333333337</v>
      </c>
      <c r="R96" s="26">
        <f>'High and Diameter'!AJ80</f>
        <v>6.5366666666666662</v>
      </c>
      <c r="S96" s="260">
        <f>'High and Diameter'!AK80</f>
        <v>1857.8876847993295</v>
      </c>
      <c r="T96" s="192">
        <f>'High and Diameter'!AQ80</f>
        <v>18.486666666666668</v>
      </c>
      <c r="U96" s="26">
        <f>'High and Diameter'!AU80</f>
        <v>6.39</v>
      </c>
      <c r="V96" s="164">
        <f>'High and Diameter'!AV80</f>
        <v>1715.1731149335624</v>
      </c>
      <c r="W96" s="37">
        <f>'High and Diameter'!AW80</f>
        <v>2.8210968985456568</v>
      </c>
      <c r="X96" s="37">
        <f>'High and Diameter'!AX80</f>
        <v>2.2437531871494114</v>
      </c>
      <c r="Y96" s="37">
        <f>'High and Diameter'!AY80</f>
        <v>7.6815499146376922</v>
      </c>
      <c r="Z96" s="92">
        <f t="shared" si="31"/>
        <v>4.8833333333333151</v>
      </c>
    </row>
    <row r="97" spans="1:26" x14ac:dyDescent="0.25">
      <c r="A97" s="267"/>
      <c r="B97" s="251" t="s">
        <v>140</v>
      </c>
      <c r="C97" s="360">
        <f>'High and Diameter'!F81</f>
        <v>18.83666666666667</v>
      </c>
      <c r="D97" s="26">
        <f>'High and Diameter'!J81</f>
        <v>6.68</v>
      </c>
      <c r="E97" s="260">
        <f>'High and Diameter'!K81</f>
        <v>1861.5489002230374</v>
      </c>
      <c r="F97" s="192">
        <f>'High and Diameter'!Q81</f>
        <v>18.453333333333333</v>
      </c>
      <c r="G97" s="26">
        <f>'High and Diameter'!U81</f>
        <v>6.52</v>
      </c>
      <c r="H97" s="164">
        <f>'High and Diameter'!V81</f>
        <v>1743.7616838285189</v>
      </c>
      <c r="I97" s="37">
        <f>'High and Diameter'!W81</f>
        <v>2.0350380463634918</v>
      </c>
      <c r="J97" s="37">
        <f>'High and Diameter'!X81</f>
        <v>2.3952095808383254</v>
      </c>
      <c r="K97" s="37">
        <f>'High and Diameter'!Y81</f>
        <v>6.3273769698129385</v>
      </c>
      <c r="L97" s="92">
        <f t="shared" si="30"/>
        <v>5.8166666666666522</v>
      </c>
      <c r="O97" s="267"/>
      <c r="P97" s="251" t="s">
        <v>140</v>
      </c>
      <c r="Q97" s="192">
        <f>'High and Diameter'!AF81</f>
        <v>19.013333333333332</v>
      </c>
      <c r="R97" s="26">
        <f>'High and Diameter'!AJ81</f>
        <v>6.4633333333333338</v>
      </c>
      <c r="S97" s="260">
        <f>'High and Diameter'!AK81</f>
        <v>1835.1136261730953</v>
      </c>
      <c r="T97" s="192">
        <f>'High and Diameter'!AQ81</f>
        <v>18.793333333333333</v>
      </c>
      <c r="U97" s="26">
        <f>'High and Diameter'!AU81</f>
        <v>6.25</v>
      </c>
      <c r="V97" s="164">
        <f>'High and Diameter'!AV81</f>
        <v>1733.7143039884636</v>
      </c>
      <c r="W97" s="37">
        <f>'High and Diameter'!AW81</f>
        <v>1.1570827489481006</v>
      </c>
      <c r="X97" s="37">
        <f>'High and Diameter'!AX81</f>
        <v>3.3006704486848961</v>
      </c>
      <c r="Y97" s="37">
        <f>'High and Diameter'!AY81</f>
        <v>5.5255064721026343</v>
      </c>
      <c r="Z97" s="92">
        <f t="shared" si="31"/>
        <v>4.9333333333333407</v>
      </c>
    </row>
    <row r="98" spans="1:26" ht="15.75" thickBot="1" x14ac:dyDescent="0.3">
      <c r="A98" s="269"/>
      <c r="B98" s="252" t="s">
        <v>141</v>
      </c>
      <c r="C98" s="365">
        <f>'High and Diameter'!F82</f>
        <v>18.986666666666668</v>
      </c>
      <c r="D98" s="288">
        <f>'High and Diameter'!J82</f>
        <v>6.4233333333333329</v>
      </c>
      <c r="E98" s="262">
        <f>'High and Diameter'!K82</f>
        <v>1818.6444145135433</v>
      </c>
      <c r="F98" s="366">
        <f>'High and Diameter'!Q82</f>
        <v>18.663333333333334</v>
      </c>
      <c r="G98" s="288">
        <f>'High and Diameter'!U82</f>
        <v>6.4633333333333338</v>
      </c>
      <c r="H98" s="248">
        <f>'High and Diameter'!V82</f>
        <v>1768.1734342847167</v>
      </c>
      <c r="I98" s="265">
        <f>'High and Diameter'!W82</f>
        <v>1.7029494382022514</v>
      </c>
      <c r="J98" s="265">
        <f>'High and Diameter'!X82</f>
        <v>-0.62272963155164907</v>
      </c>
      <c r="K98" s="265">
        <f>'High and Diameter'!Y82</f>
        <v>2.7751978246020559</v>
      </c>
      <c r="L98" s="92">
        <f t="shared" si="30"/>
        <v>5.0666666666666593</v>
      </c>
      <c r="O98" s="268"/>
      <c r="P98" s="252" t="s">
        <v>141</v>
      </c>
      <c r="Q98" s="193">
        <f>'High and Diameter'!AF82</f>
        <v>18.996666666666666</v>
      </c>
      <c r="R98" s="59">
        <f>'High and Diameter'!AJ82</f>
        <v>6.6333333333333329</v>
      </c>
      <c r="S98" s="261">
        <f>'High and Diameter'!AK82</f>
        <v>1880.0807709068836</v>
      </c>
      <c r="T98" s="193">
        <f>'High and Diameter'!AQ82</f>
        <v>18.5</v>
      </c>
      <c r="U98" s="59">
        <f>'High and Diameter'!AU82</f>
        <v>6.4333333333333336</v>
      </c>
      <c r="V98" s="165">
        <f>'High and Diameter'!AV82</f>
        <v>1729.2962211531967</v>
      </c>
      <c r="W98" s="264">
        <f>'High and Diameter'!AW82</f>
        <v>2.6144937708369862</v>
      </c>
      <c r="X98" s="264">
        <f>'High and Diameter'!AX82</f>
        <v>3.0150753768844116</v>
      </c>
      <c r="Y98" s="264">
        <f>'High and Diameter'!AY82</f>
        <v>8.0201102041458459</v>
      </c>
      <c r="Z98" s="92">
        <f t="shared" si="31"/>
        <v>5.0166666666666693</v>
      </c>
    </row>
    <row r="99" spans="1:26" x14ac:dyDescent="0.25">
      <c r="A99" s="266" t="s">
        <v>161</v>
      </c>
      <c r="B99" s="250"/>
      <c r="C99" s="364">
        <f t="shared" ref="C99:J99" si="32">AVERAGE(C92:C98)</f>
        <v>18.926666666666669</v>
      </c>
      <c r="D99" s="364">
        <f t="shared" si="32"/>
        <v>6.4761904761904754</v>
      </c>
      <c r="E99" s="370">
        <f t="shared" si="32"/>
        <v>1822.0623690004343</v>
      </c>
      <c r="F99" s="191">
        <f t="shared" si="32"/>
        <v>18.599999999999998</v>
      </c>
      <c r="G99" s="364">
        <f t="shared" si="32"/>
        <v>6.4223809523809523</v>
      </c>
      <c r="H99" s="263">
        <f t="shared" si="32"/>
        <v>1745.0731929237959</v>
      </c>
      <c r="I99" s="23">
        <f t="shared" si="32"/>
        <v>1.7253126989856187</v>
      </c>
      <c r="J99" s="23">
        <f t="shared" si="32"/>
        <v>0.81740244701586284</v>
      </c>
      <c r="K99" s="23">
        <f>AVERAGE(K92:K98)</f>
        <v>4.2042827046897573</v>
      </c>
      <c r="L99" s="23">
        <f>AVERAGE(L92:L98)</f>
        <v>5.3666666666666663</v>
      </c>
      <c r="O99" s="266" t="s">
        <v>161</v>
      </c>
      <c r="P99" s="250"/>
      <c r="Q99" s="364">
        <f t="shared" ref="Q99:X99" si="33">AVERAGE(Q92:Q98)</f>
        <v>19.019047619047619</v>
      </c>
      <c r="R99" s="364">
        <f t="shared" si="33"/>
        <v>6.5628571428571423</v>
      </c>
      <c r="S99" s="370">
        <f t="shared" si="33"/>
        <v>1864.4446759840755</v>
      </c>
      <c r="T99" s="191">
        <f t="shared" si="33"/>
        <v>18.502857142857145</v>
      </c>
      <c r="U99" s="364">
        <f t="shared" si="33"/>
        <v>6.3652380952380962</v>
      </c>
      <c r="V99" s="263">
        <f t="shared" si="33"/>
        <v>1711.4091104171753</v>
      </c>
      <c r="W99" s="23">
        <f t="shared" si="33"/>
        <v>2.7138628731802044</v>
      </c>
      <c r="X99" s="23">
        <f t="shared" si="33"/>
        <v>3.0119044633961396</v>
      </c>
      <c r="Y99" s="23">
        <f>AVERAGE(Y92:Y98)</f>
        <v>8.2013368249768011</v>
      </c>
      <c r="Z99" s="23">
        <f>AVERAGE(Z92:Z98)</f>
        <v>4.9047619047619024</v>
      </c>
    </row>
    <row r="100" spans="1:26" ht="15.75" thickBot="1" x14ac:dyDescent="0.3">
      <c r="A100" s="268" t="s">
        <v>162</v>
      </c>
      <c r="B100" s="363"/>
      <c r="C100" s="193">
        <f t="shared" ref="C100:J100" si="34">STDEV(C92:C98)</f>
        <v>8.9048467867951273E-2</v>
      </c>
      <c r="D100" s="59">
        <f t="shared" si="34"/>
        <v>0.13034752084514742</v>
      </c>
      <c r="E100" s="165">
        <f t="shared" si="34"/>
        <v>39.985131949161115</v>
      </c>
      <c r="F100" s="193">
        <f t="shared" si="34"/>
        <v>8.2417186269567649E-2</v>
      </c>
      <c r="G100" s="59">
        <f t="shared" si="34"/>
        <v>0.10972548719273266</v>
      </c>
      <c r="H100" s="165">
        <f t="shared" si="34"/>
        <v>32.174787588590689</v>
      </c>
      <c r="I100" s="61">
        <f t="shared" si="34"/>
        <v>0.35309833697507842</v>
      </c>
      <c r="J100" s="61">
        <f t="shared" si="34"/>
        <v>1.4346129732616133</v>
      </c>
      <c r="K100" s="61">
        <f>STDEV(K92:K98)</f>
        <v>1.8727346346720219</v>
      </c>
      <c r="L100" s="61">
        <f>STDEV(L92:L98)</f>
        <v>0.44524233933975638</v>
      </c>
      <c r="O100" s="268" t="s">
        <v>162</v>
      </c>
      <c r="P100" s="363"/>
      <c r="Q100" s="193">
        <f t="shared" ref="Q100:X100" si="35">STDEV(Q92:Q98)</f>
        <v>3.0533180841098181E-2</v>
      </c>
      <c r="R100" s="59">
        <f t="shared" si="35"/>
        <v>9.1761134583797546E-2</v>
      </c>
      <c r="S100" s="165">
        <f t="shared" si="35"/>
        <v>22.249298123823024</v>
      </c>
      <c r="T100" s="193">
        <f t="shared" si="35"/>
        <v>0.13278259272667048</v>
      </c>
      <c r="U100" s="59">
        <f t="shared" si="35"/>
        <v>9.6145282483933642E-2</v>
      </c>
      <c r="V100" s="165">
        <f t="shared" si="35"/>
        <v>22.829954868678232</v>
      </c>
      <c r="W100" s="61">
        <f t="shared" si="35"/>
        <v>0.71452569856879233</v>
      </c>
      <c r="X100" s="61">
        <f t="shared" si="35"/>
        <v>0.38529006282920308</v>
      </c>
      <c r="Y100" s="61">
        <f>STDEV(Y92:Y98)</f>
        <v>1.3335319030829604</v>
      </c>
      <c r="Z100" s="61">
        <f>STDEV(Z92:Z98)</f>
        <v>0.15266590420549089</v>
      </c>
    </row>
    <row r="101" spans="1:26" x14ac:dyDescent="0.25">
      <c r="A101" s="270" t="s">
        <v>175</v>
      </c>
      <c r="B101" s="250" t="s">
        <v>135</v>
      </c>
      <c r="C101" s="364">
        <f>'High and Diameter'!F83</f>
        <v>18.906666666666666</v>
      </c>
      <c r="D101" s="62">
        <f>'High and Diameter'!J83</f>
        <v>6.63</v>
      </c>
      <c r="E101" s="259">
        <f>'High and Diameter'!K83</f>
        <v>1861.3727200560891</v>
      </c>
      <c r="F101" s="191">
        <f>'High and Diameter'!Q83</f>
        <v>18.296666666666667</v>
      </c>
      <c r="G101" s="62">
        <f>'High and Diameter'!U83</f>
        <v>6.3466666666666667</v>
      </c>
      <c r="H101" s="163">
        <f>'High and Diameter'!V83</f>
        <v>1668.7048293234723</v>
      </c>
      <c r="I101" s="263">
        <f>'High and Diameter'!W83</f>
        <v>3.2263751763046513</v>
      </c>
      <c r="J101" s="263">
        <f>'High and Diameter'!X83</f>
        <v>4.2735042735042716</v>
      </c>
      <c r="K101" s="263">
        <f>'High and Diameter'!Y83</f>
        <v>10.350849599150196</v>
      </c>
      <c r="L101" s="92">
        <f t="shared" ref="L101:L107" si="36">(20-C101)/20*100</f>
        <v>5.4666666666666686</v>
      </c>
      <c r="O101" s="270" t="s">
        <v>176</v>
      </c>
      <c r="P101" s="257" t="s">
        <v>135</v>
      </c>
      <c r="Q101" s="191">
        <f>'High and Diameter'!AF83</f>
        <v>18.896666666666665</v>
      </c>
      <c r="R101" s="62">
        <f>'High and Diameter'!AJ83</f>
        <v>6.4233333333333329</v>
      </c>
      <c r="S101" s="259">
        <f>'High and Diameter'!AK83</f>
        <v>1801.4439159187907</v>
      </c>
      <c r="T101" s="191">
        <f>'High and Diameter'!AQ83</f>
        <v>18.13</v>
      </c>
      <c r="U101" s="62">
        <f>'High and Diameter'!AU83</f>
        <v>6.3533333333333344</v>
      </c>
      <c r="V101" s="163">
        <f>'High and Diameter'!AV83</f>
        <v>1640.1634554695754</v>
      </c>
      <c r="W101" s="263">
        <f>'High and Diameter'!AW83</f>
        <v>4.0571529370259256</v>
      </c>
      <c r="X101" s="263">
        <f>'High and Diameter'!AX83</f>
        <v>1.0897768552153375</v>
      </c>
      <c r="Y101" s="263">
        <f>'High and Diameter'!AY83</f>
        <v>8.9528438284439957</v>
      </c>
      <c r="Z101" s="92">
        <f t="shared" ref="Z101:Z107" si="37">(20-Q101)/20*100</f>
        <v>5.5166666666666764</v>
      </c>
    </row>
    <row r="102" spans="1:26" x14ac:dyDescent="0.25">
      <c r="A102" s="271"/>
      <c r="B102" s="251" t="s">
        <v>136</v>
      </c>
      <c r="C102" s="360">
        <f>'High and Diameter'!F84</f>
        <v>18.856666666666666</v>
      </c>
      <c r="D102" s="26">
        <f>'High and Diameter'!J84</f>
        <v>6.4433333333333325</v>
      </c>
      <c r="E102" s="260">
        <f>'High and Diameter'!K84</f>
        <v>1799.4108246337094</v>
      </c>
      <c r="F102" s="192">
        <f>'High and Diameter'!Q84</f>
        <v>18.183333333333334</v>
      </c>
      <c r="G102" s="26">
        <f>'High and Diameter'!U84</f>
        <v>6.2366666666666672</v>
      </c>
      <c r="H102" s="164">
        <f>'High and Diameter'!V84</f>
        <v>1619.5315561968416</v>
      </c>
      <c r="I102" s="37">
        <f>'High and Diameter'!W84</f>
        <v>3.5707972423545979</v>
      </c>
      <c r="J102" s="37">
        <f>'High and Diameter'!X84</f>
        <v>3.2074495602689899</v>
      </c>
      <c r="K102" s="37">
        <f>'High and Diameter'!Y84</f>
        <v>9.9965647629959218</v>
      </c>
      <c r="L102" s="92">
        <f t="shared" si="36"/>
        <v>5.7166666666666721</v>
      </c>
      <c r="O102" s="271"/>
      <c r="P102" s="251" t="s">
        <v>136</v>
      </c>
      <c r="Q102" s="192">
        <f>'High and Diameter'!AF84</f>
        <v>19.206666666666667</v>
      </c>
      <c r="R102" s="26">
        <f>'High and Diameter'!AJ84</f>
        <v>6.46</v>
      </c>
      <c r="S102" s="260">
        <f>'High and Diameter'!AK84</f>
        <v>1871.6575816114757</v>
      </c>
      <c r="T102" s="192">
        <f>'High and Diameter'!AQ84</f>
        <v>18.046666666666667</v>
      </c>
      <c r="U102" s="26">
        <f>'High and Diameter'!AU84</f>
        <v>6.3133333333333326</v>
      </c>
      <c r="V102" s="164">
        <f>'High and Diameter'!AV84</f>
        <v>1614.8886967414442</v>
      </c>
      <c r="W102" s="37">
        <f>'High and Diameter'!AW84</f>
        <v>6.0395695938910112</v>
      </c>
      <c r="X102" s="37">
        <f>'High and Diameter'!AX84</f>
        <v>2.2703818369453157</v>
      </c>
      <c r="Y102" s="37">
        <f>'High and Diameter'!AY84</f>
        <v>13.718795969557448</v>
      </c>
      <c r="Z102" s="92">
        <f t="shared" si="37"/>
        <v>3.966666666666665</v>
      </c>
    </row>
    <row r="103" spans="1:26" x14ac:dyDescent="0.25">
      <c r="A103" s="271"/>
      <c r="B103" s="251" t="s">
        <v>137</v>
      </c>
      <c r="C103" s="360">
        <f>'High and Diameter'!F85</f>
        <v>18.823333333333334</v>
      </c>
      <c r="D103" s="26">
        <f>'High and Diameter'!J85</f>
        <v>6.6766666666666667</v>
      </c>
      <c r="E103" s="260">
        <f>'High and Diameter'!K85</f>
        <v>1857.9868758749772</v>
      </c>
      <c r="F103" s="192">
        <f>'High and Diameter'!Q85</f>
        <v>18.123333333333335</v>
      </c>
      <c r="G103" s="26">
        <f>'High and Diameter'!U85</f>
        <v>6.41</v>
      </c>
      <c r="H103" s="164">
        <f>'High and Diameter'!V85</f>
        <v>1653.5756464115725</v>
      </c>
      <c r="I103" s="37">
        <f>'High and Diameter'!W85</f>
        <v>3.7187887373826771</v>
      </c>
      <c r="J103" s="37">
        <f>'High and Diameter'!X85</f>
        <v>3.9940089865202184</v>
      </c>
      <c r="K103" s="37">
        <f>'High and Diameter'!Y85</f>
        <v>11.001758522494502</v>
      </c>
      <c r="L103" s="92">
        <f t="shared" si="36"/>
        <v>5.8833333333333293</v>
      </c>
      <c r="O103" s="271"/>
      <c r="P103" s="251" t="s">
        <v>137</v>
      </c>
      <c r="Q103" s="192">
        <f>'High and Diameter'!AF85</f>
        <v>19.22</v>
      </c>
      <c r="R103" s="26">
        <f>'High and Diameter'!AJ85</f>
        <v>6.5100000000000007</v>
      </c>
      <c r="S103" s="260">
        <f>'High and Diameter'!AK85</f>
        <v>1888.7637396623707</v>
      </c>
      <c r="T103" s="192">
        <f>'High and Diameter'!AQ85</f>
        <v>18.079999999999998</v>
      </c>
      <c r="U103" s="26">
        <f>'High and Diameter'!AU85</f>
        <v>6.3833333333333329</v>
      </c>
      <c r="V103" s="164">
        <f>'High and Diameter'!AV85</f>
        <v>1638.8313275074693</v>
      </c>
      <c r="W103" s="37">
        <f>'High and Diameter'!AW85</f>
        <v>5.9313215400624379</v>
      </c>
      <c r="X103" s="37">
        <f>'High and Diameter'!AX85</f>
        <v>1.9457245263697052</v>
      </c>
      <c r="Y103" s="37">
        <f>'High and Diameter'!AY85</f>
        <v>13.232592669296928</v>
      </c>
      <c r="Z103" s="92">
        <f t="shared" si="37"/>
        <v>3.9000000000000057</v>
      </c>
    </row>
    <row r="104" spans="1:26" x14ac:dyDescent="0.25">
      <c r="A104" s="271"/>
      <c r="B104" s="251" t="s">
        <v>138</v>
      </c>
      <c r="C104" s="360">
        <f>'High and Diameter'!F86</f>
        <v>18.853333333333335</v>
      </c>
      <c r="D104" s="26">
        <f>'High and Diameter'!J86</f>
        <v>6.5733333333333333</v>
      </c>
      <c r="E104" s="260">
        <f>'High and Diameter'!K86</f>
        <v>1835.0665944366767</v>
      </c>
      <c r="F104" s="192">
        <f>'High and Diameter'!Q86</f>
        <v>18.073333333333331</v>
      </c>
      <c r="G104" s="26">
        <f>'High and Diameter'!U86</f>
        <v>6.3233333333333333</v>
      </c>
      <c r="H104" s="164">
        <f>'High and Diameter'!V86</f>
        <v>1622.2301718653484</v>
      </c>
      <c r="I104" s="37">
        <f>'High and Diameter'!W86</f>
        <v>4.1371994342291618</v>
      </c>
      <c r="J104" s="37">
        <f>'High and Diameter'!X86</f>
        <v>3.8032454361054771</v>
      </c>
      <c r="K104" s="37">
        <f>'High and Diameter'!Y86</f>
        <v>11.598294209952865</v>
      </c>
      <c r="L104" s="92">
        <f t="shared" si="36"/>
        <v>5.7333333333333236</v>
      </c>
      <c r="O104" s="271"/>
      <c r="P104" s="251" t="s">
        <v>138</v>
      </c>
      <c r="Q104" s="192">
        <f>'High and Diameter'!AF86</f>
        <v>19.22666666666667</v>
      </c>
      <c r="R104" s="26">
        <f>'High and Diameter'!AJ86</f>
        <v>6.4266666666666667</v>
      </c>
      <c r="S104" s="260">
        <f>'High and Diameter'!AK86</f>
        <v>1865.8797447536833</v>
      </c>
      <c r="T104" s="192">
        <f>'High and Diameter'!AQ86</f>
        <v>18.476666666666663</v>
      </c>
      <c r="U104" s="26">
        <f>'High and Diameter'!AU86</f>
        <v>6.3066666666666658</v>
      </c>
      <c r="V104" s="164">
        <f>'High and Diameter'!AV86</f>
        <v>1690.9742975259005</v>
      </c>
      <c r="W104" s="37">
        <f>'High and Diameter'!AW86</f>
        <v>3.9008321775312429</v>
      </c>
      <c r="X104" s="37">
        <f>'High and Diameter'!AX86</f>
        <v>1.8672199170124637</v>
      </c>
      <c r="Y104" s="37">
        <f>'High and Diameter'!AY86</f>
        <v>9.3738863782388222</v>
      </c>
      <c r="Z104" s="92">
        <f t="shared" si="37"/>
        <v>3.8666666666666494</v>
      </c>
    </row>
    <row r="105" spans="1:26" x14ac:dyDescent="0.25">
      <c r="A105" s="271"/>
      <c r="B105" s="251" t="s">
        <v>139</v>
      </c>
      <c r="C105" s="360">
        <f>'High and Diameter'!F87</f>
        <v>18.833333333333332</v>
      </c>
      <c r="D105" s="26">
        <f>'High and Diameter'!J87</f>
        <v>6.6166666666666671</v>
      </c>
      <c r="E105" s="260">
        <f>'High and Diameter'!K87</f>
        <v>1843.2469499646022</v>
      </c>
      <c r="F105" s="192">
        <f>'High and Diameter'!Q87</f>
        <v>17.95</v>
      </c>
      <c r="G105" s="26">
        <f>'High and Diameter'!U87</f>
        <v>6.4233333333333329</v>
      </c>
      <c r="H105" s="164">
        <f>'High and Diameter'!V87</f>
        <v>1625.4710803565392</v>
      </c>
      <c r="I105" s="37">
        <f>'High and Diameter'!W87</f>
        <v>4.6902654867256617</v>
      </c>
      <c r="J105" s="37">
        <f>'High and Diameter'!X87</f>
        <v>2.9219143576826334</v>
      </c>
      <c r="K105" s="37">
        <f>'High and Diameter'!Y87</f>
        <v>11.814796146129261</v>
      </c>
      <c r="L105" s="92">
        <f t="shared" si="36"/>
        <v>5.8333333333333393</v>
      </c>
      <c r="O105" s="271"/>
      <c r="P105" s="251" t="s">
        <v>139</v>
      </c>
      <c r="Q105" s="192">
        <f>'High and Diameter'!AF87</f>
        <v>18.956666666666667</v>
      </c>
      <c r="R105" s="26">
        <f>'High and Diameter'!AJ87</f>
        <v>6.6466666666666674</v>
      </c>
      <c r="S105" s="260">
        <f>'High and Diameter'!AK87</f>
        <v>1875.9347469701806</v>
      </c>
      <c r="T105" s="192">
        <f>'High and Diameter'!AQ87</f>
        <v>18.203333333333333</v>
      </c>
      <c r="U105" s="26">
        <f>'High and Diameter'!AU87</f>
        <v>6.47</v>
      </c>
      <c r="V105" s="164">
        <f>'High and Diameter'!AV87</f>
        <v>1683.8213260188163</v>
      </c>
      <c r="W105" s="37">
        <f>'High and Diameter'!AW87</f>
        <v>3.9739757341304758</v>
      </c>
      <c r="X105" s="37">
        <f>'High and Diameter'!AX87</f>
        <v>2.65797392176531</v>
      </c>
      <c r="Y105" s="37">
        <f>'High and Diameter'!AY87</f>
        <v>10.240943682164128</v>
      </c>
      <c r="Z105" s="92">
        <f t="shared" si="37"/>
        <v>5.216666666666665</v>
      </c>
    </row>
    <row r="106" spans="1:26" x14ac:dyDescent="0.25">
      <c r="A106" s="271"/>
      <c r="B106" s="251" t="s">
        <v>140</v>
      </c>
      <c r="C106" s="360">
        <f>'High and Diameter'!F88</f>
        <v>18.823333333333334</v>
      </c>
      <c r="D106" s="26">
        <f>'High and Diameter'!J88</f>
        <v>6.66</v>
      </c>
      <c r="E106" s="260">
        <f>'High and Diameter'!K88</f>
        <v>1853.3488657005514</v>
      </c>
      <c r="F106" s="192">
        <f>'High and Diameter'!Q88</f>
        <v>18.206666666666667</v>
      </c>
      <c r="G106" s="26">
        <f>'High and Diameter'!U88</f>
        <v>6.4366666666666665</v>
      </c>
      <c r="H106" s="164">
        <f>'High and Diameter'!V88</f>
        <v>1675.7598568217491</v>
      </c>
      <c r="I106" s="37">
        <f>'High and Diameter'!W88</f>
        <v>3.2760757924561741</v>
      </c>
      <c r="J106" s="37">
        <f>'High and Diameter'!X88</f>
        <v>3.3533533533533575</v>
      </c>
      <c r="K106" s="37">
        <f>'High and Diameter'!Y88</f>
        <v>9.5820604617617473</v>
      </c>
      <c r="L106" s="92">
        <f t="shared" si="36"/>
        <v>5.8833333333333293</v>
      </c>
      <c r="O106" s="271"/>
      <c r="P106" s="251" t="s">
        <v>140</v>
      </c>
      <c r="Q106" s="192">
        <f>'High and Diameter'!AF88</f>
        <v>18.903333333333332</v>
      </c>
      <c r="R106" s="26">
        <f>'High and Diameter'!AJ88</f>
        <v>6.45</v>
      </c>
      <c r="S106" s="260">
        <f>'High and Diameter'!AK88</f>
        <v>1810.1992521337174</v>
      </c>
      <c r="T106" s="192">
        <f>'High and Diameter'!AQ88</f>
        <v>18.09</v>
      </c>
      <c r="U106" s="26">
        <f>'High and Diameter'!AU88</f>
        <v>6.376666666666666</v>
      </c>
      <c r="V106" s="164">
        <f>'High and Diameter'!AV88</f>
        <v>1638.9312283212582</v>
      </c>
      <c r="W106" s="37">
        <f>'High and Diameter'!AW88</f>
        <v>4.3025921354258472</v>
      </c>
      <c r="X106" s="37">
        <f>'High and Diameter'!AX88</f>
        <v>1.1369509043927772</v>
      </c>
      <c r="Y106" s="37">
        <f>'High and Diameter'!AY88</f>
        <v>9.4612802215326415</v>
      </c>
      <c r="Z106" s="92">
        <f t="shared" si="37"/>
        <v>5.4833333333333378</v>
      </c>
    </row>
    <row r="107" spans="1:26" ht="15.75" thickBot="1" x14ac:dyDescent="0.3">
      <c r="A107" s="272"/>
      <c r="B107" s="252" t="s">
        <v>141</v>
      </c>
      <c r="C107" s="365">
        <f>'High and Diameter'!F89</f>
        <v>18.813333333333333</v>
      </c>
      <c r="D107" s="288">
        <f>'High and Diameter'!J89</f>
        <v>6.6466666666666656</v>
      </c>
      <c r="E107" s="262">
        <f>'High and Diameter'!K89</f>
        <v>1847.6737182563586</v>
      </c>
      <c r="F107" s="366">
        <f>'High and Diameter'!Q89</f>
        <v>18.163333333333338</v>
      </c>
      <c r="G107" s="288">
        <f>'High and Diameter'!U89</f>
        <v>6.3499999999999988</v>
      </c>
      <c r="H107" s="248">
        <f>'High and Diameter'!V89</f>
        <v>1645.3364275020504</v>
      </c>
      <c r="I107" s="265">
        <f>'High and Diameter'!W89</f>
        <v>3.4549964564138649</v>
      </c>
      <c r="J107" s="265">
        <f>'High and Diameter'!X89</f>
        <v>4.4633901705115377</v>
      </c>
      <c r="K107" s="265">
        <f>'High and Diameter'!Y89</f>
        <v>10.950921082822623</v>
      </c>
      <c r="L107" s="92">
        <f t="shared" si="36"/>
        <v>5.9333333333333371</v>
      </c>
      <c r="O107" s="273"/>
      <c r="P107" s="252" t="s">
        <v>141</v>
      </c>
      <c r="Q107" s="193">
        <f>'High and Diameter'!AF89</f>
        <v>18.783333333333331</v>
      </c>
      <c r="R107" s="59">
        <f>'High and Diameter'!AJ89</f>
        <v>6.4366666666666665</v>
      </c>
      <c r="S107" s="261">
        <f>'High and Diameter'!AK89</f>
        <v>1783.5949406186146</v>
      </c>
      <c r="T107" s="193">
        <f>'High and Diameter'!AQ89</f>
        <v>18.146666666666665</v>
      </c>
      <c r="U107" s="59">
        <f>'High and Diameter'!AU89</f>
        <v>6.293333333333333</v>
      </c>
      <c r="V107" s="165">
        <f>'High and Diameter'!AV89</f>
        <v>1627.662434113023</v>
      </c>
      <c r="W107" s="264">
        <f>'High and Diameter'!AW89</f>
        <v>3.3895297249334524</v>
      </c>
      <c r="X107" s="264">
        <f>'High and Diameter'!AX89</f>
        <v>2.2268254790264144</v>
      </c>
      <c r="Y107" s="264">
        <f>'High and Diameter'!AY89</f>
        <v>8.7425963684057457</v>
      </c>
      <c r="Z107" s="92">
        <f t="shared" si="37"/>
        <v>6.0833333333333428</v>
      </c>
    </row>
    <row r="108" spans="1:26" x14ac:dyDescent="0.25">
      <c r="A108" s="270" t="s">
        <v>161</v>
      </c>
      <c r="B108" s="250"/>
      <c r="C108" s="364">
        <f t="shared" ref="C108:J108" si="38">AVERAGE(C101:C107)</f>
        <v>18.844285714285718</v>
      </c>
      <c r="D108" s="364">
        <f t="shared" si="38"/>
        <v>6.6066666666666665</v>
      </c>
      <c r="E108" s="370">
        <f t="shared" si="38"/>
        <v>1842.5866498461378</v>
      </c>
      <c r="F108" s="191">
        <f t="shared" si="38"/>
        <v>18.142380952380954</v>
      </c>
      <c r="G108" s="364">
        <f t="shared" si="38"/>
        <v>6.3609523809523809</v>
      </c>
      <c r="H108" s="263">
        <f t="shared" si="38"/>
        <v>1644.3727954967962</v>
      </c>
      <c r="I108" s="23">
        <f t="shared" si="38"/>
        <v>3.7249283322666846</v>
      </c>
      <c r="J108" s="23">
        <f t="shared" si="38"/>
        <v>3.7166951625637838</v>
      </c>
      <c r="K108" s="23">
        <f>AVERAGE(K101:K107)</f>
        <v>10.756463540758158</v>
      </c>
      <c r="L108" s="23">
        <f>AVERAGE(L101:L107)</f>
        <v>5.7785714285714294</v>
      </c>
      <c r="O108" s="270" t="s">
        <v>161</v>
      </c>
      <c r="P108" s="250"/>
      <c r="Q108" s="364">
        <f t="shared" ref="Q108:X108" si="39">AVERAGE(Q101:Q107)</f>
        <v>19.027619047619048</v>
      </c>
      <c r="R108" s="364">
        <f t="shared" si="39"/>
        <v>6.4790476190476198</v>
      </c>
      <c r="S108" s="370">
        <f t="shared" si="39"/>
        <v>1842.4962745241189</v>
      </c>
      <c r="T108" s="191">
        <f t="shared" si="39"/>
        <v>18.167619047619045</v>
      </c>
      <c r="U108" s="364">
        <f t="shared" si="39"/>
        <v>6.3566666666666674</v>
      </c>
      <c r="V108" s="263">
        <f t="shared" si="39"/>
        <v>1647.8961093853552</v>
      </c>
      <c r="W108" s="23">
        <f t="shared" si="39"/>
        <v>4.5135676918571992</v>
      </c>
      <c r="X108" s="23">
        <f t="shared" si="39"/>
        <v>1.8849790629610461</v>
      </c>
      <c r="Y108" s="23">
        <f>AVERAGE(Y101:Y107)</f>
        <v>10.531848445377102</v>
      </c>
      <c r="Z108" s="23">
        <f>AVERAGE(Z101:Z107)</f>
        <v>4.8619047619047633</v>
      </c>
    </row>
    <row r="109" spans="1:26" ht="15.75" thickBot="1" x14ac:dyDescent="0.3">
      <c r="A109" s="273" t="s">
        <v>162</v>
      </c>
      <c r="B109" s="363"/>
      <c r="C109" s="193">
        <f t="shared" ref="C109:J109" si="40">STDEV(C101:C107)</f>
        <v>3.1839544810763364E-2</v>
      </c>
      <c r="D109" s="59">
        <f t="shared" si="40"/>
        <v>7.934920476158748E-2</v>
      </c>
      <c r="E109" s="165">
        <f t="shared" si="40"/>
        <v>21.027466415626488</v>
      </c>
      <c r="F109" s="193">
        <f t="shared" si="40"/>
        <v>0.10969172772946592</v>
      </c>
      <c r="G109" s="59">
        <f t="shared" si="40"/>
        <v>6.9780456929660034E-2</v>
      </c>
      <c r="H109" s="165">
        <f t="shared" si="40"/>
        <v>22.830806405837503</v>
      </c>
      <c r="I109" s="61">
        <f t="shared" si="40"/>
        <v>0.52416988979569157</v>
      </c>
      <c r="J109" s="61">
        <f t="shared" si="40"/>
        <v>0.57373173308790992</v>
      </c>
      <c r="K109" s="61">
        <f>STDEV(K101:K107)</f>
        <v>0.82137299250976903</v>
      </c>
      <c r="L109" s="61">
        <f>STDEV(L101:L107)</f>
        <v>0.15919772405381682</v>
      </c>
      <c r="O109" s="273" t="s">
        <v>162</v>
      </c>
      <c r="P109" s="363"/>
      <c r="Q109" s="193">
        <f t="shared" ref="Q109:X109" si="41">STDEV(Q101:Q107)</f>
        <v>0.18528970595334102</v>
      </c>
      <c r="R109" s="59">
        <f t="shared" si="41"/>
        <v>7.948245289031014E-2</v>
      </c>
      <c r="S109" s="165">
        <f t="shared" si="41"/>
        <v>42.531829686835117</v>
      </c>
      <c r="T109" s="193">
        <f t="shared" si="41"/>
        <v>0.14547131937912866</v>
      </c>
      <c r="U109" s="59">
        <f t="shared" si="41"/>
        <v>6.1040363088090653E-2</v>
      </c>
      <c r="V109" s="165">
        <f t="shared" si="41"/>
        <v>28.482672181735378</v>
      </c>
      <c r="W109" s="61">
        <f t="shared" si="41"/>
        <v>1.0425608323895272</v>
      </c>
      <c r="X109" s="61">
        <f t="shared" si="41"/>
        <v>0.58577774481361833</v>
      </c>
      <c r="Y109" s="61">
        <f>STDEV(Y101:Y107)</f>
        <v>2.0703039435573412</v>
      </c>
      <c r="Z109" s="61">
        <f>STDEV(Z101:Z107)</f>
        <v>0.92644852976670589</v>
      </c>
    </row>
    <row r="110" spans="1:26" ht="15.75" thickBot="1" x14ac:dyDescent="0.3">
      <c r="A110" s="160" t="str">
        <f>'High and Diameter'!A90</f>
        <v>SSA-Av-Raw #3</v>
      </c>
      <c r="B110" s="161"/>
      <c r="C110" s="161" t="s">
        <v>4</v>
      </c>
      <c r="D110" s="161"/>
      <c r="E110" s="161"/>
      <c r="F110" s="161" t="s">
        <v>231</v>
      </c>
      <c r="G110" s="161"/>
      <c r="H110" s="161"/>
      <c r="I110" s="162"/>
      <c r="J110" s="162"/>
      <c r="K110" s="162"/>
      <c r="L110" s="92"/>
      <c r="O110" s="10" t="str">
        <f>'High and Diameter'!AA90</f>
        <v>SSA-Av-ED #3</v>
      </c>
      <c r="P110" s="256"/>
      <c r="Q110" s="6" t="s">
        <v>4</v>
      </c>
      <c r="R110" s="6"/>
      <c r="S110" s="6"/>
      <c r="T110" s="6" t="s">
        <v>231</v>
      </c>
      <c r="U110" s="6"/>
      <c r="V110" s="6"/>
      <c r="W110" s="200"/>
      <c r="X110" s="200"/>
      <c r="Y110" s="200"/>
      <c r="Z110" s="92"/>
    </row>
    <row r="111" spans="1:26" ht="15.75" thickBot="1" x14ac:dyDescent="0.3">
      <c r="A111" s="242"/>
      <c r="B111" s="249" t="s">
        <v>6</v>
      </c>
      <c r="C111" s="246" t="s">
        <v>228</v>
      </c>
      <c r="D111" s="6" t="s">
        <v>229</v>
      </c>
      <c r="E111" s="258" t="str">
        <f>'High and Diameter'!K91</f>
        <v>Vol</v>
      </c>
      <c r="F111" s="10" t="s">
        <v>228</v>
      </c>
      <c r="G111" s="6" t="s">
        <v>229</v>
      </c>
      <c r="H111" s="200" t="str">
        <f>'High and Diameter'!V91</f>
        <v>Vol</v>
      </c>
      <c r="I111" s="162" t="str">
        <f>'High and Diameter'!W91</f>
        <v>Shrinkage D [%]</v>
      </c>
      <c r="J111" s="162" t="str">
        <f>'High and Diameter'!X91</f>
        <v>Shrinkage h [%]</v>
      </c>
      <c r="K111" s="162" t="str">
        <f>'High and Diameter'!Y91</f>
        <v>Shrinkage [%]</v>
      </c>
      <c r="L111" t="s">
        <v>313</v>
      </c>
      <c r="O111" s="242"/>
      <c r="P111" s="249" t="s">
        <v>6</v>
      </c>
      <c r="Q111" s="10" t="s">
        <v>228</v>
      </c>
      <c r="R111" s="6" t="s">
        <v>229</v>
      </c>
      <c r="S111" s="258" t="str">
        <f>'High and Diameter'!AK91</f>
        <v>Vol</v>
      </c>
      <c r="T111" s="10" t="s">
        <v>228</v>
      </c>
      <c r="U111" s="6" t="s">
        <v>229</v>
      </c>
      <c r="V111" s="200" t="str">
        <f>'High and Diameter'!AV91</f>
        <v>Vol</v>
      </c>
      <c r="W111" s="162" t="str">
        <f>'High and Diameter'!AW91</f>
        <v>Shrinkage D [%]</v>
      </c>
      <c r="X111" s="162" t="str">
        <f>'High and Diameter'!AX91</f>
        <v>Shrinkage h [%]</v>
      </c>
      <c r="Y111" s="162" t="str">
        <f>'High and Diameter'!AY91</f>
        <v>Shrinkage [%]</v>
      </c>
      <c r="Z111" t="s">
        <v>313</v>
      </c>
    </row>
    <row r="112" spans="1:26" x14ac:dyDescent="0.25">
      <c r="A112" s="266" t="s">
        <v>169</v>
      </c>
      <c r="B112" s="250" t="s">
        <v>135</v>
      </c>
      <c r="C112" s="364">
        <f>'High and Diameter'!F92</f>
        <v>19.083333333333332</v>
      </c>
      <c r="D112" s="62">
        <f>'High and Diameter'!J92</f>
        <v>6.2600000000000007</v>
      </c>
      <c r="E112" s="259">
        <f>'High and Diameter'!K92</f>
        <v>1790.4932461312649</v>
      </c>
      <c r="F112" s="191">
        <f>'High and Diameter'!Q92</f>
        <v>18.420000000000002</v>
      </c>
      <c r="G112" s="62">
        <f>'High and Diameter'!U92</f>
        <v>5.956666666666667</v>
      </c>
      <c r="H112" s="163">
        <f>'High and Diameter'!V92</f>
        <v>1587.3490297698768</v>
      </c>
      <c r="I112" s="263">
        <f>'High and Diameter'!W92</f>
        <v>3.4759825327510772</v>
      </c>
      <c r="J112" s="263">
        <f>'High and Diameter'!X92</f>
        <v>4.8455804046858413</v>
      </c>
      <c r="K112" s="263">
        <f>'High and Diameter'!Y92</f>
        <v>11.345712518063033</v>
      </c>
      <c r="L112" s="92">
        <f t="shared" ref="L112:L118" si="42">(20-C112)/20*100</f>
        <v>4.5833333333333393</v>
      </c>
      <c r="O112" s="266" t="s">
        <v>170</v>
      </c>
      <c r="P112" s="257" t="s">
        <v>135</v>
      </c>
      <c r="Q112" s="191">
        <f>'High and Diameter'!AF92</f>
        <v>19.136666666666667</v>
      </c>
      <c r="R112" s="62">
        <f>'High and Diameter'!AJ92</f>
        <v>6.4966666666666661</v>
      </c>
      <c r="S112" s="259">
        <f>'High and Diameter'!AK92</f>
        <v>1868.5858253117558</v>
      </c>
      <c r="T112" s="191">
        <f>'High and Diameter'!AQ92</f>
        <v>18.093333333333334</v>
      </c>
      <c r="U112" s="62">
        <f>'High and Diameter'!AU92</f>
        <v>6.1366666666666667</v>
      </c>
      <c r="V112" s="163">
        <f>'High and Diameter'!AV92</f>
        <v>1577.8277273056678</v>
      </c>
      <c r="W112" s="263">
        <f>'High and Diameter'!AW92</f>
        <v>5.4520118446263695</v>
      </c>
      <c r="X112" s="263">
        <f>'High and Diameter'!AX92</f>
        <v>5.5413032324268769</v>
      </c>
      <c r="Y112" s="263">
        <f>'High and Diameter'!AY92</f>
        <v>15.56032878273481</v>
      </c>
      <c r="Z112" s="92">
        <f t="shared" ref="Z112:Z118" si="43">(20-Q112)/20*100</f>
        <v>4.3166666666666664</v>
      </c>
    </row>
    <row r="113" spans="1:26" x14ac:dyDescent="0.25">
      <c r="A113" s="267"/>
      <c r="B113" s="251" t="s">
        <v>136</v>
      </c>
      <c r="C113" s="360">
        <f>'High and Diameter'!F93</f>
        <v>19.043333333333333</v>
      </c>
      <c r="D113" s="26">
        <f>'High and Diameter'!J93</f>
        <v>6.330000000000001</v>
      </c>
      <c r="E113" s="260">
        <f>'High and Diameter'!K93</f>
        <v>1802.9327598451378</v>
      </c>
      <c r="F113" s="192">
        <f>'High and Diameter'!Q93</f>
        <v>18.356666666666666</v>
      </c>
      <c r="G113" s="26">
        <f>'High and Diameter'!U93</f>
        <v>6.03</v>
      </c>
      <c r="H113" s="164">
        <f>'High and Diameter'!V93</f>
        <v>1595.860175252916</v>
      </c>
      <c r="I113" s="37">
        <f>'High and Diameter'!W93</f>
        <v>3.6058113075442018</v>
      </c>
      <c r="J113" s="37">
        <f>'High and Diameter'!X93</f>
        <v>4.739336492891006</v>
      </c>
      <c r="K113" s="37">
        <f>'High and Diameter'!Y93</f>
        <v>11.485319319951135</v>
      </c>
      <c r="L113" s="92">
        <f t="shared" si="42"/>
        <v>4.783333333333335</v>
      </c>
      <c r="O113" s="267"/>
      <c r="P113" s="251" t="s">
        <v>136</v>
      </c>
      <c r="Q113" s="192">
        <f>'High and Diameter'!AF93</f>
        <v>19.096666666666668</v>
      </c>
      <c r="R113" s="26">
        <f>'High and Diameter'!AJ93</f>
        <v>6.3133333333333335</v>
      </c>
      <c r="S113" s="260">
        <f>'High and Diameter'!AK93</f>
        <v>1808.271911773367</v>
      </c>
      <c r="T113" s="192">
        <f>'High and Diameter'!AQ93</f>
        <v>18.040000000000003</v>
      </c>
      <c r="U113" s="26">
        <f>'High and Diameter'!AU93</f>
        <v>5.8866666666666667</v>
      </c>
      <c r="V113" s="164">
        <f>'High and Diameter'!AV93</f>
        <v>1504.6392696396749</v>
      </c>
      <c r="W113" s="37">
        <f>'High and Diameter'!AW93</f>
        <v>5.5332518764182135</v>
      </c>
      <c r="X113" s="37">
        <f>'High and Diameter'!AX93</f>
        <v>6.7581837381203806</v>
      </c>
      <c r="Y113" s="37">
        <f>'High and Diameter'!AY93</f>
        <v>16.791315518246392</v>
      </c>
      <c r="Z113" s="92">
        <f t="shared" si="43"/>
        <v>4.5166666666666622</v>
      </c>
    </row>
    <row r="114" spans="1:26" x14ac:dyDescent="0.25">
      <c r="A114" s="267"/>
      <c r="B114" s="251" t="s">
        <v>137</v>
      </c>
      <c r="C114" s="360">
        <f>'High and Diameter'!F94</f>
        <v>19.05</v>
      </c>
      <c r="D114" s="26">
        <f>'High and Diameter'!J94</f>
        <v>6.32</v>
      </c>
      <c r="E114" s="260">
        <f>'High and Diameter'!K94</f>
        <v>1801.3450881916044</v>
      </c>
      <c r="F114" s="192">
        <f>'High and Diameter'!Q94</f>
        <v>18.216666666666665</v>
      </c>
      <c r="G114" s="26">
        <f>'High and Diameter'!U94</f>
        <v>6.0933333333333337</v>
      </c>
      <c r="H114" s="164">
        <f>'High and Diameter'!V94</f>
        <v>1588.1175357059308</v>
      </c>
      <c r="I114" s="37">
        <f>'High and Diameter'!W94</f>
        <v>4.3744531933508437</v>
      </c>
      <c r="J114" s="37">
        <f>'High and Diameter'!X94</f>
        <v>3.586497890295357</v>
      </c>
      <c r="K114" s="37">
        <f>'High and Diameter'!Y94</f>
        <v>11.837129591850486</v>
      </c>
      <c r="L114" s="92">
        <f t="shared" si="42"/>
        <v>4.7499999999999964</v>
      </c>
      <c r="O114" s="267"/>
      <c r="P114" s="251" t="s">
        <v>137</v>
      </c>
      <c r="Q114" s="192">
        <f>'High and Diameter'!AF94</f>
        <v>19.16</v>
      </c>
      <c r="R114" s="26">
        <f>'High and Diameter'!AJ94</f>
        <v>6.6066666666666665</v>
      </c>
      <c r="S114" s="260">
        <f>'High and Diameter'!AK94</f>
        <v>1904.8609829120132</v>
      </c>
      <c r="T114" s="192">
        <f>'High and Diameter'!AQ94</f>
        <v>17.886666666666667</v>
      </c>
      <c r="U114" s="26">
        <f>'High and Diameter'!AU94</f>
        <v>6.1499999999999995</v>
      </c>
      <c r="V114" s="164">
        <f>'High and Diameter'!AV94</f>
        <v>1545.3392108887074</v>
      </c>
      <c r="W114" s="37">
        <f>'High and Diameter'!AW94</f>
        <v>6.6457898399443289</v>
      </c>
      <c r="X114" s="37">
        <f>'High and Diameter'!AX94</f>
        <v>6.912209889001014</v>
      </c>
      <c r="Y114" s="37">
        <f>'High and Diameter'!AY94</f>
        <v>18.873911285310442</v>
      </c>
      <c r="Z114" s="92">
        <f t="shared" si="43"/>
        <v>4.1999999999999993</v>
      </c>
    </row>
    <row r="115" spans="1:26" x14ac:dyDescent="0.25">
      <c r="A115" s="267"/>
      <c r="B115" s="251" t="s">
        <v>138</v>
      </c>
      <c r="C115" s="360">
        <f>'High and Diameter'!F95</f>
        <v>19.02</v>
      </c>
      <c r="D115" s="26">
        <f>'High and Diameter'!J95</f>
        <v>6.4666666666666659</v>
      </c>
      <c r="E115" s="260">
        <f>'High and Diameter'!K95</f>
        <v>1837.3478342495227</v>
      </c>
      <c r="F115" s="192">
        <f>'High and Diameter'!Q95</f>
        <v>18.303333333333331</v>
      </c>
      <c r="G115" s="26">
        <f>'High and Diameter'!U95</f>
        <v>6.3133333333333326</v>
      </c>
      <c r="H115" s="164">
        <f>'High and Diameter'!V95</f>
        <v>1661.150492505908</v>
      </c>
      <c r="I115" s="37">
        <f>'High and Diameter'!W95</f>
        <v>3.7679635471433679</v>
      </c>
      <c r="J115" s="37">
        <f>'High and Diameter'!X95</f>
        <v>2.3711340206185572</v>
      </c>
      <c r="K115" s="37">
        <f>'High and Diameter'!Y95</f>
        <v>9.589765120091359</v>
      </c>
      <c r="L115" s="92">
        <f t="shared" si="42"/>
        <v>4.9000000000000021</v>
      </c>
      <c r="O115" s="267"/>
      <c r="P115" s="251" t="s">
        <v>138</v>
      </c>
      <c r="Q115" s="192">
        <f>'High and Diameter'!AF95</f>
        <v>19.193333333333332</v>
      </c>
      <c r="R115" s="26">
        <f>'High and Diameter'!AJ95</f>
        <v>6.5333333333333341</v>
      </c>
      <c r="S115" s="260">
        <f>'High and Diameter'!AK95</f>
        <v>1890.2772592863921</v>
      </c>
      <c r="T115" s="192">
        <f>'High and Diameter'!AQ95</f>
        <v>17.966666666666669</v>
      </c>
      <c r="U115" s="26">
        <f>'High and Diameter'!AU95</f>
        <v>6.1066666666666665</v>
      </c>
      <c r="V115" s="164">
        <f>'High and Diameter'!AV95</f>
        <v>1548.2073215022617</v>
      </c>
      <c r="W115" s="37">
        <f>'High and Diameter'!AW95</f>
        <v>6.3911080236192932</v>
      </c>
      <c r="X115" s="37">
        <f>'High and Diameter'!AX95</f>
        <v>6.5306122448979735</v>
      </c>
      <c r="Y115" s="37">
        <f>'High and Diameter'!AY95</f>
        <v>18.096283817817653</v>
      </c>
      <c r="Z115" s="92">
        <f t="shared" si="43"/>
        <v>4.0333333333333421</v>
      </c>
    </row>
    <row r="116" spans="1:26" x14ac:dyDescent="0.25">
      <c r="A116" s="267"/>
      <c r="B116" s="251" t="s">
        <v>139</v>
      </c>
      <c r="C116" s="360">
        <f>'High and Diameter'!F96</f>
        <v>19.069999999999997</v>
      </c>
      <c r="D116" s="26">
        <f>'High and Diameter'!J96</f>
        <v>6.413333333333334</v>
      </c>
      <c r="E116" s="260">
        <f>'High and Diameter'!K96</f>
        <v>1831.7874550609079</v>
      </c>
      <c r="F116" s="192">
        <f>'High and Diameter'!Q96</f>
        <v>18.290000000000003</v>
      </c>
      <c r="G116" s="26">
        <f>'High and Diameter'!U96</f>
        <v>6.09</v>
      </c>
      <c r="H116" s="164">
        <f>'High and Diameter'!V96</f>
        <v>1600.0537977508027</v>
      </c>
      <c r="I116" s="37">
        <f>'High and Diameter'!W96</f>
        <v>4.0901940220240913</v>
      </c>
      <c r="J116" s="37">
        <f>'High and Diameter'!X96</f>
        <v>5.0415800415800538</v>
      </c>
      <c r="K116" s="37">
        <f>'High and Diameter'!Y96</f>
        <v>12.650684808975281</v>
      </c>
      <c r="L116" s="92">
        <f t="shared" si="42"/>
        <v>4.6500000000000163</v>
      </c>
      <c r="O116" s="267"/>
      <c r="P116" s="251" t="s">
        <v>139</v>
      </c>
      <c r="Q116" s="192">
        <f>'High and Diameter'!AF96</f>
        <v>19.146666666666665</v>
      </c>
      <c r="R116" s="26">
        <f>'High and Diameter'!AJ96</f>
        <v>6.4066666666666663</v>
      </c>
      <c r="S116" s="260">
        <f>'High and Diameter'!AK96</f>
        <v>1844.6261583578128</v>
      </c>
      <c r="T116" s="192">
        <f>'High and Diameter'!AQ96</f>
        <v>17.966666666666669</v>
      </c>
      <c r="U116" s="26">
        <f>'High and Diameter'!AU96</f>
        <v>6.03</v>
      </c>
      <c r="V116" s="164">
        <f>'High and Diameter'!AV96</f>
        <v>1528.7702208502139</v>
      </c>
      <c r="W116" s="37">
        <f>'High and Diameter'!AW96</f>
        <v>6.1629526462395345</v>
      </c>
      <c r="X116" s="37">
        <f>'High and Diameter'!AX96</f>
        <v>5.8792924037460885</v>
      </c>
      <c r="Y116" s="37">
        <f>'High and Diameter'!AY96</f>
        <v>17.123032549250581</v>
      </c>
      <c r="Z116" s="92">
        <f t="shared" si="43"/>
        <v>4.2666666666666764</v>
      </c>
    </row>
    <row r="117" spans="1:26" x14ac:dyDescent="0.25">
      <c r="A117" s="267"/>
      <c r="B117" s="251" t="s">
        <v>140</v>
      </c>
      <c r="C117" s="360">
        <f>'High and Diameter'!F97</f>
        <v>19.243333333333332</v>
      </c>
      <c r="D117" s="26">
        <f>'High and Diameter'!J97</f>
        <v>6.4733333333333336</v>
      </c>
      <c r="E117" s="260">
        <f>'High and Diameter'!K97</f>
        <v>1882.6884477946007</v>
      </c>
      <c r="F117" s="192">
        <f>'High and Diameter'!Q97</f>
        <v>18.433333333333334</v>
      </c>
      <c r="G117" s="26">
        <f>'High and Diameter'!U97</f>
        <v>6.2566666666666668</v>
      </c>
      <c r="H117" s="164">
        <f>'High and Diameter'!V97</f>
        <v>1669.7084784663705</v>
      </c>
      <c r="I117" s="37">
        <f>'High and Diameter'!W97</f>
        <v>4.2092499566949524</v>
      </c>
      <c r="J117" s="37">
        <f>'High and Diameter'!X97</f>
        <v>3.3470648815653981</v>
      </c>
      <c r="K117" s="37">
        <f>'High and Diameter'!Y97</f>
        <v>11.312544546481764</v>
      </c>
      <c r="L117" s="92">
        <f t="shared" si="42"/>
        <v>3.7833333333333385</v>
      </c>
      <c r="O117" s="267"/>
      <c r="P117" s="251" t="s">
        <v>140</v>
      </c>
      <c r="Q117" s="192">
        <f>'High and Diameter'!AF97</f>
        <v>19.076666666666668</v>
      </c>
      <c r="R117" s="26">
        <f>'High and Diameter'!AJ97</f>
        <v>6.4933333333333332</v>
      </c>
      <c r="S117" s="260">
        <f>'High and Diameter'!AK97</f>
        <v>1855.9341436726022</v>
      </c>
      <c r="T117" s="192">
        <f>'High and Diameter'!AQ97</f>
        <v>18.083333333333332</v>
      </c>
      <c r="U117" s="26">
        <f>'High and Diameter'!AU97</f>
        <v>6.09</v>
      </c>
      <c r="V117" s="164">
        <f>'High and Diameter'!AV97</f>
        <v>1564.098680331907</v>
      </c>
      <c r="W117" s="37">
        <f>'High and Diameter'!AW97</f>
        <v>5.2070592346671454</v>
      </c>
      <c r="X117" s="37">
        <f>'High and Diameter'!AX97</f>
        <v>6.2114989733059547</v>
      </c>
      <c r="Y117" s="37">
        <f>'High and Diameter'!AY97</f>
        <v>15.724451448648857</v>
      </c>
      <c r="Z117" s="92">
        <f t="shared" si="43"/>
        <v>4.61666666666666</v>
      </c>
    </row>
    <row r="118" spans="1:26" ht="15.75" thickBot="1" x14ac:dyDescent="0.3">
      <c r="A118" s="269"/>
      <c r="B118" s="252" t="s">
        <v>141</v>
      </c>
      <c r="C118" s="365">
        <f>'High and Diameter'!F98</f>
        <v>19.136666666666667</v>
      </c>
      <c r="D118" s="288">
        <f>'High and Diameter'!J98</f>
        <v>6.4033333333333333</v>
      </c>
      <c r="E118" s="262">
        <f>'High and Diameter'!K98</f>
        <v>1841.7410828239524</v>
      </c>
      <c r="F118" s="366">
        <f>'High and Diameter'!Q98</f>
        <v>18.563333333333333</v>
      </c>
      <c r="G118" s="288">
        <f>'High and Diameter'!U98</f>
        <v>6.12</v>
      </c>
      <c r="H118" s="248">
        <f>'High and Diameter'!V98</f>
        <v>1656.3542632024235</v>
      </c>
      <c r="I118" s="265">
        <f>'High and Diameter'!W98</f>
        <v>2.9959937293154546</v>
      </c>
      <c r="J118" s="265">
        <f>'High and Diameter'!X98</f>
        <v>4.4247787610619449</v>
      </c>
      <c r="K118" s="265">
        <f>'High and Diameter'!Y98</f>
        <v>10.065845918866851</v>
      </c>
      <c r="L118" s="92">
        <f t="shared" si="42"/>
        <v>4.3166666666666664</v>
      </c>
      <c r="O118" s="268"/>
      <c r="P118" s="252" t="s">
        <v>141</v>
      </c>
      <c r="Q118" s="193">
        <f>'High and Diameter'!AF98</f>
        <v>19.183333333333334</v>
      </c>
      <c r="R118" s="59">
        <f>'High and Diameter'!AJ98</f>
        <v>6.5399999999999991</v>
      </c>
      <c r="S118" s="261">
        <f>'High and Diameter'!AK98</f>
        <v>1890.23489461857</v>
      </c>
      <c r="T118" s="193">
        <f>'High and Diameter'!AQ98</f>
        <v>18.233333333333334</v>
      </c>
      <c r="U118" s="59">
        <f>'High and Diameter'!AU98</f>
        <v>6.1833333333333336</v>
      </c>
      <c r="V118" s="165">
        <f>'High and Diameter'!AV98</f>
        <v>1614.5246639945785</v>
      </c>
      <c r="W118" s="264">
        <f>'High and Diameter'!AW98</f>
        <v>4.952215464813202</v>
      </c>
      <c r="X118" s="264">
        <f>'High and Diameter'!AX98</f>
        <v>5.4536187563710339</v>
      </c>
      <c r="Y118" s="264">
        <f>'High and Diameter'!AY98</f>
        <v>14.586030096520201</v>
      </c>
      <c r="Z118" s="92">
        <f t="shared" si="43"/>
        <v>4.0833333333333321</v>
      </c>
    </row>
    <row r="119" spans="1:26" x14ac:dyDescent="0.25">
      <c r="A119" s="266" t="s">
        <v>161</v>
      </c>
      <c r="B119" s="250"/>
      <c r="C119" s="364">
        <f t="shared" ref="C119:J119" si="44">AVERAGE(C112:C118)</f>
        <v>19.09238095238095</v>
      </c>
      <c r="D119" s="364">
        <f t="shared" si="44"/>
        <v>6.3809523809523814</v>
      </c>
      <c r="E119" s="370">
        <f t="shared" si="44"/>
        <v>1826.9051305852843</v>
      </c>
      <c r="F119" s="191">
        <f t="shared" si="44"/>
        <v>18.36904761904762</v>
      </c>
      <c r="G119" s="364">
        <f t="shared" si="44"/>
        <v>6.1228571428571428</v>
      </c>
      <c r="H119" s="263">
        <f t="shared" si="44"/>
        <v>1622.6562532363184</v>
      </c>
      <c r="I119" s="23">
        <f t="shared" si="44"/>
        <v>3.7885211841177129</v>
      </c>
      <c r="J119" s="23">
        <f t="shared" si="44"/>
        <v>4.0508532132425943</v>
      </c>
      <c r="K119" s="23">
        <f>AVERAGE(K112:K118)</f>
        <v>11.18385740346856</v>
      </c>
      <c r="L119" s="23">
        <f>AVERAGE(L112:L118)</f>
        <v>4.5380952380952424</v>
      </c>
      <c r="O119" s="266" t="s">
        <v>161</v>
      </c>
      <c r="P119" s="250"/>
      <c r="Q119" s="364">
        <f t="shared" ref="Q119:X119" si="45">AVERAGE(Q112:Q118)</f>
        <v>19.141904761904758</v>
      </c>
      <c r="R119" s="364">
        <f t="shared" si="45"/>
        <v>6.484285714285714</v>
      </c>
      <c r="S119" s="370">
        <f t="shared" si="45"/>
        <v>1866.1130251332163</v>
      </c>
      <c r="T119" s="191">
        <f t="shared" si="45"/>
        <v>18.03857142857143</v>
      </c>
      <c r="U119" s="364">
        <f t="shared" si="45"/>
        <v>6.083333333333333</v>
      </c>
      <c r="V119" s="263">
        <f t="shared" si="45"/>
        <v>1554.7724420732873</v>
      </c>
      <c r="W119" s="23">
        <f t="shared" si="45"/>
        <v>5.7634841329040123</v>
      </c>
      <c r="X119" s="23">
        <f t="shared" si="45"/>
        <v>6.1838170339813319</v>
      </c>
      <c r="Y119" s="23">
        <f>AVERAGE(Y112:Y118)</f>
        <v>16.679336214075562</v>
      </c>
      <c r="Z119" s="23">
        <f>AVERAGE(Z112:Z118)</f>
        <v>4.2904761904761912</v>
      </c>
    </row>
    <row r="120" spans="1:26" ht="15.75" thickBot="1" x14ac:dyDescent="0.3">
      <c r="A120" s="268" t="s">
        <v>162</v>
      </c>
      <c r="B120" s="363"/>
      <c r="C120" s="347">
        <f t="shared" ref="C120:J120" si="46">STDEV(C112:C119)</f>
        <v>7.0479407905965658E-2</v>
      </c>
      <c r="D120" s="347">
        <f t="shared" si="46"/>
        <v>7.4038048684856458E-2</v>
      </c>
      <c r="E120" s="371">
        <f t="shared" si="46"/>
        <v>29.322314187979877</v>
      </c>
      <c r="F120" s="193">
        <f t="shared" si="46"/>
        <v>0.10584076517909434</v>
      </c>
      <c r="G120" s="347">
        <f t="shared" si="46"/>
        <v>0.11488335798122817</v>
      </c>
      <c r="H120" s="264">
        <f t="shared" si="46"/>
        <v>34.845983696710988</v>
      </c>
      <c r="I120" s="61">
        <f t="shared" si="46"/>
        <v>0.44254478567512306</v>
      </c>
      <c r="J120" s="61">
        <f t="shared" si="46"/>
        <v>0.9070644131087503</v>
      </c>
      <c r="K120" s="61">
        <f>STDEV(K112:K119)</f>
        <v>0.96385119059424351</v>
      </c>
      <c r="L120" s="61">
        <f>STDEV(L112:L118)</f>
        <v>0.38063230601323367</v>
      </c>
      <c r="O120" s="268" t="s">
        <v>162</v>
      </c>
      <c r="P120" s="363"/>
      <c r="Q120" s="347">
        <f t="shared" ref="Q120:X120" si="47">STDEV(Q112:Q119)</f>
        <v>3.9715541832366932E-2</v>
      </c>
      <c r="R120" s="347">
        <f t="shared" si="47"/>
        <v>8.9419899168736092E-2</v>
      </c>
      <c r="S120" s="371">
        <f t="shared" si="47"/>
        <v>30.669163756703501</v>
      </c>
      <c r="T120" s="193">
        <f t="shared" si="47"/>
        <v>0.10443889597844877</v>
      </c>
      <c r="U120" s="347">
        <f t="shared" si="47"/>
        <v>9.2117936829448563E-2</v>
      </c>
      <c r="V120" s="264">
        <f t="shared" si="47"/>
        <v>32.755348673853454</v>
      </c>
      <c r="W120" s="61">
        <f t="shared" si="47"/>
        <v>0.59157629619205754</v>
      </c>
      <c r="X120" s="61">
        <f t="shared" si="47"/>
        <v>0.53721972498353332</v>
      </c>
      <c r="Y120" s="61">
        <f>STDEV(Y112:Y119)</f>
        <v>1.3927987807638516</v>
      </c>
      <c r="Z120" s="61">
        <f>STDEV(Z112:Z118)</f>
        <v>0.21448844026028352</v>
      </c>
    </row>
    <row r="121" spans="1:26" x14ac:dyDescent="0.25">
      <c r="A121" s="270" t="s">
        <v>175</v>
      </c>
      <c r="B121" s="250" t="s">
        <v>135</v>
      </c>
      <c r="C121" s="364">
        <f>'High and Diameter'!F99</f>
        <v>18.953333333333333</v>
      </c>
      <c r="D121" s="62">
        <f>'High and Diameter'!J99</f>
        <v>6.3566666666666665</v>
      </c>
      <c r="E121" s="259">
        <f>'High and Diameter'!K99</f>
        <v>1793.4551519605518</v>
      </c>
      <c r="F121" s="191">
        <f>'High and Diameter'!Q99</f>
        <v>17.733333333333334</v>
      </c>
      <c r="G121" s="62">
        <f>'High and Diameter'!U99</f>
        <v>5.9966666666666661</v>
      </c>
      <c r="H121" s="163">
        <f>'High and Diameter'!V99</f>
        <v>1481.0869152056353</v>
      </c>
      <c r="I121" s="263">
        <f>'High and Diameter'!W99</f>
        <v>6.4368624692226453</v>
      </c>
      <c r="J121" s="263">
        <f>'High and Diameter'!X99</f>
        <v>5.6633455689564816</v>
      </c>
      <c r="K121" s="263">
        <f>'High and Diameter'!Y99</f>
        <v>17.41712004414746</v>
      </c>
      <c r="L121" s="92">
        <f t="shared" ref="L121:L127" si="48">(20-C121)/20*100</f>
        <v>5.2333333333333343</v>
      </c>
      <c r="O121" s="270" t="s">
        <v>176</v>
      </c>
      <c r="P121" s="257" t="s">
        <v>135</v>
      </c>
      <c r="Q121" s="191">
        <f>'High and Diameter'!AF99</f>
        <v>18.946666666666669</v>
      </c>
      <c r="R121" s="62">
        <f>'High and Diameter'!AJ99</f>
        <v>6.5633333333333326</v>
      </c>
      <c r="S121" s="259">
        <f>'High and Diameter'!AK99</f>
        <v>1850.46115102524</v>
      </c>
      <c r="T121" s="191">
        <f>'High and Diameter'!AQ99</f>
        <v>17.923333333333332</v>
      </c>
      <c r="U121" s="62">
        <f>'High and Diameter'!AU99</f>
        <v>6.3533333333333326</v>
      </c>
      <c r="V121" s="163">
        <f>'High and Diameter'!AV99</f>
        <v>1602.9836270173423</v>
      </c>
      <c r="W121" s="263">
        <f>'High and Diameter'!AW99</f>
        <v>5.4011259676284489</v>
      </c>
      <c r="X121" s="263">
        <f>'High and Diameter'!AX99</f>
        <v>3.1995937023869985</v>
      </c>
      <c r="Y121" s="263">
        <f>'High and Diameter'!AY99</f>
        <v>13.373829754317395</v>
      </c>
      <c r="Z121" s="92">
        <f t="shared" ref="Z121:Z127" si="49">(20-Q121)/20*100</f>
        <v>5.2666666666666551</v>
      </c>
    </row>
    <row r="122" spans="1:26" x14ac:dyDescent="0.25">
      <c r="A122" s="271"/>
      <c r="B122" s="251" t="s">
        <v>136</v>
      </c>
      <c r="C122" s="360">
        <f>'High and Diameter'!F100</f>
        <v>19.063333333333333</v>
      </c>
      <c r="D122" s="26">
        <f>'High and Diameter'!J100</f>
        <v>6.4833333333333343</v>
      </c>
      <c r="E122" s="260">
        <f>'High and Diameter'!K100</f>
        <v>1850.4864781088806</v>
      </c>
      <c r="F122" s="192">
        <f>'High and Diameter'!Q100</f>
        <v>17.753333333333334</v>
      </c>
      <c r="G122" s="26">
        <f>'High and Diameter'!U100</f>
        <v>6.1533333333333333</v>
      </c>
      <c r="H122" s="164">
        <f>'High and Diameter'!V100</f>
        <v>1523.2112481642653</v>
      </c>
      <c r="I122" s="37">
        <f>'High and Diameter'!W100</f>
        <v>6.8718307396397904</v>
      </c>
      <c r="J122" s="37">
        <f>'High and Diameter'!X100</f>
        <v>5.0899742930591403</v>
      </c>
      <c r="K122" s="37">
        <f>'High and Diameter'!Y100</f>
        <v>17.685902264958827</v>
      </c>
      <c r="L122" s="92">
        <f t="shared" si="48"/>
        <v>4.6833333333333371</v>
      </c>
      <c r="O122" s="271"/>
      <c r="P122" s="251" t="s">
        <v>136</v>
      </c>
      <c r="Q122" s="192">
        <f>'High and Diameter'!AF100</f>
        <v>18.989999999999998</v>
      </c>
      <c r="R122" s="26">
        <f>'High and Diameter'!AJ100</f>
        <v>6.5100000000000007</v>
      </c>
      <c r="S122" s="260">
        <f>'High and Diameter'!AK100</f>
        <v>1843.8296710995689</v>
      </c>
      <c r="T122" s="192">
        <f>'High and Diameter'!AQ100</f>
        <v>17.886666666666667</v>
      </c>
      <c r="U122" s="26">
        <f>'High and Diameter'!AU100</f>
        <v>6.2833333333333341</v>
      </c>
      <c r="V122" s="164">
        <f>'High and Diameter'!AV100</f>
        <v>1578.842500013666</v>
      </c>
      <c r="W122" s="37">
        <f>'High and Diameter'!AW100</f>
        <v>5.8100754783219157</v>
      </c>
      <c r="X122" s="37">
        <f>'High and Diameter'!AX100</f>
        <v>3.4818228366615447</v>
      </c>
      <c r="Y122" s="37">
        <f>'High and Diameter'!AY100</f>
        <v>14.37156453436817</v>
      </c>
      <c r="Z122" s="92">
        <f t="shared" si="49"/>
        <v>5.0500000000000078</v>
      </c>
    </row>
    <row r="123" spans="1:26" x14ac:dyDescent="0.25">
      <c r="A123" s="271"/>
      <c r="B123" s="251" t="s">
        <v>137</v>
      </c>
      <c r="C123" s="360">
        <f>'High and Diameter'!F101</f>
        <v>18.989999999999998</v>
      </c>
      <c r="D123" s="26">
        <f>'High and Diameter'!J101</f>
        <v>6.4433333333333325</v>
      </c>
      <c r="E123" s="260">
        <f>'High and Diameter'!K101</f>
        <v>1824.9476468179548</v>
      </c>
      <c r="F123" s="192">
        <f>'High and Diameter'!Q101</f>
        <v>17.716666666666669</v>
      </c>
      <c r="G123" s="26">
        <f>'High and Diameter'!U101</f>
        <v>6.07</v>
      </c>
      <c r="H123" s="164">
        <f>'High and Diameter'!V101</f>
        <v>1496.3824317186202</v>
      </c>
      <c r="I123" s="37">
        <f>'High and Diameter'!W101</f>
        <v>6.7052834825346492</v>
      </c>
      <c r="J123" s="37">
        <f>'High and Diameter'!X101</f>
        <v>5.7941024314536822</v>
      </c>
      <c r="K123" s="37">
        <f>'High and Diameter'!Y101</f>
        <v>18.004089907578056</v>
      </c>
      <c r="L123" s="92">
        <f t="shared" si="48"/>
        <v>5.0500000000000078</v>
      </c>
      <c r="O123" s="271"/>
      <c r="P123" s="251" t="s">
        <v>137</v>
      </c>
      <c r="Q123" s="192">
        <f>'High and Diameter'!AF101</f>
        <v>18.990000000000002</v>
      </c>
      <c r="R123" s="26">
        <f>'High and Diameter'!AJ101</f>
        <v>6.4333333333333327</v>
      </c>
      <c r="S123" s="260">
        <f>'High and Diameter'!AK101</f>
        <v>1822.1153431757136</v>
      </c>
      <c r="T123" s="192">
        <f>'High and Diameter'!AQ101</f>
        <v>18.02</v>
      </c>
      <c r="U123" s="26">
        <f>'High and Diameter'!AU101</f>
        <v>6.2366666666666672</v>
      </c>
      <c r="V123" s="164">
        <f>'High and Diameter'!AV101</f>
        <v>1590.567072033494</v>
      </c>
      <c r="W123" s="37">
        <f>'High and Diameter'!AW101</f>
        <v>5.1079515534491957</v>
      </c>
      <c r="X123" s="37">
        <f>'High and Diameter'!AX101</f>
        <v>3.0569948186528308</v>
      </c>
      <c r="Y123" s="37">
        <f>'High and Diameter'!AY101</f>
        <v>12.707662663037599</v>
      </c>
      <c r="Z123" s="92">
        <f t="shared" si="49"/>
        <v>5.0499999999999901</v>
      </c>
    </row>
    <row r="124" spans="1:26" x14ac:dyDescent="0.25">
      <c r="A124" s="271"/>
      <c r="B124" s="251" t="s">
        <v>138</v>
      </c>
      <c r="C124" s="360">
        <f>'High and Diameter'!F102</f>
        <v>18.940000000000001</v>
      </c>
      <c r="D124" s="26">
        <f>'High and Diameter'!J102</f>
        <v>6.5366666666666662</v>
      </c>
      <c r="E124" s="260">
        <f>'High and Diameter'!K102</f>
        <v>1841.6460660231874</v>
      </c>
      <c r="F124" s="192">
        <f>'High and Diameter'!Q102</f>
        <v>17.676666666666666</v>
      </c>
      <c r="G124" s="26">
        <f>'High and Diameter'!U102</f>
        <v>6.21</v>
      </c>
      <c r="H124" s="164">
        <f>'High and Diameter'!V102</f>
        <v>1523.9903826609543</v>
      </c>
      <c r="I124" s="37">
        <f>'High and Diameter'!W102</f>
        <v>6.6701865540302814</v>
      </c>
      <c r="J124" s="37">
        <f>'High and Diameter'!X102</f>
        <v>4.9974502804691419</v>
      </c>
      <c r="K124" s="37">
        <f>'High and Diameter'!Y102</f>
        <v>17.248465338846145</v>
      </c>
      <c r="L124" s="92">
        <f t="shared" si="48"/>
        <v>5.2999999999999936</v>
      </c>
      <c r="O124" s="271"/>
      <c r="P124" s="251" t="s">
        <v>138</v>
      </c>
      <c r="Q124" s="192">
        <f>'High and Diameter'!AF102</f>
        <v>19.063333333333333</v>
      </c>
      <c r="R124" s="26">
        <f>'High and Diameter'!AJ102</f>
        <v>6.3599999999999994</v>
      </c>
      <c r="S124" s="260">
        <f>'High and Diameter'!AK102</f>
        <v>1815.2844217129787</v>
      </c>
      <c r="T124" s="192">
        <f>'High and Diameter'!AQ102</f>
        <v>17.863333333333333</v>
      </c>
      <c r="U124" s="26">
        <f>'High and Diameter'!AU102</f>
        <v>6.1633333333333331</v>
      </c>
      <c r="V124" s="164">
        <f>'High and Diameter'!AV102</f>
        <v>1544.6516136752975</v>
      </c>
      <c r="W124" s="37">
        <f>'High and Diameter'!AW102</f>
        <v>6.2948067844028639</v>
      </c>
      <c r="X124" s="37">
        <f>'High and Diameter'!AX102</f>
        <v>3.0922431865828042</v>
      </c>
      <c r="Y124" s="37">
        <f>'High and Diameter'!AY102</f>
        <v>14.908562250663762</v>
      </c>
      <c r="Z124" s="92">
        <f t="shared" si="49"/>
        <v>4.6833333333333371</v>
      </c>
    </row>
    <row r="125" spans="1:26" x14ac:dyDescent="0.25">
      <c r="A125" s="271"/>
      <c r="B125" s="251" t="s">
        <v>139</v>
      </c>
      <c r="C125" s="360">
        <f>'High and Diameter'!F103</f>
        <v>19.033333333333331</v>
      </c>
      <c r="D125" s="26">
        <f>'High and Diameter'!J103</f>
        <v>6.52</v>
      </c>
      <c r="E125" s="260">
        <f>'High and Diameter'!K103</f>
        <v>1855.099396557315</v>
      </c>
      <c r="F125" s="192">
        <f>'High and Diameter'!Q103</f>
        <v>17.690000000000001</v>
      </c>
      <c r="G125" s="26">
        <f>'High and Diameter'!U103</f>
        <v>6.1566666666666663</v>
      </c>
      <c r="H125" s="164">
        <f>'High and Diameter'!V103</f>
        <v>1513.1820745226805</v>
      </c>
      <c r="I125" s="37">
        <f>'High and Diameter'!W103</f>
        <v>7.0577933450087409</v>
      </c>
      <c r="J125" s="37">
        <f>'High and Diameter'!X103</f>
        <v>5.5725971370143146</v>
      </c>
      <c r="K125" s="37">
        <f>'High and Diameter'!Y103</f>
        <v>18.431213048161361</v>
      </c>
      <c r="L125" s="92">
        <f t="shared" si="48"/>
        <v>4.8333333333333428</v>
      </c>
      <c r="O125" s="271"/>
      <c r="P125" s="251" t="s">
        <v>139</v>
      </c>
      <c r="Q125" s="192">
        <f>'High and Diameter'!AF103</f>
        <v>18.946666666666669</v>
      </c>
      <c r="R125" s="26">
        <f>'High and Diameter'!AJ103</f>
        <v>6.5366666666666662</v>
      </c>
      <c r="S125" s="260">
        <f>'High and Diameter'!AK103</f>
        <v>1842.9427715391041</v>
      </c>
      <c r="T125" s="192">
        <f>'High and Diameter'!AQ103</f>
        <v>17.849999999999998</v>
      </c>
      <c r="U125" s="26">
        <f>'High and Diameter'!AU103</f>
        <v>6.336666666666666</v>
      </c>
      <c r="V125" s="164">
        <f>'High and Diameter'!AV103</f>
        <v>1585.7224850960451</v>
      </c>
      <c r="W125" s="37">
        <f>'High and Diameter'!AW103</f>
        <v>5.7881773399015009</v>
      </c>
      <c r="X125" s="37">
        <f>'High and Diameter'!AX103</f>
        <v>3.0596634370219302</v>
      </c>
      <c r="Y125" s="37">
        <f>'High and Diameter'!AY103</f>
        <v>13.957041445635642</v>
      </c>
      <c r="Z125" s="92">
        <f t="shared" si="49"/>
        <v>5.2666666666666551</v>
      </c>
    </row>
    <row r="126" spans="1:26" x14ac:dyDescent="0.25">
      <c r="A126" s="271"/>
      <c r="B126" s="251" t="s">
        <v>140</v>
      </c>
      <c r="C126" s="360">
        <f>'High and Diameter'!F104</f>
        <v>19.039999999999996</v>
      </c>
      <c r="D126" s="26">
        <f>'High and Diameter'!J104</f>
        <v>6.37</v>
      </c>
      <c r="E126" s="260">
        <f>'High and Diameter'!K104</f>
        <v>1813.69059855923</v>
      </c>
      <c r="F126" s="192">
        <f>'High and Diameter'!Q104</f>
        <v>17.703333333333333</v>
      </c>
      <c r="G126" s="26">
        <f>'High and Diameter'!U104</f>
        <v>5.98</v>
      </c>
      <c r="H126" s="164">
        <f>'High and Diameter'!V104</f>
        <v>1471.9774563978681</v>
      </c>
      <c r="I126" s="37">
        <f>'High and Diameter'!W104</f>
        <v>7.0203081232492792</v>
      </c>
      <c r="J126" s="37">
        <f>'High and Diameter'!X104</f>
        <v>6.122448979591832</v>
      </c>
      <c r="K126" s="37">
        <f>'High and Diameter'!Y104</f>
        <v>18.840762720654446</v>
      </c>
      <c r="L126" s="92">
        <f t="shared" si="48"/>
        <v>4.800000000000022</v>
      </c>
      <c r="O126" s="271"/>
      <c r="P126" s="251" t="s">
        <v>140</v>
      </c>
      <c r="Q126" s="192">
        <f>'High and Diameter'!AF104</f>
        <v>18.976666666666663</v>
      </c>
      <c r="R126" s="26">
        <f>'High and Diameter'!AJ104</f>
        <v>6.5333333333333341</v>
      </c>
      <c r="S126" s="260">
        <f>'High and Diameter'!AK104</f>
        <v>1847.8408177079184</v>
      </c>
      <c r="T126" s="192">
        <f>'High and Diameter'!AQ104</f>
        <v>17.95</v>
      </c>
      <c r="U126" s="26">
        <f>'High and Diameter'!AU104</f>
        <v>6.3033333333333337</v>
      </c>
      <c r="V126" s="164">
        <f>'High and Diameter'!AV104</f>
        <v>1595.1042101474914</v>
      </c>
      <c r="W126" s="37">
        <f>'High and Diameter'!AW104</f>
        <v>5.4101528192516986</v>
      </c>
      <c r="X126" s="37">
        <f>'High and Diameter'!AX104</f>
        <v>3.5204081632653121</v>
      </c>
      <c r="Y126" s="37">
        <f>'High and Diameter'!AY104</f>
        <v>13.677401491429562</v>
      </c>
      <c r="Z126" s="92">
        <f t="shared" si="49"/>
        <v>5.1166666666666849</v>
      </c>
    </row>
    <row r="127" spans="1:26" ht="15.75" thickBot="1" x14ac:dyDescent="0.3">
      <c r="A127" s="272"/>
      <c r="B127" s="252" t="s">
        <v>141</v>
      </c>
      <c r="C127" s="365">
        <f>'High and Diameter'!F105</f>
        <v>18.923333333333336</v>
      </c>
      <c r="D127" s="288">
        <f>'High and Diameter'!J105</f>
        <v>6.3</v>
      </c>
      <c r="E127" s="262">
        <f>'High and Diameter'!K105</f>
        <v>1771.8449284178107</v>
      </c>
      <c r="F127" s="366">
        <f>'High and Diameter'!Q105</f>
        <v>17.68</v>
      </c>
      <c r="G127" s="288">
        <f>'High and Diameter'!U105</f>
        <v>5.94</v>
      </c>
      <c r="H127" s="248">
        <f>'High and Diameter'!V105</f>
        <v>1458.2797586499773</v>
      </c>
      <c r="I127" s="265">
        <f>'High and Diameter'!W105</f>
        <v>6.5703716751805654</v>
      </c>
      <c r="J127" s="265">
        <f>'High and Diameter'!X105</f>
        <v>5.7142857142857046</v>
      </c>
      <c r="K127" s="265">
        <f>'High and Diameter'!Y105</f>
        <v>17.697100053097479</v>
      </c>
      <c r="L127" s="92">
        <f t="shared" si="48"/>
        <v>5.3833333333333222</v>
      </c>
      <c r="O127" s="273"/>
      <c r="P127" s="252" t="s">
        <v>141</v>
      </c>
      <c r="Q127" s="193">
        <f>'High and Diameter'!AF105</f>
        <v>18.72666666666667</v>
      </c>
      <c r="R127" s="59">
        <f>'High and Diameter'!AJ105</f>
        <v>6.626666666666666</v>
      </c>
      <c r="S127" s="261">
        <f>'High and Diameter'!AK105</f>
        <v>1825.1811170394456</v>
      </c>
      <c r="T127" s="193">
        <f>'High and Diameter'!AQ105</f>
        <v>17.989999999999998</v>
      </c>
      <c r="U127" s="59">
        <f>'High and Diameter'!AU105</f>
        <v>6.4033333333333333</v>
      </c>
      <c r="V127" s="165">
        <f>'High and Diameter'!AV105</f>
        <v>1627.6398647077779</v>
      </c>
      <c r="W127" s="264">
        <f>'High and Diameter'!AW105</f>
        <v>3.9337842648629668</v>
      </c>
      <c r="X127" s="264">
        <f>'High and Diameter'!AX105</f>
        <v>3.3702213279677977</v>
      </c>
      <c r="Y127" s="264">
        <f>'High and Diameter'!AY105</f>
        <v>10.823104101147592</v>
      </c>
      <c r="Z127" s="92">
        <f t="shared" si="49"/>
        <v>6.3666666666666494</v>
      </c>
    </row>
    <row r="128" spans="1:26" x14ac:dyDescent="0.25">
      <c r="A128" s="270" t="s">
        <v>161</v>
      </c>
      <c r="B128" s="250"/>
      <c r="C128" s="364">
        <f t="shared" ref="C128:J128" si="50">AVERAGE(C121:C127)</f>
        <v>18.99190476190476</v>
      </c>
      <c r="D128" s="364">
        <f t="shared" si="50"/>
        <v>6.4299999999999988</v>
      </c>
      <c r="E128" s="370">
        <f t="shared" si="50"/>
        <v>1821.5957523492757</v>
      </c>
      <c r="F128" s="191">
        <f t="shared" si="50"/>
        <v>17.707619047619044</v>
      </c>
      <c r="G128" s="364">
        <f t="shared" si="50"/>
        <v>6.0723809523809518</v>
      </c>
      <c r="H128" s="263">
        <f t="shared" si="50"/>
        <v>1495.4443239028571</v>
      </c>
      <c r="I128" s="23">
        <f t="shared" si="50"/>
        <v>6.7618051984094221</v>
      </c>
      <c r="J128" s="23">
        <f t="shared" si="50"/>
        <v>5.5648863435471849</v>
      </c>
      <c r="K128" s="23">
        <f>AVERAGE(K121:K127)</f>
        <v>17.903521911063397</v>
      </c>
      <c r="L128" s="23">
        <f>AVERAGE(L121:L127)</f>
        <v>5.0404761904761939</v>
      </c>
      <c r="O128" s="270" t="s">
        <v>161</v>
      </c>
      <c r="P128" s="250"/>
      <c r="Q128" s="364">
        <f t="shared" ref="Q128:X128" si="51">AVERAGE(Q121:Q127)</f>
        <v>18.94857142857143</v>
      </c>
      <c r="R128" s="364">
        <f t="shared" si="51"/>
        <v>6.5090476190476192</v>
      </c>
      <c r="S128" s="370">
        <f t="shared" si="51"/>
        <v>1835.3793276142812</v>
      </c>
      <c r="T128" s="191">
        <f t="shared" si="51"/>
        <v>17.926190476190474</v>
      </c>
      <c r="U128" s="364">
        <f t="shared" si="51"/>
        <v>6.297142857142858</v>
      </c>
      <c r="V128" s="263">
        <f t="shared" si="51"/>
        <v>1589.3587675273018</v>
      </c>
      <c r="W128" s="23">
        <f t="shared" si="51"/>
        <v>5.392296315402656</v>
      </c>
      <c r="X128" s="23">
        <f t="shared" si="51"/>
        <v>3.2544210675056027</v>
      </c>
      <c r="Y128" s="23">
        <f>AVERAGE(Y121:Y127)</f>
        <v>13.40273803437139</v>
      </c>
      <c r="Z128" s="23">
        <f>AVERAGE(Z121:Z127)</f>
        <v>5.2571428571428545</v>
      </c>
    </row>
    <row r="129" spans="1:27" ht="15.75" thickBot="1" x14ac:dyDescent="0.3">
      <c r="A129" s="273" t="s">
        <v>162</v>
      </c>
      <c r="B129" s="363"/>
      <c r="C129" s="193">
        <f t="shared" ref="C129:J129" si="52">STDEV(C121:C127)</f>
        <v>5.4801228117391847E-2</v>
      </c>
      <c r="D129" s="59">
        <f t="shared" si="52"/>
        <v>8.9794002934288186E-2</v>
      </c>
      <c r="E129" s="165">
        <f t="shared" si="52"/>
        <v>30.821928918733462</v>
      </c>
      <c r="F129" s="193">
        <f t="shared" si="52"/>
        <v>2.8526419574784342E-2</v>
      </c>
      <c r="G129" s="59">
        <f t="shared" si="52"/>
        <v>0.10359669460110733</v>
      </c>
      <c r="H129" s="165">
        <f t="shared" si="52"/>
        <v>25.946808931337095</v>
      </c>
      <c r="I129" s="61">
        <f t="shared" si="52"/>
        <v>0.23107055785032427</v>
      </c>
      <c r="J129" s="61">
        <f t="shared" si="52"/>
        <v>0.39644568708076511</v>
      </c>
      <c r="K129" s="61">
        <f>STDEV(K121:K127)</f>
        <v>0.5660751387137436</v>
      </c>
      <c r="L129" s="61">
        <f>STDEV(L121:L127)</f>
        <v>0.27400614058695921</v>
      </c>
      <c r="O129" s="273" t="s">
        <v>162</v>
      </c>
      <c r="P129" s="363"/>
      <c r="Q129" s="193">
        <f t="shared" ref="Q129:X129" si="53">STDEV(Q121:Q127)</f>
        <v>0.10538917547299623</v>
      </c>
      <c r="R129" s="59">
        <f t="shared" si="53"/>
        <v>8.7638024170010195E-2</v>
      </c>
      <c r="S129" s="165">
        <f t="shared" si="53"/>
        <v>14.11326885755568</v>
      </c>
      <c r="T129" s="193">
        <f t="shared" si="53"/>
        <v>6.4245725363740971E-2</v>
      </c>
      <c r="U129" s="59">
        <f t="shared" si="53"/>
        <v>7.9359206131888502E-2</v>
      </c>
      <c r="V129" s="165">
        <f t="shared" si="53"/>
        <v>25.192900276436912</v>
      </c>
      <c r="W129" s="61">
        <f t="shared" si="53"/>
        <v>0.74769562923811417</v>
      </c>
      <c r="X129" s="61">
        <f t="shared" si="53"/>
        <v>0.20086718806348922</v>
      </c>
      <c r="Y129" s="61">
        <f>STDEV(Y121:Y127)</f>
        <v>1.337117567367772</v>
      </c>
      <c r="Z129" s="61">
        <f>STDEV(Z121:Z127)</f>
        <v>0.52694587736498122</v>
      </c>
    </row>
    <row r="131" spans="1:27" ht="15.75" thickBot="1" x14ac:dyDescent="0.3"/>
    <row r="132" spans="1:27" ht="15.75" thickBot="1" x14ac:dyDescent="0.3">
      <c r="A132" s="160" t="str">
        <f>'High and Diameter'!A108</f>
        <v>SSA-Ly-Raw #7</v>
      </c>
      <c r="B132" s="161"/>
      <c r="C132" s="161" t="s">
        <v>4</v>
      </c>
      <c r="D132" s="161"/>
      <c r="E132" s="161"/>
      <c r="F132" s="161" t="s">
        <v>227</v>
      </c>
      <c r="G132" s="161"/>
      <c r="H132" s="161"/>
      <c r="I132" s="162"/>
      <c r="J132" s="162"/>
      <c r="K132" s="162"/>
      <c r="O132" s="10" t="str">
        <f>'High and Diameter'!AA108</f>
        <v>SSA-Ly-ED #7</v>
      </c>
      <c r="P132" s="256"/>
      <c r="Q132" s="6" t="s">
        <v>4</v>
      </c>
      <c r="R132" s="6"/>
      <c r="S132" s="6"/>
      <c r="T132" s="6" t="s">
        <v>227</v>
      </c>
      <c r="U132" s="6"/>
      <c r="V132" s="6"/>
      <c r="W132" s="200"/>
      <c r="X132" s="200"/>
      <c r="Y132" s="200"/>
    </row>
    <row r="133" spans="1:27" ht="15.75" thickBot="1" x14ac:dyDescent="0.3">
      <c r="A133" s="242"/>
      <c r="B133" s="249" t="s">
        <v>6</v>
      </c>
      <c r="C133" s="246" t="s">
        <v>228</v>
      </c>
      <c r="D133" s="6" t="s">
        <v>229</v>
      </c>
      <c r="E133" s="258" t="str">
        <f>'High and Diameter'!K109</f>
        <v>Vol</v>
      </c>
      <c r="F133" s="10" t="s">
        <v>228</v>
      </c>
      <c r="G133" s="6" t="s">
        <v>229</v>
      </c>
      <c r="H133" s="200" t="str">
        <f>'High and Diameter'!V109</f>
        <v>Vol</v>
      </c>
      <c r="I133" s="162" t="str">
        <f>'High and Diameter'!W109</f>
        <v>Shrinkage D [%]</v>
      </c>
      <c r="J133" s="162" t="str">
        <f>'High and Diameter'!X109</f>
        <v>Shrinkage h [%]</v>
      </c>
      <c r="K133" s="162" t="str">
        <f>'High and Diameter'!Y109</f>
        <v>Shrinkage [%]</v>
      </c>
      <c r="L133" t="s">
        <v>313</v>
      </c>
      <c r="O133" s="242"/>
      <c r="P133" s="249" t="s">
        <v>6</v>
      </c>
      <c r="Q133" s="10" t="s">
        <v>228</v>
      </c>
      <c r="R133" s="6" t="s">
        <v>229</v>
      </c>
      <c r="S133" s="258" t="str">
        <f>'High and Diameter'!AK109</f>
        <v>gennemsnit</v>
      </c>
      <c r="T133" s="10" t="s">
        <v>228</v>
      </c>
      <c r="U133" s="6" t="s">
        <v>229</v>
      </c>
      <c r="V133" s="200" t="str">
        <f>'High and Diameter'!AV109</f>
        <v>Vol</v>
      </c>
      <c r="W133" s="162" t="str">
        <f>'High and Diameter'!AW109</f>
        <v>Shrinkage D [%]</v>
      </c>
      <c r="X133" s="162" t="str">
        <f>'High and Diameter'!AX109</f>
        <v>Shrinkage h [%]</v>
      </c>
      <c r="Y133" s="162" t="str">
        <f>'High and Diameter'!AY109</f>
        <v>Shrinkage [%]</v>
      </c>
      <c r="Z133" t="s">
        <v>313</v>
      </c>
    </row>
    <row r="134" spans="1:27" x14ac:dyDescent="0.25">
      <c r="A134" s="266" t="s">
        <v>171</v>
      </c>
      <c r="B134" s="250" t="s">
        <v>135</v>
      </c>
      <c r="C134" s="364">
        <f>'High and Diameter'!F110</f>
        <v>19.150000000000002</v>
      </c>
      <c r="D134" s="62">
        <f>'High and Diameter'!J110</f>
        <v>6.5500000000000007</v>
      </c>
      <c r="E134" s="259">
        <f>'High and Diameter'!K110</f>
        <v>1886.5518157462113</v>
      </c>
      <c r="F134" s="191">
        <f>'High and Diameter'!Q110</f>
        <v>18.91333333333333</v>
      </c>
      <c r="G134" s="62">
        <f>'High and Diameter'!U110</f>
        <v>6.43</v>
      </c>
      <c r="H134" s="163">
        <f>'High and Diameter'!V110</f>
        <v>1806.4960145339642</v>
      </c>
      <c r="I134" s="263">
        <f>'High and Diameter'!W110</f>
        <v>1.2358572671888859</v>
      </c>
      <c r="J134" s="263">
        <f>'High and Diameter'!X110</f>
        <v>1.8320610687023051</v>
      </c>
      <c r="K134" s="263">
        <f>'High and Diameter'!Y110</f>
        <v>4.2434986701163941</v>
      </c>
      <c r="L134" s="92">
        <f t="shared" ref="L134:L140" si="54">(20-C134)/20*100</f>
        <v>4.2499999999999893</v>
      </c>
      <c r="O134" s="266" t="s">
        <v>172</v>
      </c>
      <c r="P134" s="257" t="s">
        <v>135</v>
      </c>
      <c r="Q134" s="191">
        <f>'High and Diameter'!AF110</f>
        <v>19.11</v>
      </c>
      <c r="R134" s="62">
        <f>'High and Diameter'!AJ110</f>
        <v>6.3666666666666671</v>
      </c>
      <c r="S134" s="259">
        <f>'High and Diameter'!AK110</f>
        <v>1826.095002793538</v>
      </c>
      <c r="T134" s="191">
        <f>'High and Diameter'!AQ110</f>
        <v>18.553333333333331</v>
      </c>
      <c r="U134" s="62">
        <f>'High and Diameter'!AU110</f>
        <v>6.2100000000000009</v>
      </c>
      <c r="V134" s="163">
        <f>'High and Diameter'!AV110</f>
        <v>1678.9021145621389</v>
      </c>
      <c r="W134" s="263">
        <f>'High and Diameter'!AW110</f>
        <v>2.9129600558172082</v>
      </c>
      <c r="X134" s="263">
        <f>'High and Diameter'!AX110</f>
        <v>2.4607329842931875</v>
      </c>
      <c r="Y134" s="263">
        <f>'High and Diameter'!AY110</f>
        <v>8.0605274099225515</v>
      </c>
      <c r="Z134" s="92">
        <f t="shared" ref="Z134:Z140" si="55">(20-Q134)/20*100</f>
        <v>4.4500000000000028</v>
      </c>
    </row>
    <row r="135" spans="1:27" x14ac:dyDescent="0.25">
      <c r="A135" s="267"/>
      <c r="B135" s="251" t="s">
        <v>136</v>
      </c>
      <c r="C135" s="360">
        <f>'High and Diameter'!F111</f>
        <v>19.176666666666666</v>
      </c>
      <c r="D135" s="26">
        <f>'High and Diameter'!J111</f>
        <v>6.3</v>
      </c>
      <c r="E135" s="260">
        <f>'High and Diameter'!K111</f>
        <v>1819.6031057784166</v>
      </c>
      <c r="F135" s="192">
        <f>'High and Diameter'!Q111</f>
        <v>18.756666666666668</v>
      </c>
      <c r="G135" s="26">
        <f>'High and Diameter'!U111</f>
        <v>6.080000000000001</v>
      </c>
      <c r="H135" s="164">
        <f>'High and Diameter'!V111</f>
        <v>1679.9825917024473</v>
      </c>
      <c r="I135" s="37">
        <f>'High and Diameter'!W111</f>
        <v>2.1901616547887963</v>
      </c>
      <c r="J135" s="37">
        <f>'High and Diameter'!X111</f>
        <v>3.4920634920634743</v>
      </c>
      <c r="K135" s="37">
        <f>'High and Diameter'!Y111</f>
        <v>7.6731301256072788</v>
      </c>
      <c r="L135" s="92">
        <f t="shared" si="54"/>
        <v>4.1166666666666707</v>
      </c>
      <c r="O135" s="267"/>
      <c r="P135" s="251" t="s">
        <v>136</v>
      </c>
      <c r="Q135" s="192">
        <f>'High and Diameter'!AF111</f>
        <v>19.076666666666668</v>
      </c>
      <c r="R135" s="26">
        <f>'High and Diameter'!AJ111</f>
        <v>6.6066666666666665</v>
      </c>
      <c r="S135" s="260">
        <f>'High and Diameter'!AK111</f>
        <v>1888.3272447428633</v>
      </c>
      <c r="T135" s="192">
        <f>'High and Diameter'!AQ111</f>
        <v>18.493333333333332</v>
      </c>
      <c r="U135" s="26">
        <f>'High and Diameter'!AU111</f>
        <v>6.3900000000000006</v>
      </c>
      <c r="V135" s="164">
        <f>'High and Diameter'!AV111</f>
        <v>1716.4103903594744</v>
      </c>
      <c r="W135" s="37">
        <f>'High and Diameter'!AW111</f>
        <v>3.0578367988817177</v>
      </c>
      <c r="X135" s="37">
        <f>'High and Diameter'!AX111</f>
        <v>3.2795156407668906</v>
      </c>
      <c r="Y135" s="37">
        <f>'High and Diameter'!AY111</f>
        <v>9.1041875745853105</v>
      </c>
      <c r="Z135" s="92">
        <f t="shared" si="55"/>
        <v>4.61666666666666</v>
      </c>
    </row>
    <row r="136" spans="1:27" x14ac:dyDescent="0.25">
      <c r="A136" s="267"/>
      <c r="B136" s="251" t="s">
        <v>137</v>
      </c>
      <c r="C136" s="360">
        <f>'High and Diameter'!F112</f>
        <v>18.96</v>
      </c>
      <c r="D136" s="26">
        <f>'High and Diameter'!J112</f>
        <v>6.5066666666666677</v>
      </c>
      <c r="E136" s="260">
        <f>'High and Diameter'!K112</f>
        <v>1837.0674659547465</v>
      </c>
      <c r="F136" s="192">
        <f>'High and Diameter'!Q112</f>
        <v>18.78</v>
      </c>
      <c r="G136" s="26">
        <f>'High and Diameter'!U112</f>
        <v>6.246666666666667</v>
      </c>
      <c r="H136" s="164">
        <f>'High and Diameter'!V112</f>
        <v>1730.3317990003654</v>
      </c>
      <c r="I136" s="37">
        <f>'High and Diameter'!W112</f>
        <v>0.94936708860759345</v>
      </c>
      <c r="J136" s="37">
        <f>'High and Diameter'!X112</f>
        <v>3.9959016393442721</v>
      </c>
      <c r="K136" s="37">
        <f>'High and Diameter'!Y112</f>
        <v>5.8101114375192093</v>
      </c>
      <c r="L136" s="92">
        <f t="shared" si="54"/>
        <v>5.1999999999999957</v>
      </c>
      <c r="O136" s="267"/>
      <c r="P136" s="251" t="s">
        <v>137</v>
      </c>
      <c r="Q136" s="192">
        <f>'High and Diameter'!AF112</f>
        <v>19.133333333333336</v>
      </c>
      <c r="R136" s="26">
        <f>'High and Diameter'!AJ112</f>
        <v>6.53</v>
      </c>
      <c r="S136" s="260">
        <f>'High and Diameter'!AK112</f>
        <v>1877.518988557224</v>
      </c>
      <c r="T136" s="192">
        <f>'High and Diameter'!AQ112</f>
        <v>18.426666666666666</v>
      </c>
      <c r="U136" s="26">
        <f>'High and Diameter'!AU112</f>
        <v>6.2433333333333323</v>
      </c>
      <c r="V136" s="164">
        <f>'High and Diameter'!AV112</f>
        <v>1664.9452751556557</v>
      </c>
      <c r="W136" s="37">
        <f>'High and Diameter'!AW112</f>
        <v>3.6933797909407864</v>
      </c>
      <c r="X136" s="37">
        <f>'High and Diameter'!AX112</f>
        <v>4.3899948953547918</v>
      </c>
      <c r="Y136" s="37">
        <f>'High and Diameter'!AY112</f>
        <v>11.32205398172405</v>
      </c>
      <c r="Z136" s="92">
        <f t="shared" si="55"/>
        <v>4.3333333333333179</v>
      </c>
    </row>
    <row r="137" spans="1:27" x14ac:dyDescent="0.25">
      <c r="A137" s="267"/>
      <c r="B137" s="251" t="s">
        <v>138</v>
      </c>
      <c r="C137" s="360">
        <f>'High and Diameter'!F113</f>
        <v>19.116666666666667</v>
      </c>
      <c r="D137" s="26">
        <f>'High and Diameter'!J113</f>
        <v>6.5533333333333337</v>
      </c>
      <c r="E137" s="260">
        <f>'High and Diameter'!K113</f>
        <v>1880.9466392207739</v>
      </c>
      <c r="F137" s="192">
        <f>'High and Diameter'!Q113</f>
        <v>18.83666666666667</v>
      </c>
      <c r="G137" s="26">
        <f>'High and Diameter'!U113</f>
        <v>6.4466666666666663</v>
      </c>
      <c r="H137" s="164">
        <f>'High and Diameter'!V113</f>
        <v>1796.5247370415939</v>
      </c>
      <c r="I137" s="37">
        <f>'High and Diameter'!W113</f>
        <v>1.4646904969485488</v>
      </c>
      <c r="J137" s="37">
        <f>'High and Diameter'!X113</f>
        <v>1.6276703967446695</v>
      </c>
      <c r="K137" s="37">
        <f>'High and Diameter'!Y113</f>
        <v>4.4882667279787265</v>
      </c>
      <c r="L137" s="92">
        <f t="shared" si="54"/>
        <v>4.4166666666666643</v>
      </c>
      <c r="O137" s="267"/>
      <c r="P137" s="251" t="s">
        <v>138</v>
      </c>
      <c r="Q137" s="192">
        <f>'High and Diameter'!AF113</f>
        <v>19.123333333333335</v>
      </c>
      <c r="R137" s="26">
        <f>'High and Diameter'!AJ113</f>
        <v>6.4033333333333333</v>
      </c>
      <c r="S137" s="260">
        <f>'High and Diameter'!AK113</f>
        <v>1839.1755374862471</v>
      </c>
      <c r="T137" s="192">
        <f>'High and Diameter'!AQ113</f>
        <v>18.52</v>
      </c>
      <c r="U137" s="26">
        <f>'High and Diameter'!AU113</f>
        <v>6.2333333333333334</v>
      </c>
      <c r="V137" s="164">
        <f>'High and Diameter'!AV113</f>
        <v>1679.1604550564266</v>
      </c>
      <c r="W137" s="37">
        <f>'High and Diameter'!AW113</f>
        <v>3.154959037824657</v>
      </c>
      <c r="X137" s="37">
        <f>'High and Diameter'!AX113</f>
        <v>2.6548672566371669</v>
      </c>
      <c r="Y137" s="37">
        <f>'High and Diameter'!AY113</f>
        <v>8.700370310956087</v>
      </c>
      <c r="Z137" s="92">
        <f t="shared" si="55"/>
        <v>4.3833333333333258</v>
      </c>
    </row>
    <row r="138" spans="1:27" x14ac:dyDescent="0.25">
      <c r="A138" s="267"/>
      <c r="B138" s="251" t="s">
        <v>139</v>
      </c>
      <c r="C138" s="360">
        <f>'High and Diameter'!F114</f>
        <v>19.193333333333332</v>
      </c>
      <c r="D138" s="26">
        <f>'High and Diameter'!J114</f>
        <v>6.3566666666666665</v>
      </c>
      <c r="E138" s="260">
        <f>'High and Diameter'!K114</f>
        <v>1839.1626191118107</v>
      </c>
      <c r="F138" s="192">
        <f>'High and Diameter'!Q114</f>
        <v>18.783333333333335</v>
      </c>
      <c r="G138" s="26">
        <f>'High and Diameter'!U114</f>
        <v>6.2833333333333341</v>
      </c>
      <c r="H138" s="164">
        <f>'High and Diameter'!V114</f>
        <v>1741.1064024164116</v>
      </c>
      <c r="I138" s="37">
        <f>'High and Diameter'!W114</f>
        <v>2.1361583883292634</v>
      </c>
      <c r="J138" s="37">
        <f>'High and Diameter'!X114</f>
        <v>1.1536444677503781</v>
      </c>
      <c r="K138" s="37">
        <f>'High and Diameter'!Y114</f>
        <v>5.331568599559378</v>
      </c>
      <c r="L138" s="92">
        <f t="shared" si="54"/>
        <v>4.0333333333333421</v>
      </c>
      <c r="O138" s="267"/>
      <c r="P138" s="251" t="s">
        <v>139</v>
      </c>
      <c r="Q138" s="192">
        <f>'High and Diameter'!AF114</f>
        <v>19.106666666666666</v>
      </c>
      <c r="R138" s="26">
        <f>'High and Diameter'!AJ114</f>
        <v>6.4466666666666663</v>
      </c>
      <c r="S138" s="260">
        <f>'High and Diameter'!AK114</f>
        <v>1848.3957037211094</v>
      </c>
      <c r="T138" s="192">
        <f>'High and Diameter'!AQ114</f>
        <v>18.483333333333331</v>
      </c>
      <c r="U138" s="26">
        <f>'High and Diameter'!AU114</f>
        <v>6.2033333333333331</v>
      </c>
      <c r="V138" s="164">
        <f>'High and Diameter'!AV114</f>
        <v>1664.4685411757339</v>
      </c>
      <c r="W138" s="37">
        <f>'High and Diameter'!AW114</f>
        <v>3.262386601535249</v>
      </c>
      <c r="X138" s="37">
        <f>'High and Diameter'!AX114</f>
        <v>3.7745604963805564</v>
      </c>
      <c r="Y138" s="37">
        <f>'High and Diameter'!AY114</f>
        <v>9.9506378517923064</v>
      </c>
      <c r="Z138" s="92">
        <f t="shared" si="55"/>
        <v>4.4666666666666721</v>
      </c>
    </row>
    <row r="139" spans="1:27" x14ac:dyDescent="0.25">
      <c r="A139" s="267"/>
      <c r="B139" s="251" t="s">
        <v>140</v>
      </c>
      <c r="C139" s="360">
        <f>'High and Diameter'!F115</f>
        <v>19.156666666666666</v>
      </c>
      <c r="D139" s="26">
        <f>'High and Diameter'!J115</f>
        <v>6.4333333333333336</v>
      </c>
      <c r="E139" s="260">
        <f>'High and Diameter'!K115</f>
        <v>1854.2394661444289</v>
      </c>
      <c r="F139" s="192">
        <f>'High and Diameter'!Q115</f>
        <v>18.87</v>
      </c>
      <c r="G139" s="26">
        <f>'High and Diameter'!U115</f>
        <v>6.2299999999999995</v>
      </c>
      <c r="H139" s="164">
        <f>'High and Diameter'!V115</f>
        <v>1742.2951526858401</v>
      </c>
      <c r="I139" s="37">
        <f>'High and Diameter'!W115</f>
        <v>1.4964329215242664</v>
      </c>
      <c r="J139" s="37">
        <f>'High and Diameter'!X115</f>
        <v>3.1606217616580419</v>
      </c>
      <c r="K139" s="37">
        <f>'High and Diameter'!Y115</f>
        <v>6.037209082349956</v>
      </c>
      <c r="L139" s="92">
        <f t="shared" si="54"/>
        <v>4.2166666666666686</v>
      </c>
      <c r="O139" s="267"/>
      <c r="P139" s="251" t="s">
        <v>140</v>
      </c>
      <c r="Q139" s="192">
        <f>'High and Diameter'!AF115</f>
        <v>19.059999999999999</v>
      </c>
      <c r="R139" s="26">
        <f>'High and Diameter'!AJ115</f>
        <v>6.4466666666666663</v>
      </c>
      <c r="S139" s="260">
        <f>'High and Diameter'!AK115</f>
        <v>1839.3775816582906</v>
      </c>
      <c r="T139" s="192">
        <f>'High and Diameter'!AQ115</f>
        <v>18.510000000000002</v>
      </c>
      <c r="U139" s="26">
        <f>'High and Diameter'!AU115</f>
        <v>6.2266666666666666</v>
      </c>
      <c r="V139" s="164">
        <f>'High and Diameter'!AV115</f>
        <v>1675.5536417491251</v>
      </c>
      <c r="W139" s="37">
        <f>'High and Diameter'!AW115</f>
        <v>2.8856243441762706</v>
      </c>
      <c r="X139" s="37">
        <f>'High and Diameter'!AX115</f>
        <v>3.4126163391933777</v>
      </c>
      <c r="Y139" s="37">
        <f>'High and Diameter'!AY115</f>
        <v>8.906487800154121</v>
      </c>
      <c r="Z139" s="92">
        <f t="shared" si="55"/>
        <v>4.7000000000000064</v>
      </c>
    </row>
    <row r="140" spans="1:27" ht="15.75" thickBot="1" x14ac:dyDescent="0.3">
      <c r="A140" s="269"/>
      <c r="B140" s="252" t="s">
        <v>141</v>
      </c>
      <c r="C140" s="365">
        <f>'High and Diameter'!F116</f>
        <v>19.103333333333332</v>
      </c>
      <c r="D140" s="288">
        <f>'High and Diameter'!J116</f>
        <v>6.5333333333333341</v>
      </c>
      <c r="E140" s="262">
        <f>'High and Diameter'!K116</f>
        <v>1872.5913178678161</v>
      </c>
      <c r="F140" s="366">
        <f>'High and Diameter'!Q116</f>
        <v>18.803333333333335</v>
      </c>
      <c r="G140" s="288">
        <f>'High and Diameter'!U116</f>
        <v>6.3033333333333337</v>
      </c>
      <c r="H140" s="248">
        <f>'High and Diameter'!V116</f>
        <v>1750.3699365634388</v>
      </c>
      <c r="I140" s="265">
        <f>'High and Diameter'!W116</f>
        <v>1.5704065608096169</v>
      </c>
      <c r="J140" s="265">
        <f>'High and Diameter'!X116</f>
        <v>3.5204081632653121</v>
      </c>
      <c r="K140" s="265">
        <f>'High and Diameter'!Y116</f>
        <v>6.5268582705777929</v>
      </c>
      <c r="L140" s="92">
        <f t="shared" si="54"/>
        <v>4.4833333333333414</v>
      </c>
      <c r="O140" s="269"/>
      <c r="P140" s="252" t="s">
        <v>141</v>
      </c>
      <c r="Q140" s="193">
        <f>'High and Diameter'!AF116</f>
        <v>19.063333333333333</v>
      </c>
      <c r="R140" s="59">
        <f>'High and Diameter'!AJ116</f>
        <v>6.45</v>
      </c>
      <c r="S140" s="261">
        <f>'High and Diameter'!AK116</f>
        <v>1840.9724088126909</v>
      </c>
      <c r="T140" s="193">
        <f>'High and Diameter'!AQ116</f>
        <v>18.579999999999998</v>
      </c>
      <c r="U140" s="59">
        <f>'High and Diameter'!AU116</f>
        <v>6.2233333333333327</v>
      </c>
      <c r="V140" s="165">
        <f>'High and Diameter'!AV116</f>
        <v>1687.3468454674844</v>
      </c>
      <c r="W140" s="264">
        <f>'High and Diameter'!AW116</f>
        <v>2.5354082881622713</v>
      </c>
      <c r="X140" s="264">
        <f>'High and Diameter'!AX116</f>
        <v>3.5142118863049214</v>
      </c>
      <c r="Y140" s="264">
        <f>'High and Diameter'!AY116</f>
        <v>8.3448053110304432</v>
      </c>
      <c r="Z140" s="92">
        <f t="shared" si="55"/>
        <v>4.6833333333333371</v>
      </c>
    </row>
    <row r="141" spans="1:27" x14ac:dyDescent="0.25">
      <c r="A141" s="266" t="s">
        <v>161</v>
      </c>
      <c r="B141" s="250"/>
      <c r="C141" s="364">
        <f t="shared" ref="C141:J141" si="56">AVERAGE(C134:C140)</f>
        <v>19.122380952380951</v>
      </c>
      <c r="D141" s="364">
        <f t="shared" si="56"/>
        <v>6.461904761904762</v>
      </c>
      <c r="E141" s="370">
        <f t="shared" si="56"/>
        <v>1855.7374899748863</v>
      </c>
      <c r="F141" s="191">
        <f t="shared" si="56"/>
        <v>18.820476190476192</v>
      </c>
      <c r="G141" s="364">
        <f t="shared" si="56"/>
        <v>6.2885714285714291</v>
      </c>
      <c r="H141" s="263">
        <f t="shared" si="56"/>
        <v>1749.5866619920087</v>
      </c>
      <c r="I141" s="23">
        <f t="shared" si="56"/>
        <v>1.5775820540281391</v>
      </c>
      <c r="J141" s="23">
        <f t="shared" si="56"/>
        <v>2.6831958556469218</v>
      </c>
      <c r="K141" s="23">
        <f>AVERAGE(K134:K140)</f>
        <v>5.7300918448155329</v>
      </c>
      <c r="L141" s="23">
        <f>AVERAGE(L134:L140)</f>
        <v>4.3880952380952385</v>
      </c>
      <c r="M141" s="92"/>
      <c r="O141" s="266" t="s">
        <v>161</v>
      </c>
      <c r="P141" s="250"/>
      <c r="Q141" s="364">
        <f t="shared" ref="Q141:X141" si="57">AVERAGE(Q134:Q140)</f>
        <v>19.096190476190479</v>
      </c>
      <c r="R141" s="364">
        <f t="shared" si="57"/>
        <v>6.4642857142857144</v>
      </c>
      <c r="S141" s="370">
        <f t="shared" si="57"/>
        <v>1851.4089239674233</v>
      </c>
      <c r="T141" s="191">
        <f t="shared" si="57"/>
        <v>18.509523809523809</v>
      </c>
      <c r="U141" s="364">
        <f t="shared" si="57"/>
        <v>6.2471428571428573</v>
      </c>
      <c r="V141" s="263">
        <f t="shared" si="57"/>
        <v>1680.9696090751484</v>
      </c>
      <c r="W141" s="23">
        <f t="shared" si="57"/>
        <v>3.0717935596197372</v>
      </c>
      <c r="X141" s="23">
        <f t="shared" si="57"/>
        <v>3.3552142141329844</v>
      </c>
      <c r="Y141" s="23">
        <f>AVERAGE(Y134:Y140)</f>
        <v>9.198438605737838</v>
      </c>
      <c r="Z141" s="23">
        <f>AVERAGE(Z134:Z140)</f>
        <v>4.5190476190476172</v>
      </c>
      <c r="AA141" s="92"/>
    </row>
    <row r="142" spans="1:27" ht="15.75" thickBot="1" x14ac:dyDescent="0.3">
      <c r="A142" s="268" t="s">
        <v>162</v>
      </c>
      <c r="B142" s="363"/>
      <c r="C142" s="193">
        <f t="shared" ref="C142:J142" si="58">STDEV(C134:C140)</f>
        <v>7.8190514857983492E-2</v>
      </c>
      <c r="D142" s="59">
        <f t="shared" si="58"/>
        <v>0.10110238929764816</v>
      </c>
      <c r="E142" s="165">
        <f t="shared" si="58"/>
        <v>25.167139059966686</v>
      </c>
      <c r="F142" s="193">
        <f t="shared" si="58"/>
        <v>5.5857907408939853E-2</v>
      </c>
      <c r="G142" s="59">
        <f t="shared" si="58"/>
        <v>0.12512004817384928</v>
      </c>
      <c r="H142" s="165">
        <f t="shared" si="58"/>
        <v>42.393057755745659</v>
      </c>
      <c r="I142" s="61">
        <f t="shared" si="58"/>
        <v>0.45056859157752899</v>
      </c>
      <c r="J142" s="61">
        <f t="shared" si="58"/>
        <v>1.1168717577611693</v>
      </c>
      <c r="K142" s="61">
        <f>STDEV(K134:K140)</f>
        <v>1.1847551290969858</v>
      </c>
      <c r="L142" s="61">
        <f>STDEV(L134:L140)</f>
        <v>0.39095257428991742</v>
      </c>
      <c r="M142" s="92"/>
      <c r="O142" s="268" t="s">
        <v>162</v>
      </c>
      <c r="P142" s="363"/>
      <c r="Q142" s="193">
        <f t="shared" ref="Q142:X142" si="59">STDEV(Q134:Q140)</f>
        <v>2.9403235613624651E-2</v>
      </c>
      <c r="R142" s="59">
        <f t="shared" si="59"/>
        <v>8.0270706010263954E-2</v>
      </c>
      <c r="S142" s="165">
        <f t="shared" si="59"/>
        <v>22.722609057737451</v>
      </c>
      <c r="T142" s="193">
        <f t="shared" si="59"/>
        <v>4.9681525421970928E-2</v>
      </c>
      <c r="U142" s="59">
        <f t="shared" si="59"/>
        <v>6.4418440292632634E-2</v>
      </c>
      <c r="V142" s="165">
        <f t="shared" si="59"/>
        <v>17.619415972788801</v>
      </c>
      <c r="W142" s="61">
        <f t="shared" si="59"/>
        <v>0.35995431577618103</v>
      </c>
      <c r="X142" s="61">
        <f t="shared" si="59"/>
        <v>0.65466409094044997</v>
      </c>
      <c r="Y142" s="61">
        <f>STDEV(Y134:Y140)</f>
        <v>1.1136477763268133</v>
      </c>
      <c r="Z142" s="61">
        <f>STDEV(Z134:Z140)</f>
        <v>0.14701617806812325</v>
      </c>
      <c r="AA142" s="92"/>
    </row>
    <row r="143" spans="1:27" x14ac:dyDescent="0.25">
      <c r="A143" s="270" t="s">
        <v>177</v>
      </c>
      <c r="B143" s="250" t="s">
        <v>135</v>
      </c>
      <c r="C143" s="364">
        <f>'High and Diameter'!F117</f>
        <v>18.936666666666664</v>
      </c>
      <c r="D143" s="62">
        <f>'High and Diameter'!J117</f>
        <v>6.583333333333333</v>
      </c>
      <c r="E143" s="259">
        <f>'High and Diameter'!K117</f>
        <v>1854.1411635286356</v>
      </c>
      <c r="F143" s="191">
        <f>'High and Diameter'!Q117</f>
        <v>18.183333333333334</v>
      </c>
      <c r="G143" s="62">
        <f>'High and Diameter'!U117</f>
        <v>6.2866666666666662</v>
      </c>
      <c r="H143" s="163">
        <f>'High and Diameter'!V117</f>
        <v>1632.5155077430481</v>
      </c>
      <c r="I143" s="263">
        <f>'High and Diameter'!W117</f>
        <v>3.9781728568913772</v>
      </c>
      <c r="J143" s="263">
        <f>'High and Diameter'!X117</f>
        <v>4.5063291139240533</v>
      </c>
      <c r="K143" s="263">
        <f>'High and Diameter'!Y117</f>
        <v>11.953008764651411</v>
      </c>
      <c r="L143" s="92">
        <f t="shared" ref="L143:L149" si="60">(20-C143)/20*100</f>
        <v>5.3166666666666806</v>
      </c>
      <c r="O143" s="270" t="s">
        <v>178</v>
      </c>
      <c r="P143" s="257" t="s">
        <v>135</v>
      </c>
      <c r="Q143" s="191">
        <f>'High and Diameter'!AF117</f>
        <v>18.966666666666665</v>
      </c>
      <c r="R143" s="62">
        <f>'High and Diameter'!AJ117</f>
        <v>6.3566666666666665</v>
      </c>
      <c r="S143" s="259">
        <f>'High and Diameter'!AK117</f>
        <v>1795.9793672034382</v>
      </c>
      <c r="T143" s="191">
        <f>'High and Diameter'!AQ117</f>
        <v>18.063333333333333</v>
      </c>
      <c r="U143" s="62">
        <f>'High and Diameter'!AU117</f>
        <v>6.1933333333333325</v>
      </c>
      <c r="V143" s="163">
        <f>'High and Diameter'!AV117</f>
        <v>1587.1213319630881</v>
      </c>
      <c r="W143" s="263">
        <f>'High and Diameter'!AW117</f>
        <v>4.7627416520210852</v>
      </c>
      <c r="X143" s="263">
        <f>'High and Diameter'!AX117</f>
        <v>2.5694808599895227</v>
      </c>
      <c r="Y143" s="263">
        <f>'High and Diameter'!AY117</f>
        <v>11.629200148639116</v>
      </c>
      <c r="Z143" s="92">
        <f t="shared" ref="Z143:Z149" si="61">(20-Q143)/20*100</f>
        <v>5.166666666666675</v>
      </c>
    </row>
    <row r="144" spans="1:27" x14ac:dyDescent="0.25">
      <c r="A144" s="271"/>
      <c r="B144" s="251" t="s">
        <v>136</v>
      </c>
      <c r="C144" s="360">
        <f>'High and Diameter'!F118</f>
        <v>18.923333333333332</v>
      </c>
      <c r="D144" s="26">
        <f>'High and Diameter'!J118</f>
        <v>6.543333333333333</v>
      </c>
      <c r="E144" s="260">
        <f>'High and Diameter'!K118</f>
        <v>1840.2812669228367</v>
      </c>
      <c r="F144" s="192">
        <f>'High and Diameter'!Q118</f>
        <v>18.033333333333331</v>
      </c>
      <c r="G144" s="26">
        <f>'High and Diameter'!U118</f>
        <v>6.2433333333333332</v>
      </c>
      <c r="H144" s="164">
        <f>'High and Diameter'!V118</f>
        <v>1594.6244722232159</v>
      </c>
      <c r="I144" s="37">
        <f>'High and Diameter'!W118</f>
        <v>4.7031883036815252</v>
      </c>
      <c r="J144" s="37">
        <f>'High and Diameter'!X118</f>
        <v>4.5848191543555759</v>
      </c>
      <c r="K144" s="37">
        <f>'High and Diameter'!Y118</f>
        <v>13.34887221399517</v>
      </c>
      <c r="L144" s="92">
        <f t="shared" si="60"/>
        <v>5.38333333333334</v>
      </c>
      <c r="O144" s="271"/>
      <c r="P144" s="251" t="s">
        <v>136</v>
      </c>
      <c r="Q144" s="192">
        <f>'High and Diameter'!AF118</f>
        <v>18.973333333333333</v>
      </c>
      <c r="R144" s="26">
        <f>'High and Diameter'!AJ118</f>
        <v>6.5533333333333319</v>
      </c>
      <c r="S144" s="260">
        <f>'High and Diameter'!AK118</f>
        <v>1852.8463808128674</v>
      </c>
      <c r="T144" s="192">
        <f>'High and Diameter'!AQ118</f>
        <v>18.106666666666666</v>
      </c>
      <c r="U144" s="26">
        <f>'High and Diameter'!AU118</f>
        <v>6.32</v>
      </c>
      <c r="V144" s="164">
        <f>'High and Diameter'!AV118</f>
        <v>1627.3612582356143</v>
      </c>
      <c r="W144" s="37">
        <f>'High and Diameter'!AW118</f>
        <v>4.5678144764581896</v>
      </c>
      <c r="X144" s="37">
        <f>'High and Diameter'!AX118</f>
        <v>3.560528992878917</v>
      </c>
      <c r="Y144" s="37">
        <f>'High and Diameter'!AY118</f>
        <v>12.169660955827862</v>
      </c>
      <c r="Z144" s="92">
        <f t="shared" si="61"/>
        <v>5.1333333333333364</v>
      </c>
    </row>
    <row r="145" spans="1:27" x14ac:dyDescent="0.25">
      <c r="A145" s="271"/>
      <c r="B145" s="251" t="s">
        <v>137</v>
      </c>
      <c r="C145" s="360">
        <f>'High and Diameter'!F119</f>
        <v>19.02</v>
      </c>
      <c r="D145" s="26">
        <f>'High and Diameter'!J119</f>
        <v>6.46</v>
      </c>
      <c r="E145" s="260">
        <f>'High and Diameter'!K119</f>
        <v>1835.4536612245233</v>
      </c>
      <c r="F145" s="192">
        <f>'High and Diameter'!Q119</f>
        <v>18.036666666666665</v>
      </c>
      <c r="G145" s="26">
        <f>'High and Diameter'!U119</f>
        <v>6.2566666666666668</v>
      </c>
      <c r="H145" s="164">
        <f>'High and Diameter'!V119</f>
        <v>1598.6207938303664</v>
      </c>
      <c r="I145" s="37">
        <f>'High and Diameter'!W119</f>
        <v>5.169996494917636</v>
      </c>
      <c r="J145" s="37">
        <f>'High and Diameter'!X119</f>
        <v>3.1475748194014419</v>
      </c>
      <c r="K145" s="37">
        <f>'High and Diameter'!Y119</f>
        <v>12.903233265837603</v>
      </c>
      <c r="L145" s="92">
        <f t="shared" si="60"/>
        <v>4.9000000000000021</v>
      </c>
      <c r="O145" s="271"/>
      <c r="P145" s="251" t="s">
        <v>137</v>
      </c>
      <c r="Q145" s="192">
        <f>'High and Diameter'!AF119</f>
        <v>18.919999999999998</v>
      </c>
      <c r="R145" s="26">
        <f>'High and Diameter'!AJ119</f>
        <v>6.4333333333333336</v>
      </c>
      <c r="S145" s="260">
        <f>'High and Diameter'!AK119</f>
        <v>1808.7069183924427</v>
      </c>
      <c r="T145" s="192">
        <f>'High and Diameter'!AQ119</f>
        <v>18.033333333333335</v>
      </c>
      <c r="U145" s="26">
        <f>'High and Diameter'!AU119</f>
        <v>6.206666666666667</v>
      </c>
      <c r="V145" s="164">
        <f>'High and Diameter'!AV119</f>
        <v>1585.2593525251625</v>
      </c>
      <c r="W145" s="37">
        <f>'High and Diameter'!AW119</f>
        <v>4.6863988724453662</v>
      </c>
      <c r="X145" s="37">
        <f>'High and Diameter'!AX119</f>
        <v>3.5233160621761641</v>
      </c>
      <c r="Y145" s="37">
        <f>'High and Diameter'!AY119</f>
        <v>12.353995199281803</v>
      </c>
      <c r="Z145" s="92">
        <f t="shared" si="61"/>
        <v>5.4000000000000092</v>
      </c>
    </row>
    <row r="146" spans="1:27" x14ac:dyDescent="0.25">
      <c r="A146" s="271"/>
      <c r="B146" s="251" t="s">
        <v>138</v>
      </c>
      <c r="C146" s="360">
        <f>'High and Diameter'!F120</f>
        <v>18.943333333333332</v>
      </c>
      <c r="D146" s="26">
        <f>'High and Diameter'!J120</f>
        <v>6.4866666666666672</v>
      </c>
      <c r="E146" s="260">
        <f>'High and Diameter'!K120</f>
        <v>1828.2023599908646</v>
      </c>
      <c r="F146" s="192">
        <f>'High and Diameter'!Q120</f>
        <v>18.169999999999998</v>
      </c>
      <c r="G146" s="26">
        <f>'High and Diameter'!U120</f>
        <v>6.1566666666666663</v>
      </c>
      <c r="H146" s="164">
        <f>'High and Diameter'!V120</f>
        <v>1596.4134448003306</v>
      </c>
      <c r="I146" s="37">
        <f>'High and Diameter'!W120</f>
        <v>4.0823508710188294</v>
      </c>
      <c r="J146" s="37">
        <f>'High and Diameter'!X120</f>
        <v>5.0873586844810008</v>
      </c>
      <c r="K146" s="37">
        <f>'High and Diameter'!Y120</f>
        <v>12.678515259749048</v>
      </c>
      <c r="L146" s="92">
        <f t="shared" si="60"/>
        <v>5.2833333333333421</v>
      </c>
      <c r="O146" s="271"/>
      <c r="P146" s="251" t="s">
        <v>138</v>
      </c>
      <c r="Q146" s="192">
        <f>'High and Diameter'!AF120</f>
        <v>18.863333333333333</v>
      </c>
      <c r="R146" s="26">
        <f>'High and Diameter'!AJ120</f>
        <v>6.4466666666666663</v>
      </c>
      <c r="S146" s="260">
        <f>'High and Diameter'!AK120</f>
        <v>1801.6149409358156</v>
      </c>
      <c r="T146" s="192">
        <f>'High and Diameter'!AQ120</f>
        <v>17.97</v>
      </c>
      <c r="U146" s="26">
        <f>'High and Diameter'!AU120</f>
        <v>6.2433333333333332</v>
      </c>
      <c r="V146" s="164">
        <f>'High and Diameter'!AV120</f>
        <v>1583.4434512630178</v>
      </c>
      <c r="W146" s="37">
        <f>'High and Diameter'!AW120</f>
        <v>4.7358190493020027</v>
      </c>
      <c r="X146" s="37">
        <f>'High and Diameter'!AX120</f>
        <v>3.1540847983453952</v>
      </c>
      <c r="Y146" s="37">
        <f>'High and Diameter'!AY120</f>
        <v>12.109773554579466</v>
      </c>
      <c r="Z146" s="92">
        <f t="shared" si="61"/>
        <v>5.6833333333333336</v>
      </c>
    </row>
    <row r="147" spans="1:27" x14ac:dyDescent="0.25">
      <c r="A147" s="271"/>
      <c r="B147" s="251" t="s">
        <v>139</v>
      </c>
      <c r="C147" s="360">
        <f>'High and Diameter'!F121</f>
        <v>19.033333333333331</v>
      </c>
      <c r="D147" s="26">
        <f>'High and Diameter'!J121</f>
        <v>6.4433333333333325</v>
      </c>
      <c r="E147" s="260">
        <f>'High and Diameter'!K121</f>
        <v>1833.2858555957514</v>
      </c>
      <c r="F147" s="192">
        <f>'High and Diameter'!Q121</f>
        <v>18.063333333333333</v>
      </c>
      <c r="G147" s="26">
        <f>'High and Diameter'!U121</f>
        <v>6.2399999999999993</v>
      </c>
      <c r="H147" s="164">
        <f>'High and Diameter'!V121</f>
        <v>1599.0802655731436</v>
      </c>
      <c r="I147" s="37">
        <f>'High and Diameter'!W121</f>
        <v>5.0963222416812552</v>
      </c>
      <c r="J147" s="37">
        <f>'High and Diameter'!X121</f>
        <v>3.1557165028453156</v>
      </c>
      <c r="K147" s="37">
        <f>'High and Diameter'!Y121</f>
        <v>12.775181203069911</v>
      </c>
      <c r="L147" s="92">
        <f t="shared" si="60"/>
        <v>4.8333333333333428</v>
      </c>
      <c r="O147" s="271"/>
      <c r="P147" s="251" t="s">
        <v>139</v>
      </c>
      <c r="Q147" s="192">
        <f>'High and Diameter'!AF121</f>
        <v>18.920000000000002</v>
      </c>
      <c r="R147" s="26">
        <f>'High and Diameter'!AJ121</f>
        <v>6.5566666666666675</v>
      </c>
      <c r="S147" s="260">
        <f>'High and Diameter'!AK121</f>
        <v>1843.38161061033</v>
      </c>
      <c r="T147" s="192">
        <f>'High and Diameter'!AQ121</f>
        <v>18.066666666666666</v>
      </c>
      <c r="U147" s="26">
        <f>'High and Diameter'!AU121</f>
        <v>6.4333333333333327</v>
      </c>
      <c r="V147" s="164">
        <f>'High and Diameter'!AV121</f>
        <v>1649.2329359982066</v>
      </c>
      <c r="W147" s="37">
        <f>'High and Diameter'!AW121</f>
        <v>4.5102184637068454</v>
      </c>
      <c r="X147" s="37">
        <f>'High and Diameter'!AX121</f>
        <v>1.8810371123538612</v>
      </c>
      <c r="Y147" s="37">
        <f>'High and Diameter'!AY121</f>
        <v>10.532201986535073</v>
      </c>
      <c r="Z147" s="92">
        <f t="shared" si="61"/>
        <v>5.3999999999999915</v>
      </c>
    </row>
    <row r="148" spans="1:27" x14ac:dyDescent="0.25">
      <c r="A148" s="271"/>
      <c r="B148" s="251" t="s">
        <v>140</v>
      </c>
      <c r="C148" s="360">
        <f>'High and Diameter'!F122</f>
        <v>18.996666666666666</v>
      </c>
      <c r="D148" s="26">
        <f>'High and Diameter'!J122</f>
        <v>6.5166666666666657</v>
      </c>
      <c r="E148" s="260">
        <f>'High and Diameter'!K122</f>
        <v>1847.0140236798779</v>
      </c>
      <c r="F148" s="192">
        <f>'High and Diameter'!Q122</f>
        <v>18.103333333333335</v>
      </c>
      <c r="G148" s="26">
        <f>'High and Diameter'!U122</f>
        <v>6.2333333333333334</v>
      </c>
      <c r="H148" s="164">
        <f>'High and Diameter'!V122</f>
        <v>1604.4542180576614</v>
      </c>
      <c r="I148" s="37">
        <f>'High and Diameter'!W122</f>
        <v>4.702579399894705</v>
      </c>
      <c r="J148" s="37">
        <f>'High and Diameter'!X122</f>
        <v>4.3478260869565073</v>
      </c>
      <c r="K148" s="37">
        <f>'High and Diameter'!Y122</f>
        <v>13.1325373014199</v>
      </c>
      <c r="L148" s="92">
        <f t="shared" si="60"/>
        <v>5.0166666666666693</v>
      </c>
      <c r="O148" s="271"/>
      <c r="P148" s="251" t="s">
        <v>140</v>
      </c>
      <c r="Q148" s="192">
        <f>'High and Diameter'!AF122</f>
        <v>18.893333333333334</v>
      </c>
      <c r="R148" s="26">
        <f>'High and Diameter'!AJ122</f>
        <v>6.4600000000000009</v>
      </c>
      <c r="S148" s="260">
        <f>'High and Diameter'!AK122</f>
        <v>1811.0880836573101</v>
      </c>
      <c r="T148" s="192">
        <f>'High and Diameter'!AQ122</f>
        <v>17.906666666666666</v>
      </c>
      <c r="U148" s="26">
        <f>'High and Diameter'!AU122</f>
        <v>6.2833333333333323</v>
      </c>
      <c r="V148" s="164">
        <f>'High and Diameter'!AV122</f>
        <v>1582.3752436419074</v>
      </c>
      <c r="W148" s="37">
        <f>'High and Diameter'!AW122</f>
        <v>5.2223006351446788</v>
      </c>
      <c r="X148" s="37">
        <f>'High and Diameter'!AX122</f>
        <v>2.734778121775054</v>
      </c>
      <c r="Y148" s="37">
        <f>'High and Diameter'!AY122</f>
        <v>12.628476885207046</v>
      </c>
      <c r="Z148" s="92">
        <f t="shared" si="61"/>
        <v>5.5333333333333279</v>
      </c>
    </row>
    <row r="149" spans="1:27" ht="15.75" thickBot="1" x14ac:dyDescent="0.3">
      <c r="A149" s="272"/>
      <c r="B149" s="252" t="s">
        <v>141</v>
      </c>
      <c r="C149" s="365">
        <f>'High and Diameter'!F123</f>
        <v>18.986666666666665</v>
      </c>
      <c r="D149" s="288">
        <f>'High and Diameter'!J123</f>
        <v>6.53</v>
      </c>
      <c r="E149" s="262">
        <f>'High and Diameter'!K123</f>
        <v>1848.8450482781686</v>
      </c>
      <c r="F149" s="366">
        <f>'High and Diameter'!Q123</f>
        <v>18.100000000000001</v>
      </c>
      <c r="G149" s="288">
        <f>'High and Diameter'!U123</f>
        <v>6.2733333333333334</v>
      </c>
      <c r="H149" s="248">
        <f>'High and Diameter'!V123</f>
        <v>1614.1555937620694</v>
      </c>
      <c r="I149" s="265">
        <f>'High and Diameter'!W123</f>
        <v>4.6699438202247014</v>
      </c>
      <c r="J149" s="265">
        <f>'High and Diameter'!X123</f>
        <v>3.9305768249106712</v>
      </c>
      <c r="K149" s="265">
        <f>'High and Diameter'!Y123</f>
        <v>12.693841202899387</v>
      </c>
      <c r="L149" s="92">
        <f t="shared" si="60"/>
        <v>5.0666666666666771</v>
      </c>
      <c r="O149" s="272"/>
      <c r="P149" s="252" t="s">
        <v>141</v>
      </c>
      <c r="Q149" s="366">
        <f>'High and Diameter'!AF123</f>
        <v>18.926666666666666</v>
      </c>
      <c r="R149" s="288">
        <f>'High and Diameter'!AJ123</f>
        <v>6.3599999999999994</v>
      </c>
      <c r="S149" s="262">
        <f>'High and Diameter'!AK123</f>
        <v>1789.3498612160624</v>
      </c>
      <c r="T149" s="366">
        <f>'High and Diameter'!AQ123</f>
        <v>18.02333333333333</v>
      </c>
      <c r="U149" s="288">
        <f>'High and Diameter'!AU123</f>
        <v>6.2433333333333323</v>
      </c>
      <c r="V149" s="248">
        <f>'High and Diameter'!AV123</f>
        <v>1592.8564326597277</v>
      </c>
      <c r="W149" s="265">
        <f>'High and Diameter'!AW123</f>
        <v>4.7728073265234379</v>
      </c>
      <c r="X149" s="265">
        <f>'High and Diameter'!AX123</f>
        <v>1.8343815513626911</v>
      </c>
      <c r="Y149" s="265">
        <f>'High and Diameter'!AY123</f>
        <v>10.981274976755834</v>
      </c>
      <c r="Z149" s="92">
        <f t="shared" si="61"/>
        <v>5.3666666666666707</v>
      </c>
    </row>
    <row r="150" spans="1:27" x14ac:dyDescent="0.25">
      <c r="A150" s="270" t="s">
        <v>161</v>
      </c>
      <c r="B150" s="250"/>
      <c r="C150" s="364">
        <f t="shared" ref="C150:J150" si="62">AVERAGE(C143:C149)</f>
        <v>18.977142857142855</v>
      </c>
      <c r="D150" s="364">
        <f t="shared" si="62"/>
        <v>6.5090476190476192</v>
      </c>
      <c r="E150" s="370">
        <f t="shared" si="62"/>
        <v>1841.0319113172368</v>
      </c>
      <c r="F150" s="191">
        <f t="shared" si="62"/>
        <v>18.098571428571429</v>
      </c>
      <c r="G150" s="364">
        <f t="shared" si="62"/>
        <v>6.2414285714285711</v>
      </c>
      <c r="H150" s="263">
        <f t="shared" si="62"/>
        <v>1605.694899427119</v>
      </c>
      <c r="I150" s="23">
        <f t="shared" si="62"/>
        <v>4.6289362840442889</v>
      </c>
      <c r="J150" s="23">
        <f t="shared" si="62"/>
        <v>4.108600169553509</v>
      </c>
      <c r="K150" s="23">
        <f>AVERAGE(K143:K149)</f>
        <v>12.783598458803203</v>
      </c>
      <c r="L150" s="23">
        <f>AVERAGE(L143:L149)</f>
        <v>5.1142857142857219</v>
      </c>
      <c r="M150" s="92"/>
      <c r="O150" s="270" t="s">
        <v>161</v>
      </c>
      <c r="P150" s="250"/>
      <c r="Q150" s="364">
        <f t="shared" ref="Q150:X150" si="63">AVERAGE(Q143:Q149)</f>
        <v>18.923333333333336</v>
      </c>
      <c r="R150" s="364">
        <f t="shared" si="63"/>
        <v>6.4523809523809517</v>
      </c>
      <c r="S150" s="370">
        <f t="shared" si="63"/>
        <v>1814.7095946897523</v>
      </c>
      <c r="T150" s="191">
        <f t="shared" si="63"/>
        <v>18.024285714285714</v>
      </c>
      <c r="U150" s="364">
        <f t="shared" si="63"/>
        <v>6.2747619047619043</v>
      </c>
      <c r="V150" s="263">
        <f t="shared" si="63"/>
        <v>1601.0928580409607</v>
      </c>
      <c r="W150" s="23">
        <f t="shared" si="63"/>
        <v>4.7511572108002298</v>
      </c>
      <c r="X150" s="23">
        <f t="shared" si="63"/>
        <v>2.7510867855545151</v>
      </c>
      <c r="Y150" s="23">
        <f>AVERAGE(Y143:Y149)</f>
        <v>11.772083386689458</v>
      </c>
      <c r="Z150" s="23">
        <f>AVERAGE(Z143:Z149)</f>
        <v>5.3833333333333355</v>
      </c>
      <c r="AA150" s="92"/>
    </row>
    <row r="151" spans="1:27" ht="15.75" thickBot="1" x14ac:dyDescent="0.3">
      <c r="A151" s="273" t="s">
        <v>162</v>
      </c>
      <c r="B151" s="363"/>
      <c r="C151" s="193">
        <f t="shared" ref="C151:J151" si="64">STDEV(C143:C149)</f>
        <v>4.309458036856708E-2</v>
      </c>
      <c r="D151" s="59">
        <f t="shared" si="64"/>
        <v>4.9016787967445463E-2</v>
      </c>
      <c r="E151" s="165">
        <f t="shared" si="64"/>
        <v>9.3538083029648575</v>
      </c>
      <c r="F151" s="193">
        <f t="shared" si="64"/>
        <v>6.0057291870998904E-2</v>
      </c>
      <c r="G151" s="59">
        <f t="shared" si="64"/>
        <v>4.1937216869150536E-2</v>
      </c>
      <c r="H151" s="165">
        <f t="shared" si="64"/>
        <v>13.509032649852486</v>
      </c>
      <c r="I151" s="61">
        <f t="shared" si="64"/>
        <v>0.45571605304079865</v>
      </c>
      <c r="J151" s="61">
        <f t="shared" si="64"/>
        <v>0.73749795727721668</v>
      </c>
      <c r="K151" s="61">
        <f>STDEV(K143:K149)</f>
        <v>0.44057805876404216</v>
      </c>
      <c r="L151" s="61">
        <f>STDEV(L143:L149)</f>
        <v>0.21547290184283535</v>
      </c>
      <c r="M151" s="92"/>
      <c r="O151" s="273" t="s">
        <v>162</v>
      </c>
      <c r="P151" s="363"/>
      <c r="Q151" s="193">
        <f t="shared" ref="Q151:X151" si="65">STDEV(Q143:Q149)</f>
        <v>3.8538100435609693E-2</v>
      </c>
      <c r="R151" s="59">
        <f t="shared" si="65"/>
        <v>8.0845400833806508E-2</v>
      </c>
      <c r="S151" s="165">
        <f t="shared" si="65"/>
        <v>24.121407774421801</v>
      </c>
      <c r="T151" s="193">
        <f t="shared" si="65"/>
        <v>6.704653678780205E-2</v>
      </c>
      <c r="U151" s="59">
        <f t="shared" si="65"/>
        <v>8.2166433239631048E-2</v>
      </c>
      <c r="V151" s="165">
        <f t="shared" si="65"/>
        <v>26.404193934061674</v>
      </c>
      <c r="W151" s="61">
        <f t="shared" si="65"/>
        <v>0.23046112931968077</v>
      </c>
      <c r="X151" s="61">
        <f t="shared" si="65"/>
        <v>0.71233462945549997</v>
      </c>
      <c r="Y151" s="61">
        <f>STDEV(Y143:Y149)</f>
        <v>0.76672824415342689</v>
      </c>
      <c r="Z151" s="61">
        <f>STDEV(Z143:Z149)</f>
        <v>0.19269050217804848</v>
      </c>
      <c r="AA151" s="92"/>
    </row>
    <row r="152" spans="1:27" ht="15.75" thickBot="1" x14ac:dyDescent="0.3">
      <c r="A152" s="160" t="str">
        <f>'High and Diameter'!A124</f>
        <v>SSA-Ly-Raw #8</v>
      </c>
      <c r="B152" s="161"/>
      <c r="C152" s="161" t="s">
        <v>4</v>
      </c>
      <c r="D152" s="161"/>
      <c r="E152" s="161"/>
      <c r="F152" s="161" t="s">
        <v>230</v>
      </c>
      <c r="G152" s="161"/>
      <c r="H152" s="161"/>
      <c r="I152" s="162"/>
      <c r="J152" s="162"/>
      <c r="K152" s="162"/>
      <c r="L152" s="92"/>
      <c r="O152" s="343" t="str">
        <f>'High and Diameter'!AA124</f>
        <v>SSA-Ly-ED #8</v>
      </c>
      <c r="P152" s="344"/>
      <c r="Q152" s="345" t="s">
        <v>4</v>
      </c>
      <c r="R152" s="345"/>
      <c r="S152" s="345"/>
      <c r="T152" s="345" t="s">
        <v>230</v>
      </c>
      <c r="U152" s="345"/>
      <c r="V152" s="345"/>
      <c r="W152" s="346"/>
      <c r="X152" s="346"/>
      <c r="Y152" s="346"/>
      <c r="Z152" s="92"/>
    </row>
    <row r="153" spans="1:27" ht="15.75" thickBot="1" x14ac:dyDescent="0.3">
      <c r="A153" s="242"/>
      <c r="B153" s="249" t="s">
        <v>6</v>
      </c>
      <c r="C153" s="246" t="s">
        <v>228</v>
      </c>
      <c r="D153" s="6" t="s">
        <v>229</v>
      </c>
      <c r="E153" s="258" t="str">
        <f>'High and Diameter'!K125</f>
        <v>Vol</v>
      </c>
      <c r="F153" s="10" t="s">
        <v>228</v>
      </c>
      <c r="G153" s="6" t="s">
        <v>229</v>
      </c>
      <c r="H153" s="200" t="str">
        <f>'High and Diameter'!V125</f>
        <v>Vol</v>
      </c>
      <c r="I153" s="162" t="str">
        <f>'High and Diameter'!W125</f>
        <v>Shrinkage D [%]</v>
      </c>
      <c r="J153" s="162" t="str">
        <f>'High and Diameter'!X125</f>
        <v>Shrinkage h [%]</v>
      </c>
      <c r="K153" s="162" t="str">
        <f>'High and Diameter'!Y125</f>
        <v>Shrinkage [%]</v>
      </c>
      <c r="L153" t="s">
        <v>313</v>
      </c>
      <c r="O153" s="242"/>
      <c r="P153" s="249" t="s">
        <v>6</v>
      </c>
      <c r="Q153" s="10" t="s">
        <v>228</v>
      </c>
      <c r="R153" s="6" t="s">
        <v>229</v>
      </c>
      <c r="S153" s="258" t="s">
        <v>183</v>
      </c>
      <c r="T153" s="10" t="s">
        <v>228</v>
      </c>
      <c r="U153" s="6" t="s">
        <v>229</v>
      </c>
      <c r="V153" s="200" t="str">
        <f>'High and Diameter'!AV125</f>
        <v>Vol</v>
      </c>
      <c r="W153" s="162" t="str">
        <f>'High and Diameter'!AW125</f>
        <v>Shrinkage D [%]</v>
      </c>
      <c r="X153" s="162" t="str">
        <f>'High and Diameter'!AX125</f>
        <v>Shrinkage h [%]</v>
      </c>
      <c r="Y153" s="162" t="str">
        <f>'High and Diameter'!AY125</f>
        <v>Shrinkage [%]</v>
      </c>
      <c r="Z153" t="s">
        <v>313</v>
      </c>
    </row>
    <row r="154" spans="1:27" x14ac:dyDescent="0.25">
      <c r="A154" s="266" t="s">
        <v>171</v>
      </c>
      <c r="B154" s="250" t="s">
        <v>135</v>
      </c>
      <c r="C154" s="364">
        <f>'High and Diameter'!F126</f>
        <v>19.173333333333332</v>
      </c>
      <c r="D154" s="62">
        <f>'High and Diameter'!J126</f>
        <v>6.333333333333333</v>
      </c>
      <c r="E154" s="259">
        <f>'High and Diameter'!K126</f>
        <v>1828.594768358887</v>
      </c>
      <c r="F154" s="191">
        <f>'High and Diameter'!Q126</f>
        <v>18.686666666666664</v>
      </c>
      <c r="G154" s="62">
        <f>'High and Diameter'!U126</f>
        <v>6.1766666666666667</v>
      </c>
      <c r="H154" s="163">
        <f>'High and Diameter'!V126</f>
        <v>1693.9778346356584</v>
      </c>
      <c r="I154" s="263">
        <f>'High and Diameter'!W126</f>
        <v>2.5382475660639856</v>
      </c>
      <c r="J154" s="263">
        <f>'High and Diameter'!X126</f>
        <v>2.4736842105263097</v>
      </c>
      <c r="K154" s="263">
        <f>'High and Diameter'!Y126</f>
        <v>7.3617695977574931</v>
      </c>
      <c r="L154" s="92">
        <f t="shared" ref="L154:L160" si="66">(20-C154)/20*100</f>
        <v>4.13333333333334</v>
      </c>
      <c r="O154" s="266" t="s">
        <v>172</v>
      </c>
      <c r="P154" s="257" t="s">
        <v>135</v>
      </c>
      <c r="Q154" s="191">
        <f>'High and Diameter'!AF126</f>
        <v>19.036666666666665</v>
      </c>
      <c r="R154" s="62">
        <f>'High and Diameter'!AJ126</f>
        <v>6.3266666666666671</v>
      </c>
      <c r="S154" s="259">
        <f>'High and Diameter'!AK126</f>
        <v>1800.7218967982744</v>
      </c>
      <c r="T154" s="191">
        <f>'High and Diameter'!AQ126</f>
        <v>18.279999999999998</v>
      </c>
      <c r="U154" s="62">
        <f>'High and Diameter'!AU126</f>
        <v>6.086666666666666</v>
      </c>
      <c r="V154" s="163">
        <f>'High and Diameter'!AV126</f>
        <v>1597.4298026454439</v>
      </c>
      <c r="W154" s="263">
        <f>'High and Diameter'!AW126</f>
        <v>3.9747855016634621</v>
      </c>
      <c r="X154" s="263">
        <f>'High and Diameter'!AX126</f>
        <v>3.793466807165454</v>
      </c>
      <c r="Y154" s="263">
        <f>'High and Diameter'!AY126</f>
        <v>11.289477543105827</v>
      </c>
      <c r="Z154" s="92">
        <f t="shared" ref="Z154:Z160" si="67">(20-Q154)/20*100</f>
        <v>4.8166666666666735</v>
      </c>
    </row>
    <row r="155" spans="1:27" x14ac:dyDescent="0.25">
      <c r="A155" s="267"/>
      <c r="B155" s="251" t="s">
        <v>136</v>
      </c>
      <c r="C155" s="360">
        <f>'High and Diameter'!F127</f>
        <v>19.16</v>
      </c>
      <c r="D155" s="26">
        <f>'High and Diameter'!J127</f>
        <v>6.3500000000000005</v>
      </c>
      <c r="E155" s="260">
        <f>'High and Diameter'!K127</f>
        <v>1830.857806482031</v>
      </c>
      <c r="F155" s="192">
        <f>'High and Diameter'!Q127</f>
        <v>18.606666666666666</v>
      </c>
      <c r="G155" s="26">
        <f>'High and Diameter'!U127</f>
        <v>6.1966666666666663</v>
      </c>
      <c r="H155" s="164">
        <f>'High and Diameter'!V127</f>
        <v>1684.9428354716833</v>
      </c>
      <c r="I155" s="37">
        <f>'High and Diameter'!W127</f>
        <v>2.8879610299234582</v>
      </c>
      <c r="J155" s="37">
        <f>'High and Diameter'!X127</f>
        <v>2.4146981627296724</v>
      </c>
      <c r="K155" s="37">
        <f>'High and Diameter'!Y127</f>
        <v>7.9697598848881324</v>
      </c>
      <c r="L155" s="92">
        <f t="shared" si="66"/>
        <v>4.1999999999999993</v>
      </c>
      <c r="O155" s="267"/>
      <c r="P155" s="251" t="s">
        <v>136</v>
      </c>
      <c r="Q155" s="192">
        <f>'High and Diameter'!AF127</f>
        <v>19.079999999999998</v>
      </c>
      <c r="R155" s="26">
        <f>'High and Diameter'!AJ127</f>
        <v>6.7333333333333334</v>
      </c>
      <c r="S155" s="260">
        <f>'High and Diameter'!AK127</f>
        <v>1925.2039179397821</v>
      </c>
      <c r="T155" s="192">
        <f>'High and Diameter'!AQ127</f>
        <v>18.23</v>
      </c>
      <c r="U155" s="26">
        <f>'High and Diameter'!AU127</f>
        <v>6.3866666666666667</v>
      </c>
      <c r="V155" s="164">
        <f>'High and Diameter'!AV127</f>
        <v>1667.0071735072856</v>
      </c>
      <c r="W155" s="37">
        <f>'High and Diameter'!AW127</f>
        <v>4.4549266247379347</v>
      </c>
      <c r="X155" s="37">
        <f>'High and Diameter'!AX127</f>
        <v>5.1485148514851486</v>
      </c>
      <c r="Y155" s="37">
        <f>'High and Diameter'!AY127</f>
        <v>13.411397204551736</v>
      </c>
      <c r="Z155" s="92">
        <f t="shared" si="67"/>
        <v>4.6000000000000085</v>
      </c>
    </row>
    <row r="156" spans="1:27" x14ac:dyDescent="0.25">
      <c r="A156" s="267"/>
      <c r="B156" s="251" t="s">
        <v>137</v>
      </c>
      <c r="C156" s="360">
        <f>'High and Diameter'!F128</f>
        <v>19.296666666666667</v>
      </c>
      <c r="D156" s="26">
        <f>'High and Diameter'!J128</f>
        <v>6.48</v>
      </c>
      <c r="E156" s="260">
        <f>'High and Diameter'!K128</f>
        <v>1895.0884159837262</v>
      </c>
      <c r="F156" s="192">
        <f>'High and Diameter'!Q128</f>
        <v>18.670000000000002</v>
      </c>
      <c r="G156" s="26">
        <f>'High and Diameter'!U128</f>
        <v>6.2733333333333334</v>
      </c>
      <c r="H156" s="164">
        <f>'High and Diameter'!V128</f>
        <v>1717.4214454579878</v>
      </c>
      <c r="I156" s="37">
        <f>'High and Diameter'!W128</f>
        <v>3.2475384349628529</v>
      </c>
      <c r="J156" s="37">
        <f>'High and Diameter'!X128</f>
        <v>3.1893004115226384</v>
      </c>
      <c r="K156" s="37">
        <f>'High and Diameter'!Y128</f>
        <v>9.3751283067979081</v>
      </c>
      <c r="L156" s="92">
        <f t="shared" si="66"/>
        <v>3.5166666666666657</v>
      </c>
      <c r="O156" s="267"/>
      <c r="P156" s="251" t="s">
        <v>137</v>
      </c>
      <c r="Q156" s="192">
        <f>'High and Diameter'!AF128</f>
        <v>19.026666666666667</v>
      </c>
      <c r="R156" s="26">
        <f>'High and Diameter'!AJ128</f>
        <v>6.59</v>
      </c>
      <c r="S156" s="260">
        <f>'High and Diameter'!AK128</f>
        <v>1873.7028415066354</v>
      </c>
      <c r="T156" s="192">
        <f>'High and Diameter'!AQ128</f>
        <v>18.133333333333336</v>
      </c>
      <c r="U156" s="26">
        <f>'High and Diameter'!AU128</f>
        <v>6.2933333333333339</v>
      </c>
      <c r="V156" s="164">
        <f>'High and Diameter'!AV128</f>
        <v>1625.2714503239174</v>
      </c>
      <c r="W156" s="37">
        <f>'High and Diameter'!AW128</f>
        <v>4.6951646811492509</v>
      </c>
      <c r="X156" s="37">
        <f>'High and Diameter'!AX128</f>
        <v>4.501770359129984</v>
      </c>
      <c r="Y156" s="37">
        <f>'High and Diameter'!AY128</f>
        <v>13.258846903543976</v>
      </c>
      <c r="Z156" s="92">
        <f t="shared" si="67"/>
        <v>4.8666666666666636</v>
      </c>
    </row>
    <row r="157" spans="1:27" x14ac:dyDescent="0.25">
      <c r="A157" s="267"/>
      <c r="B157" s="251" t="s">
        <v>138</v>
      </c>
      <c r="C157" s="360">
        <f>'High and Diameter'!F129</f>
        <v>19.236666666666668</v>
      </c>
      <c r="D157" s="26">
        <f>'High and Diameter'!J129</f>
        <v>6.330000000000001</v>
      </c>
      <c r="E157" s="260">
        <f>'High and Diameter'!K129</f>
        <v>1839.7263578713007</v>
      </c>
      <c r="F157" s="192">
        <f>'High and Diameter'!Q129</f>
        <v>18.633333333333336</v>
      </c>
      <c r="G157" s="26">
        <f>'High and Diameter'!U129</f>
        <v>6.1000000000000005</v>
      </c>
      <c r="H157" s="164">
        <f>'High and Diameter'!V129</f>
        <v>1663.4158014769428</v>
      </c>
      <c r="I157" s="37">
        <f>'High and Diameter'!W129</f>
        <v>3.1363715127360861</v>
      </c>
      <c r="J157" s="37">
        <f>'High and Diameter'!X129</f>
        <v>3.633491311216436</v>
      </c>
      <c r="K157" s="37">
        <f>'High and Diameter'!Y129</f>
        <v>9.5835207035008327</v>
      </c>
      <c r="L157" s="92">
        <f t="shared" si="66"/>
        <v>3.8166666666666593</v>
      </c>
      <c r="O157" s="267"/>
      <c r="P157" s="251" t="s">
        <v>138</v>
      </c>
      <c r="Q157" s="192">
        <f>'High and Diameter'!AF129</f>
        <v>18.963333333333331</v>
      </c>
      <c r="R157" s="26">
        <f>'High and Diameter'!AJ129</f>
        <v>6.5366666666666662</v>
      </c>
      <c r="S157" s="260">
        <f>'High and Diameter'!AK129</f>
        <v>1846.1865318401137</v>
      </c>
      <c r="T157" s="192">
        <f>'High and Diameter'!AQ129</f>
        <v>18.153333333333332</v>
      </c>
      <c r="U157" s="26">
        <f>'High and Diameter'!AU129</f>
        <v>6.2</v>
      </c>
      <c r="V157" s="164">
        <f>'High and Diameter'!AV129</f>
        <v>1604.701783994522</v>
      </c>
      <c r="W157" s="37">
        <f>'High and Diameter'!AW129</f>
        <v>4.2714009492002045</v>
      </c>
      <c r="X157" s="37">
        <f>'High and Diameter'!AX129</f>
        <v>5.1504334523202351</v>
      </c>
      <c r="Y157" s="37">
        <f>'High and Diameter'!AY129</f>
        <v>13.080192260145097</v>
      </c>
      <c r="Z157" s="92">
        <f t="shared" si="67"/>
        <v>5.1833333333333442</v>
      </c>
    </row>
    <row r="158" spans="1:27" x14ac:dyDescent="0.25">
      <c r="A158" s="267"/>
      <c r="B158" s="251" t="s">
        <v>139</v>
      </c>
      <c r="C158" s="360">
        <f>'High and Diameter'!F130</f>
        <v>19.190000000000001</v>
      </c>
      <c r="D158" s="26">
        <f>'High and Diameter'!J130</f>
        <v>6.59</v>
      </c>
      <c r="E158" s="260">
        <f>'High and Diameter'!K130</f>
        <v>1906.0103097133876</v>
      </c>
      <c r="F158" s="192">
        <f>'High and Diameter'!Q130</f>
        <v>18.61</v>
      </c>
      <c r="G158" s="26">
        <f>'High and Diameter'!U130</f>
        <v>6.419999999999999</v>
      </c>
      <c r="H158" s="164">
        <f>'High and Diameter'!V130</f>
        <v>1746.2951816050322</v>
      </c>
      <c r="I158" s="37">
        <f>'High and Diameter'!W130</f>
        <v>3.0224075039082949</v>
      </c>
      <c r="J158" s="37">
        <f>'High and Diameter'!X130</f>
        <v>2.5796661608497846</v>
      </c>
      <c r="K158" s="37">
        <f>'High and Diameter'!Y130</f>
        <v>8.3795521616235256</v>
      </c>
      <c r="L158" s="92">
        <f t="shared" si="66"/>
        <v>4.0499999999999936</v>
      </c>
      <c r="O158" s="267"/>
      <c r="P158" s="251" t="s">
        <v>139</v>
      </c>
      <c r="Q158" s="192">
        <f>'High and Diameter'!AF130</f>
        <v>19.053333333333331</v>
      </c>
      <c r="R158" s="26">
        <f>'High and Diameter'!AJ130</f>
        <v>6.4766666666666666</v>
      </c>
      <c r="S158" s="260">
        <f>'High and Diameter'!AK130</f>
        <v>1846.6447600939769</v>
      </c>
      <c r="T158" s="192">
        <f>'High and Diameter'!AQ130</f>
        <v>18.15666666666667</v>
      </c>
      <c r="U158" s="26">
        <f>'High and Diameter'!AU130</f>
        <v>6.2</v>
      </c>
      <c r="V158" s="164">
        <f>'High and Diameter'!AV130</f>
        <v>1605.2911520123239</v>
      </c>
      <c r="W158" s="37">
        <f>'High and Diameter'!AW130</f>
        <v>4.706088173547907</v>
      </c>
      <c r="X158" s="37">
        <f>'High and Diameter'!AX130</f>
        <v>4.2717447246525948</v>
      </c>
      <c r="Y158" s="37">
        <f>'High and Diameter'!AY130</f>
        <v>13.069845012820458</v>
      </c>
      <c r="Z158" s="92">
        <f t="shared" si="67"/>
        <v>4.7333333333333449</v>
      </c>
    </row>
    <row r="159" spans="1:27" x14ac:dyDescent="0.25">
      <c r="A159" s="267"/>
      <c r="B159" s="251" t="s">
        <v>140</v>
      </c>
      <c r="C159" s="360">
        <f>'High and Diameter'!F131</f>
        <v>19.193333333333332</v>
      </c>
      <c r="D159" s="26">
        <f>'High and Diameter'!J131</f>
        <v>6.3166666666666664</v>
      </c>
      <c r="E159" s="260">
        <f>'High and Diameter'!K131</f>
        <v>1827.5894930345471</v>
      </c>
      <c r="F159" s="192">
        <f>'High and Diameter'!Q131</f>
        <v>18.693333333333335</v>
      </c>
      <c r="G159" s="26">
        <f>'High and Diameter'!U131</f>
        <v>6.2033333333333331</v>
      </c>
      <c r="H159" s="164">
        <f>'High and Diameter'!V131</f>
        <v>1702.5054085247928</v>
      </c>
      <c r="I159" s="37">
        <f>'High and Diameter'!W131</f>
        <v>2.6050712052795926</v>
      </c>
      <c r="J159" s="37">
        <f>'High and Diameter'!X131</f>
        <v>1.7941952506596299</v>
      </c>
      <c r="K159" s="37">
        <f>'High and Diameter'!Y131</f>
        <v>6.8442111856346664</v>
      </c>
      <c r="L159" s="92">
        <f t="shared" si="66"/>
        <v>4.0333333333333421</v>
      </c>
      <c r="O159" s="267"/>
      <c r="P159" s="251" t="s">
        <v>140</v>
      </c>
      <c r="Q159" s="192">
        <f>'High and Diameter'!AF131</f>
        <v>19.11</v>
      </c>
      <c r="R159" s="26">
        <f>'High and Diameter'!AJ131</f>
        <v>6.5366666666666662</v>
      </c>
      <c r="S159" s="260">
        <f>'High and Diameter'!AK131</f>
        <v>1874.8546075801714</v>
      </c>
      <c r="T159" s="192">
        <f>'High and Diameter'!AQ131</f>
        <v>18.253333333333334</v>
      </c>
      <c r="U159" s="26">
        <f>'High and Diameter'!AU131</f>
        <v>6.2333333333333343</v>
      </c>
      <c r="V159" s="164">
        <f>'High and Diameter'!AV131</f>
        <v>1631.1526374351433</v>
      </c>
      <c r="W159" s="37">
        <f>'High and Diameter'!AW131</f>
        <v>4.4828187685330487</v>
      </c>
      <c r="X159" s="37">
        <f>'High and Diameter'!AX131</f>
        <v>4.6404895461499018</v>
      </c>
      <c r="Y159" s="37">
        <f>'High and Diameter'!AY131</f>
        <v>12.998446341370876</v>
      </c>
      <c r="Z159" s="92">
        <f t="shared" si="67"/>
        <v>4.4500000000000028</v>
      </c>
    </row>
    <row r="160" spans="1:27" ht="15.75" thickBot="1" x14ac:dyDescent="0.3">
      <c r="A160" s="269"/>
      <c r="B160" s="252" t="s">
        <v>141</v>
      </c>
      <c r="C160" s="365">
        <f>'High and Diameter'!F132</f>
        <v>19.16</v>
      </c>
      <c r="D160" s="288">
        <f>'High and Diameter'!J132</f>
        <v>6.4733333333333336</v>
      </c>
      <c r="E160" s="262">
        <f>'High and Diameter'!K132</f>
        <v>1866.4177743769576</v>
      </c>
      <c r="F160" s="366">
        <f>'High and Diameter'!Q132</f>
        <v>18.676666666666666</v>
      </c>
      <c r="G160" s="288">
        <f>'High and Diameter'!U132</f>
        <v>6.2766666666666664</v>
      </c>
      <c r="H160" s="248">
        <f>'High and Diameter'!V132</f>
        <v>1719.5613780913386</v>
      </c>
      <c r="I160" s="265">
        <f>'High and Diameter'!W132</f>
        <v>2.5226165622825381</v>
      </c>
      <c r="J160" s="265">
        <f>'High and Diameter'!X132</f>
        <v>3.0381050463439836</v>
      </c>
      <c r="K160" s="265">
        <f>'High and Diameter'!Y132</f>
        <v>7.8683560723505312</v>
      </c>
      <c r="L160" s="92">
        <f t="shared" si="66"/>
        <v>4.1999999999999993</v>
      </c>
      <c r="O160" s="269"/>
      <c r="P160" s="252" t="s">
        <v>141</v>
      </c>
      <c r="Q160" s="193">
        <f>'High and Diameter'!AF132</f>
        <v>19.016666666666666</v>
      </c>
      <c r="R160" s="59">
        <f>'High and Diameter'!AJ132</f>
        <v>6.4533333333333331</v>
      </c>
      <c r="S160" s="261">
        <f>'High and Diameter'!AK132</f>
        <v>1832.9168668119412</v>
      </c>
      <c r="T160" s="193">
        <f>'High and Diameter'!AQ132</f>
        <v>18.25</v>
      </c>
      <c r="U160" s="59">
        <f>'High and Diameter'!AU132</f>
        <v>6.2266666666666666</v>
      </c>
      <c r="V160" s="165">
        <f>'High and Diameter'!AV132</f>
        <v>1628.8130346265966</v>
      </c>
      <c r="W160" s="264">
        <f>'High and Diameter'!AW132</f>
        <v>4.0315512708150694</v>
      </c>
      <c r="X160" s="264">
        <f>'High and Diameter'!AX132</f>
        <v>3.5123966942148748</v>
      </c>
      <c r="Y160" s="264">
        <f>'High and Diameter'!AY132</f>
        <v>11.135465873056742</v>
      </c>
      <c r="Z160" s="92">
        <f t="shared" si="67"/>
        <v>4.9166666666666714</v>
      </c>
    </row>
    <row r="161" spans="1:26" x14ac:dyDescent="0.25">
      <c r="A161" s="266" t="s">
        <v>161</v>
      </c>
      <c r="B161" s="250"/>
      <c r="C161" s="364">
        <f t="shared" ref="C161:J161" si="68">AVERAGE(C154:C160)</f>
        <v>19.201428571428572</v>
      </c>
      <c r="D161" s="364">
        <f t="shared" si="68"/>
        <v>6.4104761904761913</v>
      </c>
      <c r="E161" s="370">
        <f t="shared" si="68"/>
        <v>1856.3264179744053</v>
      </c>
      <c r="F161" s="191">
        <f t="shared" si="68"/>
        <v>18.653809523809525</v>
      </c>
      <c r="G161" s="364">
        <f t="shared" si="68"/>
        <v>6.2352380952380955</v>
      </c>
      <c r="H161" s="263">
        <f t="shared" si="68"/>
        <v>1704.0171264662051</v>
      </c>
      <c r="I161" s="23">
        <f t="shared" si="68"/>
        <v>2.8514591164509722</v>
      </c>
      <c r="J161" s="23">
        <f t="shared" si="68"/>
        <v>2.7318772219783503</v>
      </c>
      <c r="K161" s="23">
        <f>AVERAGE(K154:K160)</f>
        <v>8.1974711303647254</v>
      </c>
      <c r="L161" s="23">
        <f>AVERAGE(L154:L160)</f>
        <v>3.9928571428571429</v>
      </c>
      <c r="O161" s="266" t="s">
        <v>161</v>
      </c>
      <c r="P161" s="250"/>
      <c r="Q161" s="364">
        <f t="shared" ref="Q161:X161" si="69">AVERAGE(Q154:Q160)</f>
        <v>19.040952380952376</v>
      </c>
      <c r="R161" s="364">
        <f t="shared" si="69"/>
        <v>6.5219047619047616</v>
      </c>
      <c r="S161" s="370">
        <f t="shared" si="69"/>
        <v>1857.1759175101281</v>
      </c>
      <c r="T161" s="191">
        <f t="shared" si="69"/>
        <v>18.208095238095236</v>
      </c>
      <c r="U161" s="364">
        <f t="shared" si="69"/>
        <v>6.2323809523809519</v>
      </c>
      <c r="V161" s="263">
        <f t="shared" si="69"/>
        <v>1622.8095763636047</v>
      </c>
      <c r="W161" s="23">
        <f t="shared" si="69"/>
        <v>4.3738194242352684</v>
      </c>
      <c r="X161" s="23">
        <f t="shared" si="69"/>
        <v>4.4312594907311702</v>
      </c>
      <c r="Y161" s="23">
        <f>AVERAGE(Y154:Y160)</f>
        <v>12.606238734084959</v>
      </c>
      <c r="Z161" s="23">
        <f>AVERAGE(Z154:Z160)</f>
        <v>4.7952380952381004</v>
      </c>
    </row>
    <row r="162" spans="1:26" ht="15.75" thickBot="1" x14ac:dyDescent="0.3">
      <c r="A162" s="268" t="s">
        <v>162</v>
      </c>
      <c r="B162" s="363"/>
      <c r="C162" s="347">
        <f t="shared" ref="C162:J162" si="70">STDEV(C154:C161)</f>
        <v>4.5872741252542377E-2</v>
      </c>
      <c r="D162" s="347">
        <f t="shared" si="70"/>
        <v>9.7026073593215592E-2</v>
      </c>
      <c r="E162" s="371">
        <f t="shared" si="70"/>
        <v>30.687094714744632</v>
      </c>
      <c r="F162" s="193">
        <f t="shared" si="70"/>
        <v>3.3779329239939433E-2</v>
      </c>
      <c r="G162" s="347">
        <f t="shared" si="70"/>
        <v>9.3755120797409747E-2</v>
      </c>
      <c r="H162" s="264">
        <f t="shared" si="70"/>
        <v>24.854152604922124</v>
      </c>
      <c r="I162" s="61">
        <f t="shared" si="70"/>
        <v>0.27660067773659569</v>
      </c>
      <c r="J162" s="61">
        <f t="shared" si="70"/>
        <v>0.55877433394321896</v>
      </c>
      <c r="K162" s="61">
        <f>STDEV(K154:K161)</f>
        <v>0.92821195306436732</v>
      </c>
      <c r="L162" s="61">
        <f>STDEV(L154:L160)</f>
        <v>0.24774111765240378</v>
      </c>
      <c r="O162" s="268" t="s">
        <v>162</v>
      </c>
      <c r="P162" s="363"/>
      <c r="Q162" s="347">
        <f t="shared" ref="Q162:X162" si="71">STDEV(Q154:Q161)</f>
        <v>4.3560368099159308E-2</v>
      </c>
      <c r="R162" s="347">
        <f t="shared" si="71"/>
        <v>0.11627631489643826</v>
      </c>
      <c r="S162" s="371">
        <f t="shared" si="71"/>
        <v>36.293868059564744</v>
      </c>
      <c r="T162" s="193">
        <f t="shared" si="71"/>
        <v>5.4360850258400005E-2</v>
      </c>
      <c r="U162" s="347">
        <f t="shared" si="71"/>
        <v>8.5258045018419507E-2</v>
      </c>
      <c r="V162" s="264">
        <f t="shared" si="71"/>
        <v>21.856861773329058</v>
      </c>
      <c r="W162" s="61">
        <f t="shared" si="71"/>
        <v>0.27228914127104126</v>
      </c>
      <c r="X162" s="61">
        <f t="shared" si="71"/>
        <v>0.58026456340925592</v>
      </c>
      <c r="Y162" s="61">
        <f>STDEV(Y154:Y161)</f>
        <v>0.89159567726117717</v>
      </c>
      <c r="Z162" s="61">
        <f>STDEV(Z154:Z160)</f>
        <v>0.23525287531487432</v>
      </c>
    </row>
    <row r="163" spans="1:26" x14ac:dyDescent="0.25">
      <c r="A163" s="270" t="s">
        <v>177</v>
      </c>
      <c r="B163" s="250" t="s">
        <v>135</v>
      </c>
      <c r="C163" s="364">
        <f>'High and Diameter'!F133</f>
        <v>18.996666666666666</v>
      </c>
      <c r="D163" s="62">
        <f>'High and Diameter'!J133</f>
        <v>6.2866666666666662</v>
      </c>
      <c r="E163" s="259">
        <f>'High and Diameter'!K133</f>
        <v>1781.825293432353</v>
      </c>
      <c r="F163" s="191">
        <f>'High and Diameter'!Q133</f>
        <v>17.883333333333336</v>
      </c>
      <c r="G163" s="62">
        <f>'High and Diameter'!U133</f>
        <v>5.9899999999999993</v>
      </c>
      <c r="H163" s="163">
        <f>'High and Diameter'!V133</f>
        <v>1504.5743265490732</v>
      </c>
      <c r="I163" s="263">
        <f>'High and Diameter'!W133</f>
        <v>5.86067731180907</v>
      </c>
      <c r="J163" s="263">
        <f>'High and Diameter'!X133</f>
        <v>4.7189819724284234</v>
      </c>
      <c r="K163" s="263">
        <f>'High and Diameter'!Y133</f>
        <v>15.559941140425032</v>
      </c>
      <c r="L163" s="92">
        <f t="shared" ref="L163:L169" si="72">(20-C163)/20*100</f>
        <v>5.0166666666666693</v>
      </c>
      <c r="O163" s="270" t="s">
        <v>178</v>
      </c>
      <c r="P163" s="257" t="s">
        <v>135</v>
      </c>
      <c r="Q163" s="191">
        <f>'High and Diameter'!AF133</f>
        <v>18.940000000000001</v>
      </c>
      <c r="R163" s="62">
        <f>'High and Diameter'!AJ133</f>
        <v>6.6000000000000005</v>
      </c>
      <c r="S163" s="259">
        <f>'High and Diameter'!AK133</f>
        <v>1859.4896536083181</v>
      </c>
      <c r="T163" s="191">
        <f>'High and Diameter'!AQ133</f>
        <v>17.723333333333333</v>
      </c>
      <c r="U163" s="62">
        <f>'High and Diameter'!AU133</f>
        <v>6.38</v>
      </c>
      <c r="V163" s="163">
        <f>'High and Diameter'!AV133</f>
        <v>1573.9878342942968</v>
      </c>
      <c r="W163" s="263">
        <f>'High and Diameter'!AW133</f>
        <v>6.4237944385779748</v>
      </c>
      <c r="X163" s="263">
        <f>'High and Diameter'!AX133</f>
        <v>3.3333333333333428</v>
      </c>
      <c r="Y163" s="263">
        <f>'High and Diameter'!AY133</f>
        <v>15.353772943022745</v>
      </c>
      <c r="Z163" s="92">
        <f t="shared" ref="Z163:Z169" si="73">(20-Q163)/20*100</f>
        <v>5.2999999999999936</v>
      </c>
    </row>
    <row r="164" spans="1:26" x14ac:dyDescent="0.25">
      <c r="A164" s="271"/>
      <c r="B164" s="251" t="s">
        <v>136</v>
      </c>
      <c r="C164" s="360">
        <f>'High and Diameter'!F134</f>
        <v>19.02</v>
      </c>
      <c r="D164" s="26">
        <f>'High and Diameter'!J134</f>
        <v>6.5866666666666669</v>
      </c>
      <c r="E164" s="260">
        <f>'High and Diameter'!K134</f>
        <v>1871.4429486995141</v>
      </c>
      <c r="F164" s="192">
        <f>'High and Diameter'!Q134</f>
        <v>17.766666666666666</v>
      </c>
      <c r="G164" s="26">
        <f>'High and Diameter'!U134</f>
        <v>6.2433333333333332</v>
      </c>
      <c r="H164" s="164">
        <f>'High and Diameter'!V134</f>
        <v>1547.8123680369456</v>
      </c>
      <c r="I164" s="37">
        <f>'High and Diameter'!W134</f>
        <v>6.5895548545390845</v>
      </c>
      <c r="J164" s="37">
        <f>'High and Diameter'!X134</f>
        <v>5.2125506072874552</v>
      </c>
      <c r="K164" s="37">
        <f>'High and Diameter'!Y134</f>
        <v>17.29310428017391</v>
      </c>
      <c r="L164" s="92">
        <f t="shared" si="72"/>
        <v>4.9000000000000021</v>
      </c>
      <c r="O164" s="271"/>
      <c r="P164" s="251" t="s">
        <v>136</v>
      </c>
      <c r="Q164" s="192">
        <f>'High and Diameter'!AF134</f>
        <v>18.883333333333329</v>
      </c>
      <c r="R164" s="26">
        <f>'High and Diameter'!AJ134</f>
        <v>6.66</v>
      </c>
      <c r="S164" s="260">
        <f>'High and Diameter'!AK134</f>
        <v>1865.1829185009872</v>
      </c>
      <c r="T164" s="192">
        <f>'High and Diameter'!AQ134</f>
        <v>17.789999999999996</v>
      </c>
      <c r="U164" s="26">
        <f>'High and Diameter'!AU134</f>
        <v>6.376666666666666</v>
      </c>
      <c r="V164" s="164">
        <f>'High and Diameter'!AV134</f>
        <v>1585.0227236067915</v>
      </c>
      <c r="W164" s="37">
        <f>'High and Diameter'!AW134</f>
        <v>5.7899382171226863</v>
      </c>
      <c r="X164" s="37">
        <f>'High and Diameter'!AX134</f>
        <v>4.2542542542542661</v>
      </c>
      <c r="Y164" s="37">
        <f>'High and Diameter'!AY134</f>
        <v>15.020521157214716</v>
      </c>
      <c r="Z164" s="92">
        <f t="shared" si="73"/>
        <v>5.5833333333333535</v>
      </c>
    </row>
    <row r="165" spans="1:26" x14ac:dyDescent="0.25">
      <c r="A165" s="271"/>
      <c r="B165" s="251" t="s">
        <v>137</v>
      </c>
      <c r="C165" s="360">
        <f>'High and Diameter'!F135</f>
        <v>19.023333333333333</v>
      </c>
      <c r="D165" s="26">
        <f>'High and Diameter'!J135</f>
        <v>6.3033333333333337</v>
      </c>
      <c r="E165" s="260">
        <f>'High and Diameter'!K135</f>
        <v>1791.5683895744678</v>
      </c>
      <c r="F165" s="192">
        <f>'High and Diameter'!Q135</f>
        <v>17.756666666666664</v>
      </c>
      <c r="G165" s="26">
        <f>'High and Diameter'!U135</f>
        <v>6</v>
      </c>
      <c r="H165" s="164">
        <f>'High and Diameter'!V135</f>
        <v>1485.8125279639855</v>
      </c>
      <c r="I165" s="37">
        <f>'High and Diameter'!W135</f>
        <v>6.6584895742071275</v>
      </c>
      <c r="J165" s="37">
        <f>'High and Diameter'!X135</f>
        <v>4.8122686409307294</v>
      </c>
      <c r="K165" s="37">
        <f>'High and Diameter'!Y135</f>
        <v>17.066379569417677</v>
      </c>
      <c r="L165" s="92">
        <f t="shared" si="72"/>
        <v>4.8833333333333329</v>
      </c>
      <c r="O165" s="271"/>
      <c r="P165" s="251" t="s">
        <v>137</v>
      </c>
      <c r="Q165" s="192">
        <f>'High and Diameter'!AF135</f>
        <v>18.956666666666663</v>
      </c>
      <c r="R165" s="26">
        <f>'High and Diameter'!AJ135</f>
        <v>6.3599999999999994</v>
      </c>
      <c r="S165" s="260">
        <f>'High and Diameter'!AK135</f>
        <v>1795.026829096842</v>
      </c>
      <c r="T165" s="192">
        <f>'High and Diameter'!AQ135</f>
        <v>17.79</v>
      </c>
      <c r="U165" s="26">
        <f>'High and Diameter'!AU135</f>
        <v>6.0966666666666667</v>
      </c>
      <c r="V165" s="164">
        <f>'High and Diameter'!AV135</f>
        <v>1515.4242349591336</v>
      </c>
      <c r="W165" s="37">
        <f>'High and Diameter'!AW135</f>
        <v>6.1543871988746144</v>
      </c>
      <c r="X165" s="37">
        <f>'High and Diameter'!AX135</f>
        <v>4.1404612159329046</v>
      </c>
      <c r="Y165" s="37">
        <f>'High and Diameter'!AY135</f>
        <v>15.576513376036216</v>
      </c>
      <c r="Z165" s="92">
        <f t="shared" si="73"/>
        <v>5.2166666666666828</v>
      </c>
    </row>
    <row r="166" spans="1:26" x14ac:dyDescent="0.25">
      <c r="A166" s="271"/>
      <c r="B166" s="251" t="s">
        <v>138</v>
      </c>
      <c r="C166" s="360">
        <f>'High and Diameter'!F136</f>
        <v>18.963333333333335</v>
      </c>
      <c r="D166" s="26">
        <f>'High and Diameter'!J136</f>
        <v>6.6333333333333329</v>
      </c>
      <c r="E166" s="260">
        <f>'High and Diameter'!K136</f>
        <v>1873.4886274155167</v>
      </c>
      <c r="F166" s="192">
        <f>'High and Diameter'!Q136</f>
        <v>17.753333333333334</v>
      </c>
      <c r="G166" s="26">
        <f>'High and Diameter'!U136</f>
        <v>6.2633333333333328</v>
      </c>
      <c r="H166" s="164">
        <f>'High and Diameter'!V136</f>
        <v>1550.4409183643847</v>
      </c>
      <c r="I166" s="37">
        <f>'High and Diameter'!W136</f>
        <v>6.3807347512743933</v>
      </c>
      <c r="J166" s="37">
        <f>'High and Diameter'!X136</f>
        <v>5.5778894472361822</v>
      </c>
      <c r="K166" s="37">
        <f>'High and Diameter'!Y136</f>
        <v>17.243110223560699</v>
      </c>
      <c r="L166" s="92">
        <f t="shared" si="72"/>
        <v>5.1833333333333265</v>
      </c>
      <c r="O166" s="271"/>
      <c r="P166" s="251" t="s">
        <v>138</v>
      </c>
      <c r="Q166" s="192">
        <f>'High and Diameter'!AF136</f>
        <v>18.983333333333334</v>
      </c>
      <c r="R166" s="26">
        <f>'High and Diameter'!AJ136</f>
        <v>6.38</v>
      </c>
      <c r="S166" s="260">
        <f>'High and Diameter'!AK136</f>
        <v>1805.7412016949124</v>
      </c>
      <c r="T166" s="192">
        <f>'High and Diameter'!AQ136</f>
        <v>17.733333333333334</v>
      </c>
      <c r="U166" s="26">
        <f>'High and Diameter'!AU136</f>
        <v>6.16</v>
      </c>
      <c r="V166" s="164">
        <f>'High and Diameter'!AV136</f>
        <v>1521.4278039466451</v>
      </c>
      <c r="W166" s="37">
        <f>'High and Diameter'!AW136</f>
        <v>6.5847234416154521</v>
      </c>
      <c r="X166" s="37">
        <f>'High and Diameter'!AX136</f>
        <v>3.4482758620689622</v>
      </c>
      <c r="Y166" s="37">
        <f>'High and Diameter'!AY136</f>
        <v>15.744969294680983</v>
      </c>
      <c r="Z166" s="92">
        <f t="shared" si="73"/>
        <v>5.0833333333333286</v>
      </c>
    </row>
    <row r="167" spans="1:26" x14ac:dyDescent="0.25">
      <c r="A167" s="271"/>
      <c r="B167" s="251" t="s">
        <v>139</v>
      </c>
      <c r="C167" s="360">
        <f>'High and Diameter'!F137</f>
        <v>19.02</v>
      </c>
      <c r="D167" s="26">
        <f>'High and Diameter'!J137</f>
        <v>6.496666666666667</v>
      </c>
      <c r="E167" s="260">
        <f>'High and Diameter'!K137</f>
        <v>1845.8716128620208</v>
      </c>
      <c r="F167" s="192">
        <f>'High and Diameter'!Q137</f>
        <v>17.783333333333331</v>
      </c>
      <c r="G167" s="26">
        <f>'High and Diameter'!U137</f>
        <v>6.1566666666666663</v>
      </c>
      <c r="H167" s="164">
        <f>'High and Diameter'!V137</f>
        <v>1529.1914466113149</v>
      </c>
      <c r="I167" s="37">
        <f>'High and Diameter'!W137</f>
        <v>6.5019277953031978</v>
      </c>
      <c r="J167" s="37">
        <f>'High and Diameter'!X137</f>
        <v>5.2334530528476257</v>
      </c>
      <c r="K167" s="37">
        <f>'High and Diameter'!Y137</f>
        <v>17.156131772333499</v>
      </c>
      <c r="L167" s="92">
        <f t="shared" si="72"/>
        <v>4.9000000000000021</v>
      </c>
      <c r="O167" s="271"/>
      <c r="P167" s="251" t="s">
        <v>139</v>
      </c>
      <c r="Q167" s="192">
        <f>'High and Diameter'!AF137</f>
        <v>18.926666666666666</v>
      </c>
      <c r="R167" s="26">
        <f>'High and Diameter'!AJ137</f>
        <v>6.4366666666666674</v>
      </c>
      <c r="S167" s="260">
        <f>'High and Diameter'!AK137</f>
        <v>1810.9195922474935</v>
      </c>
      <c r="T167" s="192">
        <f>'High and Diameter'!AQ137</f>
        <v>17.72</v>
      </c>
      <c r="U167" s="26">
        <f>'High and Diameter'!AU137</f>
        <v>6.25</v>
      </c>
      <c r="V167" s="164">
        <f>'High and Diameter'!AV137</f>
        <v>1541.3360416858582</v>
      </c>
      <c r="W167" s="37">
        <f>'High and Diameter'!AW137</f>
        <v>6.3754843254667151</v>
      </c>
      <c r="X167" s="37">
        <f>'High and Diameter'!AX137</f>
        <v>2.9000517866390583</v>
      </c>
      <c r="Y167" s="37">
        <f>'High and Diameter'!AY137</f>
        <v>14.886555522162137</v>
      </c>
      <c r="Z167" s="92">
        <f t="shared" si="73"/>
        <v>5.3666666666666707</v>
      </c>
    </row>
    <row r="168" spans="1:26" x14ac:dyDescent="0.25">
      <c r="A168" s="271"/>
      <c r="B168" s="251" t="s">
        <v>140</v>
      </c>
      <c r="C168" s="360">
        <f>'High and Diameter'!F138</f>
        <v>18.976666666666667</v>
      </c>
      <c r="D168" s="26">
        <f>'High and Diameter'!J138</f>
        <v>6.5366666666666662</v>
      </c>
      <c r="E168" s="260">
        <f>'High and Diameter'!K138</f>
        <v>1848.7835936353208</v>
      </c>
      <c r="F168" s="192">
        <f>'High and Diameter'!Q138</f>
        <v>17.809999999999999</v>
      </c>
      <c r="G168" s="26">
        <f>'High and Diameter'!U138</f>
        <v>6.169999999999999</v>
      </c>
      <c r="H168" s="164">
        <f>'High and Diameter'!V138</f>
        <v>1537.1026961050613</v>
      </c>
      <c r="I168" s="37">
        <f>'High and Diameter'!W138</f>
        <v>6.1479009309678618</v>
      </c>
      <c r="J168" s="37">
        <f>'High and Diameter'!X138</f>
        <v>5.6093829678735414</v>
      </c>
      <c r="K168" s="37">
        <f>'High and Diameter'!Y138</f>
        <v>16.858700964421239</v>
      </c>
      <c r="L168" s="92">
        <f t="shared" si="72"/>
        <v>5.1166666666666671</v>
      </c>
      <c r="O168" s="271"/>
      <c r="P168" s="251" t="s">
        <v>140</v>
      </c>
      <c r="Q168" s="192">
        <f>'High and Diameter'!AF138</f>
        <v>18.966666666666665</v>
      </c>
      <c r="R168" s="26">
        <f>'High and Diameter'!AJ138</f>
        <v>6.44</v>
      </c>
      <c r="S168" s="260">
        <f>'High and Diameter'!AK138</f>
        <v>1819.523931534894</v>
      </c>
      <c r="T168" s="192">
        <f>'High and Diameter'!AQ138</f>
        <v>17.713333333333335</v>
      </c>
      <c r="U168" s="26">
        <f>'High and Diameter'!AU138</f>
        <v>6.2</v>
      </c>
      <c r="V168" s="164">
        <f>'High and Diameter'!AV138</f>
        <v>1527.8550766555522</v>
      </c>
      <c r="W168" s="37">
        <f>'High and Diameter'!AW138</f>
        <v>6.608084358523711</v>
      </c>
      <c r="X168" s="37">
        <f>'High and Diameter'!AX138</f>
        <v>3.7267080745341645</v>
      </c>
      <c r="Y168" s="37">
        <f>'High and Diameter'!AY138</f>
        <v>16.029954309713254</v>
      </c>
      <c r="Z168" s="92">
        <f t="shared" si="73"/>
        <v>5.166666666666675</v>
      </c>
    </row>
    <row r="169" spans="1:26" ht="15.75" thickBot="1" x14ac:dyDescent="0.3">
      <c r="A169" s="272"/>
      <c r="B169" s="252" t="s">
        <v>141</v>
      </c>
      <c r="C169" s="365">
        <f>'High and Diameter'!F139</f>
        <v>18.98</v>
      </c>
      <c r="D169" s="288">
        <f>'High and Diameter'!J139</f>
        <v>6.496666666666667</v>
      </c>
      <c r="E169" s="262">
        <f>'High and Diameter'!K139</f>
        <v>1838.1158583583488</v>
      </c>
      <c r="F169" s="366">
        <f>'High and Diameter'!Q139</f>
        <v>17.863333333333333</v>
      </c>
      <c r="G169" s="288">
        <f>'High and Diameter'!U139</f>
        <v>6.1466666666666656</v>
      </c>
      <c r="H169" s="248">
        <f>'High and Diameter'!V139</f>
        <v>1540.4746217508102</v>
      </c>
      <c r="I169" s="265">
        <f>'High and Diameter'!W139</f>
        <v>5.8833860203723241</v>
      </c>
      <c r="J169" s="265">
        <f>'High and Diameter'!X139</f>
        <v>5.3873781426372718</v>
      </c>
      <c r="K169" s="265">
        <f>'High and Diameter'!Y139</f>
        <v>16.192735362903989</v>
      </c>
      <c r="L169" s="92">
        <f t="shared" si="72"/>
        <v>5.0999999999999979</v>
      </c>
      <c r="O169" s="273"/>
      <c r="P169" s="252" t="s">
        <v>141</v>
      </c>
      <c r="Q169" s="193">
        <f>'High and Diameter'!AF139</f>
        <v>18.913333333333338</v>
      </c>
      <c r="R169" s="59">
        <f>'High and Diameter'!AJ139</f>
        <v>6.4300000000000006</v>
      </c>
      <c r="S169" s="261">
        <f>'High and Diameter'!AK139</f>
        <v>1806.4960145339658</v>
      </c>
      <c r="T169" s="193">
        <f>'High and Diameter'!AQ139</f>
        <v>17.836666666666666</v>
      </c>
      <c r="U169" s="59">
        <f>'High and Diameter'!AU139</f>
        <v>6.2438888888888897</v>
      </c>
      <c r="V169" s="165">
        <f>'High and Diameter'!AV139</f>
        <v>1560.1718581767518</v>
      </c>
      <c r="W169" s="264">
        <f>'High and Diameter'!AW139</f>
        <v>5.692633063094843</v>
      </c>
      <c r="X169" s="264">
        <f>'High and Diameter'!AX139</f>
        <v>2.8944185242785516</v>
      </c>
      <c r="Y169" s="264">
        <f>'High and Diameter'!AY139</f>
        <v>13.635466360038437</v>
      </c>
      <c r="Z169" s="92">
        <f t="shared" si="73"/>
        <v>5.4333333333333123</v>
      </c>
    </row>
    <row r="170" spans="1:26" x14ac:dyDescent="0.25">
      <c r="A170" s="270" t="s">
        <v>161</v>
      </c>
      <c r="B170" s="415"/>
      <c r="C170" s="410">
        <f t="shared" ref="C170:J170" si="74">AVERAGE(C163:C169)</f>
        <v>18.997142857142855</v>
      </c>
      <c r="D170" s="411">
        <f t="shared" si="74"/>
        <v>6.4771428571428578</v>
      </c>
      <c r="E170" s="412">
        <f>AVERAGE(E163:E169)</f>
        <v>1835.8709034253632</v>
      </c>
      <c r="F170" s="410">
        <f t="shared" si="74"/>
        <v>17.80238095238095</v>
      </c>
      <c r="G170" s="411">
        <f t="shared" si="74"/>
        <v>6.1385714285714288</v>
      </c>
      <c r="H170" s="412">
        <f t="shared" si="74"/>
        <v>1527.9155579116539</v>
      </c>
      <c r="I170" s="413">
        <f t="shared" si="74"/>
        <v>6.288953034067581</v>
      </c>
      <c r="J170" s="413">
        <f t="shared" si="74"/>
        <v>5.2217006901773191</v>
      </c>
      <c r="K170" s="413">
        <f>AVERAGE(K163:K169)</f>
        <v>16.767157616176576</v>
      </c>
      <c r="L170" s="23">
        <f>AVERAGE(L163:L169)</f>
        <v>5.0142857142857133</v>
      </c>
      <c r="O170" s="270" t="s">
        <v>161</v>
      </c>
      <c r="P170" s="250"/>
      <c r="Q170" s="364">
        <f t="shared" ref="Q170:X170" si="75">AVERAGE(Q163:Q169)</f>
        <v>18.938571428571429</v>
      </c>
      <c r="R170" s="364">
        <f t="shared" si="75"/>
        <v>6.4723809523809521</v>
      </c>
      <c r="S170" s="370">
        <f t="shared" si="75"/>
        <v>1823.1971630310593</v>
      </c>
      <c r="T170" s="191">
        <f t="shared" si="75"/>
        <v>17.75809523809524</v>
      </c>
      <c r="U170" s="364">
        <f t="shared" si="75"/>
        <v>6.2438888888888888</v>
      </c>
      <c r="V170" s="263">
        <f t="shared" si="75"/>
        <v>1546.4607961892902</v>
      </c>
      <c r="W170" s="23">
        <f t="shared" si="75"/>
        <v>6.2327207204680004</v>
      </c>
      <c r="X170" s="23">
        <f t="shared" si="75"/>
        <v>3.5282147215773216</v>
      </c>
      <c r="Y170" s="23">
        <f>AVERAGE(Y163:Y169)</f>
        <v>15.178250423266929</v>
      </c>
      <c r="Z170" s="23">
        <f>AVERAGE(Z163:Z169)</f>
        <v>5.3071428571428596</v>
      </c>
    </row>
    <row r="171" spans="1:26" ht="15.75" thickBot="1" x14ac:dyDescent="0.3">
      <c r="A171" s="273" t="s">
        <v>162</v>
      </c>
      <c r="B171" s="414"/>
      <c r="C171" s="193">
        <f t="shared" ref="C171:J171" si="76">STDEV(C163:C169)</f>
        <v>2.4451658387184601E-2</v>
      </c>
      <c r="D171" s="59">
        <f t="shared" si="76"/>
        <v>0.13365833406320107</v>
      </c>
      <c r="E171" s="165">
        <f t="shared" si="76"/>
        <v>36.138381804200179</v>
      </c>
      <c r="F171" s="193">
        <f t="shared" si="76"/>
        <v>5.2377344753112252E-2</v>
      </c>
      <c r="G171" s="59">
        <f t="shared" si="76"/>
        <v>0.10739089455258402</v>
      </c>
      <c r="H171" s="165">
        <f t="shared" si="76"/>
        <v>24.02954644341639</v>
      </c>
      <c r="I171" s="61">
        <f t="shared" si="76"/>
        <v>0.32876061051786593</v>
      </c>
      <c r="J171" s="61">
        <f t="shared" si="76"/>
        <v>0.34765872910060092</v>
      </c>
      <c r="K171" s="61">
        <f>STDEV(K163:K169)</f>
        <v>0.6506020517302491</v>
      </c>
      <c r="L171" s="61">
        <f>STDEV(L163:L169)</f>
        <v>0.12225829193592301</v>
      </c>
      <c r="O171" s="273" t="s">
        <v>162</v>
      </c>
      <c r="P171" s="363"/>
      <c r="Q171" s="193">
        <f t="shared" ref="Q171:X171" si="77">STDEV(Q163:Q169)</f>
        <v>3.4040125715546064E-2</v>
      </c>
      <c r="R171" s="59">
        <f t="shared" si="77"/>
        <v>0.11311603818750961</v>
      </c>
      <c r="S171" s="165">
        <f t="shared" si="77"/>
        <v>27.753037581218706</v>
      </c>
      <c r="T171" s="193">
        <f t="shared" si="77"/>
        <v>4.7409060817727319E-2</v>
      </c>
      <c r="U171" s="59">
        <f t="shared" si="77"/>
        <v>0.10553947245895035</v>
      </c>
      <c r="V171" s="165">
        <f t="shared" si="77"/>
        <v>27.065069848771532</v>
      </c>
      <c r="W171" s="61">
        <f t="shared" si="77"/>
        <v>0.36868720994338317</v>
      </c>
      <c r="X171" s="61">
        <f t="shared" si="77"/>
        <v>0.54498227086033335</v>
      </c>
      <c r="Y171" s="61">
        <f>STDEV(Y163:Y169)</f>
        <v>0.78805017039380754</v>
      </c>
      <c r="Z171" s="61">
        <f>STDEV(Z163:Z169)</f>
        <v>0.17020062857773033</v>
      </c>
    </row>
    <row r="172" spans="1:26" ht="15.75" thickBot="1" x14ac:dyDescent="0.3">
      <c r="A172" s="160" t="str">
        <f>'High and Diameter'!A140</f>
        <v>SSA-Ly-Raw #9</v>
      </c>
      <c r="B172" s="161"/>
      <c r="C172" s="159" t="s">
        <v>4</v>
      </c>
      <c r="D172" s="159"/>
      <c r="E172" s="159"/>
      <c r="F172" s="159" t="s">
        <v>231</v>
      </c>
      <c r="G172" s="159"/>
      <c r="H172" s="159"/>
      <c r="I172" s="107"/>
      <c r="J172" s="107"/>
      <c r="K172" s="107"/>
      <c r="L172" s="92"/>
      <c r="O172" s="10" t="str">
        <f>'High and Diameter'!AA140</f>
        <v>SSA-Ly-ED #9</v>
      </c>
      <c r="P172" s="256"/>
      <c r="Q172" s="6" t="s">
        <v>4</v>
      </c>
      <c r="R172" s="6"/>
      <c r="S172" s="6"/>
      <c r="T172" s="6" t="s">
        <v>231</v>
      </c>
      <c r="U172" s="6"/>
      <c r="V172" s="6"/>
      <c r="W172" s="200"/>
      <c r="X172" s="200"/>
      <c r="Y172" s="200"/>
      <c r="Z172" s="92"/>
    </row>
    <row r="173" spans="1:26" ht="15.75" thickBot="1" x14ac:dyDescent="0.3">
      <c r="A173" s="242"/>
      <c r="B173" s="249" t="s">
        <v>6</v>
      </c>
      <c r="C173" s="246" t="s">
        <v>228</v>
      </c>
      <c r="D173" s="6" t="s">
        <v>229</v>
      </c>
      <c r="E173" s="258" t="str">
        <f>'High and Diameter'!K141</f>
        <v>Vol</v>
      </c>
      <c r="F173" s="10" t="s">
        <v>228</v>
      </c>
      <c r="G173" s="6" t="s">
        <v>229</v>
      </c>
      <c r="H173" s="200" t="str">
        <f>'High and Diameter'!V141</f>
        <v>Vol</v>
      </c>
      <c r="I173" s="162" t="str">
        <f>'High and Diameter'!W141</f>
        <v>Shrinkage D [%]</v>
      </c>
      <c r="J173" s="162" t="str">
        <f>'High and Diameter'!X141</f>
        <v>Shrinkage h [%]</v>
      </c>
      <c r="K173" s="162" t="str">
        <f>'High and Diameter'!Y141</f>
        <v>Shrinkage [%]</v>
      </c>
      <c r="L173" t="s">
        <v>313</v>
      </c>
      <c r="O173" s="242"/>
      <c r="P173" s="249" t="s">
        <v>6</v>
      </c>
      <c r="Q173" s="10" t="s">
        <v>228</v>
      </c>
      <c r="R173" s="6" t="s">
        <v>229</v>
      </c>
      <c r="S173" s="258" t="s">
        <v>183</v>
      </c>
      <c r="T173" s="10" t="s">
        <v>228</v>
      </c>
      <c r="U173" s="6" t="s">
        <v>229</v>
      </c>
      <c r="V173" s="200" t="str">
        <f>'High and Diameter'!AV141</f>
        <v>Vol</v>
      </c>
      <c r="W173" s="162" t="str">
        <f>'High and Diameter'!AW141</f>
        <v>Shrinkage D [%]</v>
      </c>
      <c r="X173" s="162" t="str">
        <f>'High and Diameter'!AX141</f>
        <v>Shrinkage h [%]</v>
      </c>
      <c r="Y173" s="162" t="str">
        <f>'High and Diameter'!AY141</f>
        <v>Shrinkage [%]</v>
      </c>
      <c r="Z173" t="s">
        <v>313</v>
      </c>
    </row>
    <row r="174" spans="1:26" x14ac:dyDescent="0.25">
      <c r="A174" s="266" t="s">
        <v>171</v>
      </c>
      <c r="B174" s="250" t="s">
        <v>135</v>
      </c>
      <c r="C174" s="364">
        <f>'High and Diameter'!F142</f>
        <v>19.12</v>
      </c>
      <c r="D174" s="62">
        <f>'High and Diameter'!J142</f>
        <v>6.46</v>
      </c>
      <c r="E174" s="259">
        <f>'High and Diameter'!K142</f>
        <v>1854.8046467495019</v>
      </c>
      <c r="F174" s="191">
        <f>'High and Diameter'!Q142</f>
        <v>18.043333333333333</v>
      </c>
      <c r="G174" s="62">
        <f>'High and Diameter'!U142</f>
        <v>6.1133333333333333</v>
      </c>
      <c r="H174" s="163">
        <f>'High and Diameter'!V142</f>
        <v>1563.1530513729547</v>
      </c>
      <c r="I174" s="263">
        <f>'High and Diameter'!W142</f>
        <v>5.6311018131101873</v>
      </c>
      <c r="J174" s="263">
        <f>'High and Diameter'!X142</f>
        <v>5.3663570691434472</v>
      </c>
      <c r="K174" s="263">
        <f>'High and Diameter'!Y142</f>
        <v>15.724113905346272</v>
      </c>
      <c r="L174" s="92">
        <f t="shared" ref="L174:L180" si="78">(20-C174)/20*100</f>
        <v>4.399999999999995</v>
      </c>
      <c r="O174" s="266" t="s">
        <v>172</v>
      </c>
      <c r="P174" s="257" t="s">
        <v>135</v>
      </c>
      <c r="Q174" s="191">
        <f>'High and Diameter'!AF142</f>
        <v>19.016666666666666</v>
      </c>
      <c r="R174" s="62">
        <f>'High and Diameter'!AJ142</f>
        <v>6.59</v>
      </c>
      <c r="S174" s="259">
        <f>'High and Diameter'!AK142</f>
        <v>1871.7338045904999</v>
      </c>
      <c r="T174" s="191">
        <f>'High and Diameter'!AQ142</f>
        <v>17.669999999999998</v>
      </c>
      <c r="U174" s="62">
        <f>'High and Diameter'!AU142</f>
        <v>5.9933333333333332</v>
      </c>
      <c r="V174" s="163">
        <f>'High and Diameter'!AV142</f>
        <v>1469.7092010201688</v>
      </c>
      <c r="W174" s="263">
        <f>'High and Diameter'!AW142</f>
        <v>7.0815074496056143</v>
      </c>
      <c r="X174" s="263">
        <f>'High and Diameter'!AX142</f>
        <v>9.0541224076884177</v>
      </c>
      <c r="Y174" s="263">
        <f>'High and Diameter'!AY142</f>
        <v>21.478727508385543</v>
      </c>
      <c r="Z174" s="92">
        <f t="shared" ref="Z174:Z180" si="79">(20-Q174)/20*100</f>
        <v>4.9166666666666714</v>
      </c>
    </row>
    <row r="175" spans="1:26" x14ac:dyDescent="0.25">
      <c r="A175" s="267"/>
      <c r="B175" s="251" t="s">
        <v>136</v>
      </c>
      <c r="C175" s="360">
        <f>'High and Diameter'!F143</f>
        <v>19.073333333333334</v>
      </c>
      <c r="D175" s="26">
        <f>'High and Diameter'!J143</f>
        <v>6.3666666666666671</v>
      </c>
      <c r="E175" s="260">
        <f>'High and Diameter'!K143</f>
        <v>1819.0942093655497</v>
      </c>
      <c r="F175" s="192">
        <f>'High and Diameter'!Q143</f>
        <v>17.946666666666669</v>
      </c>
      <c r="G175" s="26">
        <f>'High and Diameter'!U143</f>
        <v>6.0533333333333337</v>
      </c>
      <c r="H175" s="164">
        <f>'High and Diameter'!V143</f>
        <v>1531.2710215703428</v>
      </c>
      <c r="I175" s="37">
        <f>'High and Diameter'!W143</f>
        <v>5.9070255155539941</v>
      </c>
      <c r="J175" s="37">
        <f>'High and Diameter'!X143</f>
        <v>4.9214659685863893</v>
      </c>
      <c r="K175" s="37">
        <f>'High and Diameter'!Y143</f>
        <v>15.822335441087009</v>
      </c>
      <c r="L175" s="92">
        <f t="shared" si="78"/>
        <v>4.6333333333333293</v>
      </c>
      <c r="O175" s="267"/>
      <c r="P175" s="251" t="s">
        <v>136</v>
      </c>
      <c r="Q175" s="192">
        <f>'High and Diameter'!AF143</f>
        <v>19.096666666666664</v>
      </c>
      <c r="R175" s="26">
        <f>'High and Diameter'!AJ143</f>
        <v>6.57</v>
      </c>
      <c r="S175" s="260">
        <f>'High and Diameter'!AK143</f>
        <v>1881.7866621464123</v>
      </c>
      <c r="T175" s="192">
        <f>'High and Diameter'!AQ143</f>
        <v>17.566666666666666</v>
      </c>
      <c r="U175" s="26">
        <f>'High and Diameter'!AU143</f>
        <v>6.0566666666666675</v>
      </c>
      <c r="V175" s="164">
        <f>'High and Diameter'!AV143</f>
        <v>1467.9196190031685</v>
      </c>
      <c r="W175" s="37">
        <f>'High and Diameter'!AW143</f>
        <v>8.0118694362017688</v>
      </c>
      <c r="X175" s="37">
        <f>'High and Diameter'!AX143</f>
        <v>7.8132927447995852</v>
      </c>
      <c r="Y175" s="37">
        <f>'High and Diameter'!AY143</f>
        <v>21.993303038463289</v>
      </c>
      <c r="Z175" s="92">
        <f t="shared" si="79"/>
        <v>4.5166666666666799</v>
      </c>
    </row>
    <row r="176" spans="1:26" x14ac:dyDescent="0.25">
      <c r="A176" s="267"/>
      <c r="B176" s="251" t="s">
        <v>137</v>
      </c>
      <c r="C176" s="360">
        <f>'High and Diameter'!F144</f>
        <v>19.143333333333331</v>
      </c>
      <c r="D176" s="26">
        <f>'High and Diameter'!J144</f>
        <v>6.3466666666666667</v>
      </c>
      <c r="E176" s="260">
        <f>'High and Diameter'!K144</f>
        <v>1826.7145744903537</v>
      </c>
      <c r="F176" s="192">
        <f>'High and Diameter'!Q144</f>
        <v>18.100000000000001</v>
      </c>
      <c r="G176" s="26">
        <f>'High and Diameter'!U144</f>
        <v>6</v>
      </c>
      <c r="H176" s="164">
        <f>'High and Diameter'!V144</f>
        <v>1543.8257538638284</v>
      </c>
      <c r="I176" s="37">
        <f>'High and Diameter'!W144</f>
        <v>5.4501131812641281</v>
      </c>
      <c r="J176" s="37">
        <f>'High and Diameter'!X144</f>
        <v>5.46218487394958</v>
      </c>
      <c r="K176" s="37">
        <f>'High and Diameter'!Y144</f>
        <v>15.486208112477026</v>
      </c>
      <c r="L176" s="92">
        <f t="shared" si="78"/>
        <v>4.2833333333333456</v>
      </c>
      <c r="O176" s="267"/>
      <c r="P176" s="251" t="s">
        <v>137</v>
      </c>
      <c r="Q176" s="192">
        <f>'High and Diameter'!AF144</f>
        <v>19.116666666666664</v>
      </c>
      <c r="R176" s="26">
        <f>'High and Diameter'!AJ144</f>
        <v>6.3966666666666656</v>
      </c>
      <c r="S176" s="260">
        <f>'High and Diameter'!AK144</f>
        <v>1835.9799596463192</v>
      </c>
      <c r="T176" s="192">
        <f>'High and Diameter'!AQ144</f>
        <v>17.466666666666665</v>
      </c>
      <c r="U176" s="26">
        <f>'High and Diameter'!AU144</f>
        <v>5.8233333333333333</v>
      </c>
      <c r="V176" s="164">
        <f>'High and Diameter'!AV144</f>
        <v>1395.3449860720073</v>
      </c>
      <c r="W176" s="37">
        <f>'High and Diameter'!AW144</f>
        <v>8.6312118570183021</v>
      </c>
      <c r="X176" s="37">
        <f>'High and Diameter'!AX144</f>
        <v>8.9630015633142133</v>
      </c>
      <c r="Y176" s="37">
        <f>'High and Diameter'!AY144</f>
        <v>23.999988194816424</v>
      </c>
      <c r="Z176" s="92">
        <f t="shared" si="79"/>
        <v>4.4166666666666821</v>
      </c>
    </row>
    <row r="177" spans="1:26" x14ac:dyDescent="0.25">
      <c r="A177" s="267"/>
      <c r="B177" s="251" t="s">
        <v>138</v>
      </c>
      <c r="C177" s="360">
        <f>'High and Diameter'!F145</f>
        <v>19.13</v>
      </c>
      <c r="D177" s="26">
        <f>'High and Diameter'!J145</f>
        <v>6.4366666666666665</v>
      </c>
      <c r="E177" s="260">
        <f>'High and Diameter'!K145</f>
        <v>1850.0388158746873</v>
      </c>
      <c r="F177" s="192">
        <f>'High and Diameter'!Q145</f>
        <v>18.026666666666667</v>
      </c>
      <c r="G177" s="26">
        <f>'High and Diameter'!U145</f>
        <v>5.9433333333333325</v>
      </c>
      <c r="H177" s="164">
        <f>'High and Diameter'!V145</f>
        <v>1516.8786065092695</v>
      </c>
      <c r="I177" s="37">
        <f>'High and Diameter'!W145</f>
        <v>5.7675553232270342</v>
      </c>
      <c r="J177" s="37">
        <f>'High and Diameter'!X145</f>
        <v>7.6644225789746363</v>
      </c>
      <c r="K177" s="37">
        <f>'High and Diameter'!Y145</f>
        <v>18.008282123956498</v>
      </c>
      <c r="L177" s="92">
        <f t="shared" si="78"/>
        <v>4.350000000000005</v>
      </c>
      <c r="O177" s="267"/>
      <c r="P177" s="251" t="s">
        <v>138</v>
      </c>
      <c r="Q177" s="192">
        <f>'High and Diameter'!AF145</f>
        <v>19.02</v>
      </c>
      <c r="R177" s="26">
        <f>'High and Diameter'!AJ145</f>
        <v>6.5133333333333328</v>
      </c>
      <c r="S177" s="260">
        <f>'High and Diameter'!AK145</f>
        <v>1850.6070454245194</v>
      </c>
      <c r="T177" s="192">
        <f>'High and Diameter'!AQ145</f>
        <v>17.506666666666664</v>
      </c>
      <c r="U177" s="26">
        <f>'High and Diameter'!AU145</f>
        <v>6.0066666666666668</v>
      </c>
      <c r="V177" s="164">
        <f>'High and Diameter'!AV145</f>
        <v>1445.8736353245342</v>
      </c>
      <c r="W177" s="37">
        <f>'High and Diameter'!AW145</f>
        <v>7.9565369786190079</v>
      </c>
      <c r="X177" s="37">
        <f>'High and Diameter'!AX145</f>
        <v>7.778915046059355</v>
      </c>
      <c r="Y177" s="37">
        <f>'High and Diameter'!AY145</f>
        <v>21.870305265542822</v>
      </c>
      <c r="Z177" s="92">
        <f t="shared" si="79"/>
        <v>4.9000000000000021</v>
      </c>
    </row>
    <row r="178" spans="1:26" x14ac:dyDescent="0.25">
      <c r="A178" s="267"/>
      <c r="B178" s="251" t="s">
        <v>139</v>
      </c>
      <c r="C178" s="360">
        <f>'High and Diameter'!F146</f>
        <v>19.186666666666667</v>
      </c>
      <c r="D178" s="26">
        <f>'High and Diameter'!J146</f>
        <v>6.2266666666666666</v>
      </c>
      <c r="E178" s="260">
        <f>'High and Diameter'!K146</f>
        <v>1800.2986657993065</v>
      </c>
      <c r="F178" s="192">
        <f>'High and Diameter'!Q146</f>
        <v>18.076666666666668</v>
      </c>
      <c r="G178" s="26">
        <f>'High and Diameter'!U146</f>
        <v>5.9633333333333338</v>
      </c>
      <c r="H178" s="164">
        <f>'High and Diameter'!V146</f>
        <v>1530.4377398625843</v>
      </c>
      <c r="I178" s="37">
        <f>'High and Diameter'!W146</f>
        <v>5.7852675469075718</v>
      </c>
      <c r="J178" s="37">
        <f>'High and Diameter'!X146</f>
        <v>4.2291220556745088</v>
      </c>
      <c r="K178" s="37">
        <f>'High and Diameter'!Y146</f>
        <v>14.989786476173823</v>
      </c>
      <c r="L178" s="92">
        <f t="shared" si="78"/>
        <v>4.0666666666666629</v>
      </c>
      <c r="O178" s="267"/>
      <c r="P178" s="251" t="s">
        <v>139</v>
      </c>
      <c r="Q178" s="192">
        <f>'High and Diameter'!AF146</f>
        <v>19.026666666666667</v>
      </c>
      <c r="R178" s="26">
        <f>'High and Diameter'!AJ146</f>
        <v>6.46</v>
      </c>
      <c r="S178" s="260">
        <f>'High and Diameter'!AK146</f>
        <v>1836.740569974638</v>
      </c>
      <c r="T178" s="192">
        <f>'High and Diameter'!AQ146</f>
        <v>17.473333333333333</v>
      </c>
      <c r="U178" s="26">
        <f>'High and Diameter'!AU146</f>
        <v>5.9733333333333327</v>
      </c>
      <c r="V178" s="164">
        <f>'High and Diameter'!AV146</f>
        <v>1432.379694353016</v>
      </c>
      <c r="W178" s="37">
        <f>'High and Diameter'!AW146</f>
        <v>8.1639803784162641</v>
      </c>
      <c r="X178" s="37">
        <f>'High and Diameter'!AX146</f>
        <v>7.5335397316821551</v>
      </c>
      <c r="Y178" s="37">
        <f>'High and Diameter'!AY146</f>
        <v>22.015132797290228</v>
      </c>
      <c r="Z178" s="92">
        <f t="shared" si="79"/>
        <v>4.8666666666666636</v>
      </c>
    </row>
    <row r="179" spans="1:26" x14ac:dyDescent="0.25">
      <c r="A179" s="267"/>
      <c r="B179" s="251" t="s">
        <v>140</v>
      </c>
      <c r="C179" s="360">
        <f>'High and Diameter'!F147</f>
        <v>19.093333333333334</v>
      </c>
      <c r="D179" s="26">
        <f>'High and Diameter'!J147</f>
        <v>6.5366666666666662</v>
      </c>
      <c r="E179" s="260">
        <f>'High and Diameter'!K147</f>
        <v>1871.5857482809645</v>
      </c>
      <c r="F179" s="192">
        <f>'High and Diameter'!Q147</f>
        <v>17.923333333333332</v>
      </c>
      <c r="G179" s="26">
        <f>'High and Diameter'!U147</f>
        <v>6.1499999999999995</v>
      </c>
      <c r="H179" s="164">
        <f>'High and Diameter'!V147</f>
        <v>1551.6814227948566</v>
      </c>
      <c r="I179" s="37">
        <f>'High and Diameter'!W147</f>
        <v>6.1277932960893944</v>
      </c>
      <c r="J179" s="37">
        <f>'High and Diameter'!X147</f>
        <v>5.9153493115757279</v>
      </c>
      <c r="K179" s="37">
        <f>'High and Diameter'!Y147</f>
        <v>17.092688688185259</v>
      </c>
      <c r="L179" s="92">
        <f t="shared" si="78"/>
        <v>4.5333333333333314</v>
      </c>
      <c r="O179" s="267"/>
      <c r="P179" s="251" t="s">
        <v>140</v>
      </c>
      <c r="Q179" s="192">
        <f>'High and Diameter'!AF147</f>
        <v>19.253333333333334</v>
      </c>
      <c r="R179" s="26">
        <f>'High and Diameter'!AJ147</f>
        <v>6.4966666666666661</v>
      </c>
      <c r="S179" s="260">
        <f>'High and Diameter'!AK147</f>
        <v>1891.4389383355699</v>
      </c>
      <c r="T179" s="192">
        <f>'High and Diameter'!AQ147</f>
        <v>17.526666666666667</v>
      </c>
      <c r="U179" s="26">
        <f>'High and Diameter'!AU147</f>
        <v>5.94</v>
      </c>
      <c r="V179" s="164">
        <f>'High and Diameter'!AV147</f>
        <v>1433.0949989301009</v>
      </c>
      <c r="W179" s="37">
        <f>'High and Diameter'!AW147</f>
        <v>8.9681440443213294</v>
      </c>
      <c r="X179" s="37">
        <f>'High and Diameter'!AX147</f>
        <v>8.5684966649563759</v>
      </c>
      <c r="Y179" s="37">
        <f>'High and Diameter'!AY147</f>
        <v>24.232552799658595</v>
      </c>
      <c r="Z179" s="92">
        <f t="shared" si="79"/>
        <v>3.7333333333333307</v>
      </c>
    </row>
    <row r="180" spans="1:26" ht="15.75" thickBot="1" x14ac:dyDescent="0.3">
      <c r="A180" s="269"/>
      <c r="B180" s="252" t="s">
        <v>141</v>
      </c>
      <c r="C180" s="365">
        <f>'High and Diameter'!F148</f>
        <v>19.123333333333335</v>
      </c>
      <c r="D180" s="288">
        <f>'High and Diameter'!J148</f>
        <v>6.330000000000001</v>
      </c>
      <c r="E180" s="262">
        <f>'High and Diameter'!K148</f>
        <v>1818.1126213880186</v>
      </c>
      <c r="F180" s="366">
        <f>'High and Diameter'!Q148</f>
        <v>18.149999999999999</v>
      </c>
      <c r="G180" s="288">
        <f>'High and Diameter'!U148</f>
        <v>5.9600000000000009</v>
      </c>
      <c r="H180" s="248">
        <f>'High and Diameter'!V148</f>
        <v>1542.0178458315038</v>
      </c>
      <c r="I180" s="265">
        <f>'High and Diameter'!W148</f>
        <v>5.0897681715182301</v>
      </c>
      <c r="J180" s="265">
        <f>'High and Diameter'!X148</f>
        <v>5.8451816745655618</v>
      </c>
      <c r="K180" s="265">
        <f>'High and Diameter'!Y148</f>
        <v>15.185790600019775</v>
      </c>
      <c r="L180" s="92">
        <f t="shared" si="78"/>
        <v>4.3833333333333258</v>
      </c>
      <c r="O180" s="269"/>
      <c r="P180" s="252" t="s">
        <v>141</v>
      </c>
      <c r="Q180" s="193">
        <f>'High and Diameter'!AF148</f>
        <v>19.083333333333332</v>
      </c>
      <c r="R180" s="59">
        <f>'High and Diameter'!AJ148</f>
        <v>6.5666666666666664</v>
      </c>
      <c r="S180" s="261">
        <f>'High and Diameter'!AK148</f>
        <v>1878.2064402974395</v>
      </c>
      <c r="T180" s="193">
        <f>'High and Diameter'!AQ148</f>
        <v>17.596666666666668</v>
      </c>
      <c r="U180" s="59">
        <f>'High and Diameter'!AU148</f>
        <v>6.0533333333333337</v>
      </c>
      <c r="V180" s="165">
        <f>'High and Diameter'!AV148</f>
        <v>1472.1270247734014</v>
      </c>
      <c r="W180" s="264">
        <f>'High and Diameter'!AW148</f>
        <v>7.7903930131004255</v>
      </c>
      <c r="X180" s="264">
        <f>'High and Diameter'!AX148</f>
        <v>7.817258883248722</v>
      </c>
      <c r="Y180" s="264">
        <f>'High and Diameter'!AY148</f>
        <v>21.620595415471467</v>
      </c>
      <c r="Z180" s="92">
        <f t="shared" si="79"/>
        <v>4.5833333333333393</v>
      </c>
    </row>
    <row r="181" spans="1:26" x14ac:dyDescent="0.25">
      <c r="A181" s="266" t="s">
        <v>161</v>
      </c>
      <c r="B181" s="250"/>
      <c r="C181" s="364">
        <f t="shared" ref="C181:J181" si="80">AVERAGE(C174:C180)</f>
        <v>19.124285714285715</v>
      </c>
      <c r="D181" s="364">
        <f t="shared" si="80"/>
        <v>6.3861904761904764</v>
      </c>
      <c r="E181" s="370">
        <f t="shared" si="80"/>
        <v>1834.3784688497688</v>
      </c>
      <c r="F181" s="191">
        <f t="shared" si="80"/>
        <v>18.038095238095242</v>
      </c>
      <c r="G181" s="364">
        <f t="shared" si="80"/>
        <v>6.026190476190477</v>
      </c>
      <c r="H181" s="263">
        <f t="shared" si="80"/>
        <v>1539.8950631150485</v>
      </c>
      <c r="I181" s="23">
        <f t="shared" si="80"/>
        <v>5.6798035496672208</v>
      </c>
      <c r="J181" s="23">
        <f t="shared" si="80"/>
        <v>5.6291547903528354</v>
      </c>
      <c r="K181" s="23">
        <f>AVERAGE(K174:K180)</f>
        <v>16.044172192463666</v>
      </c>
      <c r="L181" s="23">
        <f>AVERAGE(L174:L180)</f>
        <v>4.3785714285714281</v>
      </c>
      <c r="O181" s="266" t="s">
        <v>161</v>
      </c>
      <c r="P181" s="250"/>
      <c r="Q181" s="364">
        <f t="shared" ref="Q181:X181" si="81">AVERAGE(Q174:Q180)</f>
        <v>19.087619047619047</v>
      </c>
      <c r="R181" s="364">
        <f t="shared" si="81"/>
        <v>6.513333333333331</v>
      </c>
      <c r="S181" s="370">
        <f t="shared" si="81"/>
        <v>1863.7847743450568</v>
      </c>
      <c r="T181" s="191">
        <f t="shared" si="81"/>
        <v>17.543809523809522</v>
      </c>
      <c r="U181" s="364">
        <f t="shared" si="81"/>
        <v>5.9780952380952384</v>
      </c>
      <c r="V181" s="263">
        <f t="shared" si="81"/>
        <v>1445.2070227823424</v>
      </c>
      <c r="W181" s="23">
        <f t="shared" si="81"/>
        <v>8.0862347367546725</v>
      </c>
      <c r="X181" s="23">
        <f t="shared" si="81"/>
        <v>8.2183752916784023</v>
      </c>
      <c r="Y181" s="23">
        <f>AVERAGE(Y174:Y180)</f>
        <v>22.458657859946907</v>
      </c>
      <c r="Z181" s="23">
        <f>AVERAGE(Z174:Z180)</f>
        <v>4.561904761904767</v>
      </c>
    </row>
    <row r="182" spans="1:26" ht="15.75" thickBot="1" x14ac:dyDescent="0.3">
      <c r="A182" s="268" t="s">
        <v>162</v>
      </c>
      <c r="B182" s="363"/>
      <c r="C182" s="347">
        <f t="shared" ref="C182:J182" si="82">STDEV(C174:C181)</f>
        <v>3.3509737306207689E-2</v>
      </c>
      <c r="D182" s="347">
        <f t="shared" si="82"/>
        <v>9.3493545680438231E-2</v>
      </c>
      <c r="E182" s="371">
        <f t="shared" si="82"/>
        <v>23.192398660965065</v>
      </c>
      <c r="F182" s="193">
        <f t="shared" si="82"/>
        <v>7.5147624931728829E-2</v>
      </c>
      <c r="G182" s="347">
        <f t="shared" si="82"/>
        <v>7.5159693931233604E-2</v>
      </c>
      <c r="H182" s="264">
        <f t="shared" si="82"/>
        <v>14.108665821719297</v>
      </c>
      <c r="I182" s="61">
        <f t="shared" si="82"/>
        <v>0.31039581530359872</v>
      </c>
      <c r="J182" s="61">
        <f t="shared" si="82"/>
        <v>0.98769187010949711</v>
      </c>
      <c r="K182" s="61">
        <f>STDEV(K174:K181)</f>
        <v>1.0190076144199476</v>
      </c>
      <c r="L182" s="61">
        <f>STDEV(L174:L180)</f>
        <v>0.18097326529441363</v>
      </c>
      <c r="O182" s="268" t="s">
        <v>162</v>
      </c>
      <c r="P182" s="363"/>
      <c r="Q182" s="347">
        <f t="shared" ref="Q182:X182" si="83">STDEV(Q174:Q181)</f>
        <v>7.7207497902900046E-2</v>
      </c>
      <c r="R182" s="347">
        <f t="shared" si="83"/>
        <v>6.3994047342218724E-2</v>
      </c>
      <c r="S182" s="371">
        <f t="shared" si="83"/>
        <v>20.833151915277266</v>
      </c>
      <c r="T182" s="193">
        <f t="shared" si="83"/>
        <v>6.7434355415095737E-2</v>
      </c>
      <c r="U182" s="347">
        <f t="shared" si="83"/>
        <v>7.3976769044590426E-2</v>
      </c>
      <c r="V182" s="264">
        <f t="shared" si="83"/>
        <v>25.74272109688043</v>
      </c>
      <c r="W182" s="61">
        <f t="shared" si="83"/>
        <v>0.56063222303921878</v>
      </c>
      <c r="X182" s="61">
        <f t="shared" si="83"/>
        <v>0.58096444407647863</v>
      </c>
      <c r="Y182" s="61">
        <f>STDEV(Y174:Y181)</f>
        <v>1.0653264408822385</v>
      </c>
      <c r="Z182" s="61">
        <f>STDEV(Z174:Z180)</f>
        <v>0.41696814490130318</v>
      </c>
    </row>
    <row r="183" spans="1:26" x14ac:dyDescent="0.25">
      <c r="A183" s="270" t="s">
        <v>177</v>
      </c>
      <c r="B183" s="250" t="s">
        <v>135</v>
      </c>
      <c r="C183" s="364">
        <f>'High and Diameter'!F149</f>
        <v>18.936666666666667</v>
      </c>
      <c r="D183" s="62">
        <f>'High and Diameter'!J149</f>
        <v>6.3500000000000005</v>
      </c>
      <c r="E183" s="259">
        <f>'High and Diameter'!K149</f>
        <v>1788.4247678592671</v>
      </c>
      <c r="F183" s="191">
        <f>'High and Diameter'!Q149</f>
        <v>17.333333333333332</v>
      </c>
      <c r="G183" s="62">
        <f>'High and Diameter'!U149</f>
        <v>5.9066666666666663</v>
      </c>
      <c r="H183" s="163">
        <f>'High and Diameter'!V149</f>
        <v>1393.7873611633006</v>
      </c>
      <c r="I183" s="263">
        <f>'High and Diameter'!W149</f>
        <v>8.4668192219679739</v>
      </c>
      <c r="J183" s="263">
        <f>'High and Diameter'!X149</f>
        <v>6.9816272965879405</v>
      </c>
      <c r="K183" s="263">
        <f>'High and Diameter'!Y149</f>
        <v>22.066201150208009</v>
      </c>
      <c r="L183" s="92">
        <f t="shared" ref="L183:L189" si="84">(20-C183)/20*100</f>
        <v>5.3166666666666629</v>
      </c>
      <c r="O183" s="270" t="s">
        <v>178</v>
      </c>
      <c r="P183" s="257" t="s">
        <v>135</v>
      </c>
      <c r="Q183" s="191">
        <f>'High and Diameter'!AF149</f>
        <v>18.87</v>
      </c>
      <c r="R183" s="62">
        <f>'High and Diameter'!AJ149</f>
        <v>6.47</v>
      </c>
      <c r="S183" s="259">
        <f>'High and Diameter'!AK149</f>
        <v>1809.4140670750219</v>
      </c>
      <c r="T183" s="191">
        <f>'High and Diameter'!AQ149</f>
        <v>17.326666666666668</v>
      </c>
      <c r="U183" s="62">
        <f>'High and Diameter'!AU149</f>
        <v>6.04</v>
      </c>
      <c r="V183" s="163">
        <f>'High and Diameter'!AV149</f>
        <v>1424.1536946254266</v>
      </c>
      <c r="W183" s="263">
        <f>'High and Diameter'!AW149</f>
        <v>8.1787670022964125</v>
      </c>
      <c r="X183" s="263">
        <f>'High and Diameter'!AX149</f>
        <v>6.6460587326120519</v>
      </c>
      <c r="Y183" s="263">
        <f>'High and Diameter'!AY149</f>
        <v>21.291996091993553</v>
      </c>
      <c r="Z183" s="92">
        <f t="shared" ref="Z183:Z189" si="85">(20-Q183)/20*100</f>
        <v>5.649999999999995</v>
      </c>
    </row>
    <row r="184" spans="1:26" x14ac:dyDescent="0.25">
      <c r="A184" s="271"/>
      <c r="B184" s="251" t="s">
        <v>136</v>
      </c>
      <c r="C184" s="360">
        <f>'High and Diameter'!F150</f>
        <v>18.98</v>
      </c>
      <c r="D184" s="26">
        <f>'High and Diameter'!J150</f>
        <v>6.3933333333333335</v>
      </c>
      <c r="E184" s="260">
        <f>'High and Diameter'!K150</f>
        <v>1808.8795363423872</v>
      </c>
      <c r="F184" s="192">
        <f>'High and Diameter'!Q150</f>
        <v>17.296666666666663</v>
      </c>
      <c r="G184" s="26">
        <f>'High and Diameter'!U150</f>
        <v>5.9366666666666674</v>
      </c>
      <c r="H184" s="164">
        <f>'High and Diameter'!V150</f>
        <v>1394.9459427475663</v>
      </c>
      <c r="I184" s="37">
        <f>'High and Diameter'!W150</f>
        <v>8.8689848963821767</v>
      </c>
      <c r="J184" s="37">
        <f>'High and Diameter'!X150</f>
        <v>7.1428571428571344</v>
      </c>
      <c r="K184" s="37">
        <f>'High and Diameter'!Y150</f>
        <v>22.883425085995938</v>
      </c>
      <c r="L184" s="92">
        <f t="shared" si="84"/>
        <v>5.0999999999999979</v>
      </c>
      <c r="O184" s="271"/>
      <c r="P184" s="251" t="s">
        <v>136</v>
      </c>
      <c r="Q184" s="192">
        <f>'High and Diameter'!AF150</f>
        <v>18.97</v>
      </c>
      <c r="R184" s="26">
        <f>'High and Diameter'!AJ150</f>
        <v>6.3633333333333333</v>
      </c>
      <c r="S184" s="260">
        <f>'High and Diameter'!AK150</f>
        <v>1798.4949256423242</v>
      </c>
      <c r="T184" s="192">
        <f>'High and Diameter'!AQ150</f>
        <v>17.396666666666665</v>
      </c>
      <c r="U184" s="26">
        <f>'High and Diameter'!AU150</f>
        <v>6.0066666666666668</v>
      </c>
      <c r="V184" s="164">
        <f>'High and Diameter'!AV150</f>
        <v>1427.7609432760207</v>
      </c>
      <c r="W184" s="37">
        <f>'High and Diameter'!AW150</f>
        <v>8.2937972236865285</v>
      </c>
      <c r="X184" s="37">
        <f>'High and Diameter'!AX150</f>
        <v>5.605028810895754</v>
      </c>
      <c r="Y184" s="37">
        <f>'High and Diameter'!AY150</f>
        <v>20.613568438837689</v>
      </c>
      <c r="Z184" s="92">
        <f t="shared" si="85"/>
        <v>5.1500000000000057</v>
      </c>
    </row>
    <row r="185" spans="1:26" x14ac:dyDescent="0.25">
      <c r="A185" s="271"/>
      <c r="B185" s="251" t="s">
        <v>137</v>
      </c>
      <c r="C185" s="360">
        <f>'High and Diameter'!F151</f>
        <v>19.073333333333334</v>
      </c>
      <c r="D185" s="26">
        <f>'High and Diameter'!J151</f>
        <v>6.333333333333333</v>
      </c>
      <c r="E185" s="260">
        <f>'High and Diameter'!K151</f>
        <v>1809.5701559133738</v>
      </c>
      <c r="F185" s="192">
        <f>'High and Diameter'!Q151</f>
        <v>17.330000000000002</v>
      </c>
      <c r="G185" s="26">
        <f>'High and Diameter'!U151</f>
        <v>5.919999999999999</v>
      </c>
      <c r="H185" s="164">
        <f>'High and Diameter'!V151</f>
        <v>1396.3963775330415</v>
      </c>
      <c r="I185" s="37">
        <f>'High and Diameter'!W151</f>
        <v>9.1401607829430223</v>
      </c>
      <c r="J185" s="37">
        <f>'High and Diameter'!X151</f>
        <v>6.5263157894736956</v>
      </c>
      <c r="K185" s="37">
        <f>'High and Diameter'!Y151</f>
        <v>22.832702950485189</v>
      </c>
      <c r="L185" s="92">
        <f t="shared" si="84"/>
        <v>4.6333333333333293</v>
      </c>
      <c r="O185" s="271"/>
      <c r="P185" s="251" t="s">
        <v>137</v>
      </c>
      <c r="Q185" s="192">
        <f>'High and Diameter'!AF151</f>
        <v>18.856666666666666</v>
      </c>
      <c r="R185" s="26">
        <f>'High and Diameter'!AJ151</f>
        <v>6.5433333333333339</v>
      </c>
      <c r="S185" s="260">
        <f>'High and Diameter'!AK151</f>
        <v>1827.3375316895872</v>
      </c>
      <c r="T185" s="192">
        <f>'High and Diameter'!AQ151</f>
        <v>17.309999999999999</v>
      </c>
      <c r="U185" s="26">
        <f>'High and Diameter'!AU151</f>
        <v>6.25</v>
      </c>
      <c r="V185" s="164">
        <f>'High and Diameter'!AV151</f>
        <v>1470.8352664223382</v>
      </c>
      <c r="W185" s="37">
        <f>'High and Diameter'!AW151</f>
        <v>8.2022273289729561</v>
      </c>
      <c r="X185" s="37">
        <f>'High and Diameter'!AX151</f>
        <v>4.4829342842587963</v>
      </c>
      <c r="Y185" s="37">
        <f>'High and Diameter'!AY151</f>
        <v>19.509382316337636</v>
      </c>
      <c r="Z185" s="92">
        <f t="shared" si="85"/>
        <v>5.7166666666666721</v>
      </c>
    </row>
    <row r="186" spans="1:26" x14ac:dyDescent="0.25">
      <c r="A186" s="271"/>
      <c r="B186" s="251" t="s">
        <v>138</v>
      </c>
      <c r="C186" s="360">
        <f>'High and Diameter'!F152</f>
        <v>18.946666666666669</v>
      </c>
      <c r="D186" s="26">
        <f>'High and Diameter'!J152</f>
        <v>6.34</v>
      </c>
      <c r="E186" s="260">
        <f>'High and Diameter'!K152</f>
        <v>1787.4947228288506</v>
      </c>
      <c r="F186" s="192">
        <f>'High and Diameter'!Q152</f>
        <v>17.183333333333334</v>
      </c>
      <c r="G186" s="26">
        <f>'High and Diameter'!U152</f>
        <v>5.913333333333334</v>
      </c>
      <c r="H186" s="164">
        <f>'High and Diameter'!V152</f>
        <v>1371.3145118957095</v>
      </c>
      <c r="I186" s="37">
        <f>'High and Diameter'!W152</f>
        <v>9.3068261787473716</v>
      </c>
      <c r="J186" s="37">
        <f>'High and Diameter'!X152</f>
        <v>6.7297581493164964</v>
      </c>
      <c r="K186" s="37">
        <f>'High and Diameter'!Y152</f>
        <v>23.28287774044464</v>
      </c>
      <c r="L186" s="92">
        <f t="shared" si="84"/>
        <v>5.2666666666666551</v>
      </c>
      <c r="O186" s="271"/>
      <c r="P186" s="251" t="s">
        <v>138</v>
      </c>
      <c r="Q186" s="192">
        <f>'High and Diameter'!AF152</f>
        <v>18.893333333333334</v>
      </c>
      <c r="R186" s="26">
        <f>'High and Diameter'!AJ152</f>
        <v>6.3566666666666665</v>
      </c>
      <c r="S186" s="260">
        <f>'High and Diameter'!AK152</f>
        <v>1782.1181504305932</v>
      </c>
      <c r="T186" s="192">
        <f>'High and Diameter'!AQ152</f>
        <v>17.34</v>
      </c>
      <c r="U186" s="26">
        <f>'High and Diameter'!AU152</f>
        <v>6.003333333333333</v>
      </c>
      <c r="V186" s="164">
        <f>'High and Diameter'!AV152</f>
        <v>1417.687550990616</v>
      </c>
      <c r="W186" s="37">
        <f>'High and Diameter'!AW152</f>
        <v>8.2215949188426318</v>
      </c>
      <c r="X186" s="37">
        <f>'High and Diameter'!AX152</f>
        <v>5.5584687991609885</v>
      </c>
      <c r="Y186" s="37">
        <f>'High and Diameter'!AY152</f>
        <v>20.44929509033528</v>
      </c>
      <c r="Z186" s="92">
        <f t="shared" si="85"/>
        <v>5.5333333333333279</v>
      </c>
    </row>
    <row r="187" spans="1:26" x14ac:dyDescent="0.25">
      <c r="A187" s="271"/>
      <c r="B187" s="251" t="s">
        <v>139</v>
      </c>
      <c r="C187" s="360">
        <f>'High and Diameter'!F153</f>
        <v>18.963333333333335</v>
      </c>
      <c r="D187" s="26">
        <f>'High and Diameter'!J153</f>
        <v>6.3233333333333333</v>
      </c>
      <c r="E187" s="260">
        <f>'High and Diameter'!K153</f>
        <v>1785.9336312599173</v>
      </c>
      <c r="F187" s="192">
        <f>'High and Diameter'!Q153</f>
        <v>17.3</v>
      </c>
      <c r="G187" s="26">
        <f>'High and Diameter'!U153</f>
        <v>5.833333333333333</v>
      </c>
      <c r="H187" s="164">
        <f>'High and Diameter'!V153</f>
        <v>1371.19392855213</v>
      </c>
      <c r="I187" s="37">
        <f>'High and Diameter'!W153</f>
        <v>8.7713130602917939</v>
      </c>
      <c r="J187" s="37">
        <f>'High and Diameter'!X153</f>
        <v>7.7490774907749111</v>
      </c>
      <c r="K187" s="37">
        <f>'High and Diameter'!Y153</f>
        <v>23.222570841851613</v>
      </c>
      <c r="L187" s="92">
        <f t="shared" si="84"/>
        <v>5.1833333333333265</v>
      </c>
      <c r="O187" s="271"/>
      <c r="P187" s="251" t="s">
        <v>139</v>
      </c>
      <c r="Q187" s="192">
        <f>'High and Diameter'!AF153</f>
        <v>18.973333333333333</v>
      </c>
      <c r="R187" s="26">
        <f>'High and Diameter'!AJ153</f>
        <v>6.3466666666666667</v>
      </c>
      <c r="S187" s="260">
        <f>'High and Diameter'!AK153</f>
        <v>1794.414806239929</v>
      </c>
      <c r="T187" s="192">
        <f>'High and Diameter'!AQ153</f>
        <v>17.350000000000001</v>
      </c>
      <c r="U187" s="26">
        <f>'High and Diameter'!AU153</f>
        <v>6.0066666666666668</v>
      </c>
      <c r="V187" s="164">
        <f>'High and Diameter'!AV153</f>
        <v>1420.1112619721259</v>
      </c>
      <c r="W187" s="37">
        <f>'High and Diameter'!AW153</f>
        <v>8.5558678847505156</v>
      </c>
      <c r="X187" s="37">
        <f>'High and Diameter'!AX153</f>
        <v>5.357142857142855</v>
      </c>
      <c r="Y187" s="37">
        <f>'High and Diameter'!AY153</f>
        <v>20.859365569554679</v>
      </c>
      <c r="Z187" s="92">
        <f t="shared" si="85"/>
        <v>5.1333333333333364</v>
      </c>
    </row>
    <row r="188" spans="1:26" x14ac:dyDescent="0.25">
      <c r="A188" s="271"/>
      <c r="B188" s="251" t="s">
        <v>140</v>
      </c>
      <c r="C188" s="360">
        <f>'High and Diameter'!F154</f>
        <v>18.930000000000003</v>
      </c>
      <c r="D188" s="26">
        <f>'High and Diameter'!J154</f>
        <v>6.6333333333333329</v>
      </c>
      <c r="E188" s="260">
        <f>'High and Diameter'!K154</f>
        <v>1866.9080612748542</v>
      </c>
      <c r="F188" s="192">
        <f>'High and Diameter'!Q154</f>
        <v>17.25</v>
      </c>
      <c r="G188" s="26">
        <f>'High and Diameter'!U154</f>
        <v>5.9633333333333338</v>
      </c>
      <c r="H188" s="164">
        <f>'High and Diameter'!V154</f>
        <v>1393.6610611392009</v>
      </c>
      <c r="I188" s="37">
        <f>'High and Diameter'!W154</f>
        <v>8.8748019017432807</v>
      </c>
      <c r="J188" s="37">
        <f>'High and Diameter'!X154</f>
        <v>10.1005025125628</v>
      </c>
      <c r="K188" s="37">
        <f>'High and Diameter'!Y154</f>
        <v>25.349239737734457</v>
      </c>
      <c r="L188" s="92">
        <f t="shared" si="84"/>
        <v>5.3499999999999837</v>
      </c>
      <c r="O188" s="271"/>
      <c r="P188" s="251" t="s">
        <v>140</v>
      </c>
      <c r="Q188" s="192">
        <f>'High and Diameter'!AF154</f>
        <v>18.893333333333334</v>
      </c>
      <c r="R188" s="26">
        <f>'High and Diameter'!AJ154</f>
        <v>6.3766666666666678</v>
      </c>
      <c r="S188" s="260">
        <f>'High and Diameter'!AK154</f>
        <v>1787.7252342809259</v>
      </c>
      <c r="T188" s="192">
        <f>'High and Diameter'!AQ154</f>
        <v>17.216666666666665</v>
      </c>
      <c r="U188" s="26">
        <f>'High and Diameter'!AU154</f>
        <v>6.0633333333333335</v>
      </c>
      <c r="V188" s="164">
        <f>'High and Diameter'!AV154</f>
        <v>1411.5604060016351</v>
      </c>
      <c r="W188" s="37">
        <f>'High and Diameter'!AW154</f>
        <v>8.8743824982357236</v>
      </c>
      <c r="X188" s="37">
        <f>'High and Diameter'!AX154</f>
        <v>4.9137480397281905</v>
      </c>
      <c r="Y188" s="37">
        <f>'High and Diameter'!AY154</f>
        <v>21.04153485480083</v>
      </c>
      <c r="Z188" s="92">
        <f t="shared" si="85"/>
        <v>5.5333333333333279</v>
      </c>
    </row>
    <row r="189" spans="1:26" ht="15.75" thickBot="1" x14ac:dyDescent="0.3">
      <c r="A189" s="272"/>
      <c r="B189" s="252" t="s">
        <v>141</v>
      </c>
      <c r="C189" s="365">
        <f>'High and Diameter'!F155</f>
        <v>18.916666666666668</v>
      </c>
      <c r="D189" s="288">
        <f>'High and Diameter'!J155</f>
        <v>6.416666666666667</v>
      </c>
      <c r="E189" s="262">
        <f>'High and Diameter'!K155</f>
        <v>1803.3855388029212</v>
      </c>
      <c r="F189" s="366">
        <f>'High and Diameter'!Q155</f>
        <v>17.260000000000002</v>
      </c>
      <c r="G189" s="288">
        <f>'High and Diameter'!U155</f>
        <v>5.9833333333333343</v>
      </c>
      <c r="H189" s="248">
        <f>'High and Diameter'!V155</f>
        <v>1399.9568900478148</v>
      </c>
      <c r="I189" s="265">
        <f>'High and Diameter'!W155</f>
        <v>8.7577092511013177</v>
      </c>
      <c r="J189" s="265">
        <f>'High and Diameter'!X155</f>
        <v>6.7532467532467431</v>
      </c>
      <c r="K189" s="265">
        <f>'High and Diameter'!Y155</f>
        <v>22.370626805785548</v>
      </c>
      <c r="L189" s="92">
        <f t="shared" si="84"/>
        <v>5.4166666666666607</v>
      </c>
      <c r="O189" s="273"/>
      <c r="P189" s="252" t="s">
        <v>141</v>
      </c>
      <c r="Q189" s="193">
        <f>'High and Diameter'!AF155</f>
        <v>18.926666666666666</v>
      </c>
      <c r="R189" s="59">
        <f>'High and Diameter'!AJ155</f>
        <v>6.53</v>
      </c>
      <c r="S189" s="261">
        <f>'High and Diameter'!AK155</f>
        <v>1837.1783952422784</v>
      </c>
      <c r="T189" s="193">
        <f>'High and Diameter'!AQ155</f>
        <v>17.323333333333334</v>
      </c>
      <c r="U189" s="59">
        <f>'High and Diameter'!AU155</f>
        <v>6.1566666666666663</v>
      </c>
      <c r="V189" s="165">
        <f>'High and Diameter'!AV155</f>
        <v>1451.1036893973931</v>
      </c>
      <c r="W189" s="264">
        <f>'High and Diameter'!AW155</f>
        <v>8.4712927087002381</v>
      </c>
      <c r="X189" s="264">
        <f>'High and Diameter'!AX155</f>
        <v>5.7172026544155274</v>
      </c>
      <c r="Y189" s="264">
        <f>'High and Diameter'!AY155</f>
        <v>21.014546374195284</v>
      </c>
      <c r="Z189" s="92">
        <f t="shared" si="85"/>
        <v>5.3666666666666707</v>
      </c>
    </row>
    <row r="190" spans="1:26" x14ac:dyDescent="0.25">
      <c r="A190" s="270" t="s">
        <v>161</v>
      </c>
      <c r="B190" s="250"/>
      <c r="C190" s="364">
        <f t="shared" ref="C190:J190" si="86">AVERAGE(C183:C189)</f>
        <v>18.963809523809527</v>
      </c>
      <c r="D190" s="364">
        <f t="shared" si="86"/>
        <v>6.3985714285714286</v>
      </c>
      <c r="E190" s="370">
        <f t="shared" si="86"/>
        <v>1807.2280591830818</v>
      </c>
      <c r="F190" s="191">
        <f t="shared" si="86"/>
        <v>17.279047619047621</v>
      </c>
      <c r="G190" s="364">
        <f t="shared" si="86"/>
        <v>5.9223809523809523</v>
      </c>
      <c r="H190" s="263">
        <f t="shared" si="86"/>
        <v>1388.7508675826807</v>
      </c>
      <c r="I190" s="23">
        <f t="shared" si="86"/>
        <v>8.8838021847395634</v>
      </c>
      <c r="J190" s="23">
        <f t="shared" si="86"/>
        <v>7.4261978764028163</v>
      </c>
      <c r="K190" s="23">
        <f>AVERAGE(K183:K189)</f>
        <v>23.14394918750077</v>
      </c>
      <c r="L190" s="23">
        <f>AVERAGE(L183:L189)</f>
        <v>5.1809523809523741</v>
      </c>
      <c r="O190" s="270" t="s">
        <v>161</v>
      </c>
      <c r="P190" s="250"/>
      <c r="Q190" s="364">
        <f t="shared" ref="Q190:X190" si="87">AVERAGE(Q183:Q189)</f>
        <v>18.911904761904761</v>
      </c>
      <c r="R190" s="364">
        <f t="shared" si="87"/>
        <v>6.4266666666666667</v>
      </c>
      <c r="S190" s="370">
        <f t="shared" si="87"/>
        <v>1805.2404443715229</v>
      </c>
      <c r="T190" s="191">
        <f t="shared" si="87"/>
        <v>17.323333333333334</v>
      </c>
      <c r="U190" s="364">
        <f t="shared" si="87"/>
        <v>6.0752380952380962</v>
      </c>
      <c r="V190" s="263">
        <f t="shared" si="87"/>
        <v>1431.8875446693651</v>
      </c>
      <c r="W190" s="23">
        <f t="shared" si="87"/>
        <v>8.3997042236407147</v>
      </c>
      <c r="X190" s="23">
        <f t="shared" si="87"/>
        <v>5.4686548826020243</v>
      </c>
      <c r="Y190" s="23">
        <f>AVERAGE(Y183:Y189)</f>
        <v>20.682812676579282</v>
      </c>
      <c r="Z190" s="23">
        <f>AVERAGE(Z183:Z189)</f>
        <v>5.4404761904761916</v>
      </c>
    </row>
    <row r="191" spans="1:26" ht="15.75" thickBot="1" x14ac:dyDescent="0.3">
      <c r="A191" s="273" t="s">
        <v>162</v>
      </c>
      <c r="B191" s="363"/>
      <c r="C191" s="193">
        <f t="shared" ref="C191:J191" si="88">STDEV(C183:C189)</f>
        <v>5.2684545890245009E-2</v>
      </c>
      <c r="D191" s="59">
        <f t="shared" si="88"/>
        <v>0.10891480093372907</v>
      </c>
      <c r="E191" s="165">
        <f t="shared" si="88"/>
        <v>28.228535784733758</v>
      </c>
      <c r="F191" s="193">
        <f t="shared" si="88"/>
        <v>5.2694587736498655E-2</v>
      </c>
      <c r="G191" s="59">
        <f t="shared" si="88"/>
        <v>4.806300978978479E-2</v>
      </c>
      <c r="H191" s="165">
        <f t="shared" si="88"/>
        <v>12.13916934489273</v>
      </c>
      <c r="I191" s="61">
        <f t="shared" si="88"/>
        <v>0.27306824842327643</v>
      </c>
      <c r="J191" s="61">
        <f t="shared" si="88"/>
        <v>1.2437685195997537</v>
      </c>
      <c r="K191" s="61">
        <f>STDEV(K183:K189)</f>
        <v>1.0656065787285429</v>
      </c>
      <c r="L191" s="61">
        <f>STDEV(L183:L189)</f>
        <v>0.26342272945122502</v>
      </c>
      <c r="O191" s="273" t="s">
        <v>162</v>
      </c>
      <c r="P191" s="363"/>
      <c r="Q191" s="193">
        <f t="shared" ref="Q191:X191" si="89">STDEV(Q183:Q189)</f>
        <v>4.6302433455654338E-2</v>
      </c>
      <c r="R191" s="59">
        <f t="shared" si="89"/>
        <v>8.5613256155981129E-2</v>
      </c>
      <c r="S191" s="165">
        <f t="shared" si="89"/>
        <v>20.533925691104489</v>
      </c>
      <c r="T191" s="193">
        <f t="shared" si="89"/>
        <v>5.4670731556189366E-2</v>
      </c>
      <c r="U191" s="59">
        <f t="shared" si="89"/>
        <v>9.4101150125949301E-2</v>
      </c>
      <c r="V191" s="165">
        <f t="shared" si="89"/>
        <v>21.278078486931665</v>
      </c>
      <c r="W191" s="61">
        <f t="shared" si="89"/>
        <v>0.2535024856599844</v>
      </c>
      <c r="X191" s="61">
        <f t="shared" si="89"/>
        <v>0.67905839745268659</v>
      </c>
      <c r="Y191" s="61">
        <f>STDEV(Y183:Y189)</f>
        <v>0.58839729248162687</v>
      </c>
      <c r="Z191" s="61">
        <f>STDEV(Z183:Z189)</f>
        <v>0.2315121672782717</v>
      </c>
    </row>
    <row r="193" spans="1:13" ht="15.75" thickBot="1" x14ac:dyDescent="0.3"/>
    <row r="194" spans="1:13" ht="15.75" thickBot="1" x14ac:dyDescent="0.3">
      <c r="A194" s="160" t="str">
        <f>'High and Diameter'!A158</f>
        <v>SSA-Ly-A2P #4</v>
      </c>
      <c r="B194" s="161"/>
      <c r="C194" s="161" t="s">
        <v>4</v>
      </c>
      <c r="D194" s="161"/>
      <c r="E194" s="161"/>
      <c r="F194" s="161" t="s">
        <v>227</v>
      </c>
      <c r="G194" s="161"/>
      <c r="H194" s="161"/>
      <c r="I194" s="162"/>
      <c r="J194" s="162"/>
      <c r="K194" s="162"/>
    </row>
    <row r="195" spans="1:13" ht="15.75" thickBot="1" x14ac:dyDescent="0.3">
      <c r="A195" s="242"/>
      <c r="B195" s="249" t="s">
        <v>6</v>
      </c>
      <c r="C195" s="246" t="s">
        <v>228</v>
      </c>
      <c r="D195" s="6" t="s">
        <v>229</v>
      </c>
      <c r="E195" s="258" t="str">
        <f>'High and Diameter'!K159</f>
        <v>Vol</v>
      </c>
      <c r="F195" s="10" t="s">
        <v>228</v>
      </c>
      <c r="G195" s="6" t="s">
        <v>229</v>
      </c>
      <c r="H195" s="200" t="str">
        <f>'High and Diameter'!V159</f>
        <v>Vol</v>
      </c>
      <c r="I195" s="162" t="str">
        <f>'High and Diameter'!W159</f>
        <v>Shrinkage D [%]</v>
      </c>
      <c r="J195" s="162" t="str">
        <f>'High and Diameter'!X159</f>
        <v>Shrinkage h [%]</v>
      </c>
      <c r="K195" s="162" t="str">
        <f>'High and Diameter'!Y159</f>
        <v>Shrinkage [%]</v>
      </c>
      <c r="L195" t="s">
        <v>313</v>
      </c>
    </row>
    <row r="196" spans="1:13" x14ac:dyDescent="0.25">
      <c r="A196" s="266" t="s">
        <v>232</v>
      </c>
      <c r="B196" s="250" t="s">
        <v>135</v>
      </c>
      <c r="C196" s="364">
        <f>'High and Diameter'!F160</f>
        <v>19.040000000000003</v>
      </c>
      <c r="D196" s="62">
        <f>'High and Diameter'!J160</f>
        <v>6.68</v>
      </c>
      <c r="E196" s="259">
        <f>'High and Diameter'!K160</f>
        <v>1901.9549761971216</v>
      </c>
      <c r="F196" s="191">
        <f>'High and Diameter'!Q160</f>
        <v>18.423333333333332</v>
      </c>
      <c r="G196" s="62">
        <f>'High and Diameter'!U160</f>
        <v>6.376666666666666</v>
      </c>
      <c r="H196" s="163">
        <f>'High and Diameter'!V160</f>
        <v>1699.8868582649238</v>
      </c>
      <c r="I196" s="263">
        <f>'High and Diameter'!W160</f>
        <v>3.2387955182073034</v>
      </c>
      <c r="J196" s="263">
        <f>'High and Diameter'!X160</f>
        <v>4.5409181636726599</v>
      </c>
      <c r="K196" s="263">
        <f>'High and Diameter'!Y160</f>
        <v>10.624232458763268</v>
      </c>
      <c r="L196" s="92">
        <f t="shared" ref="L196:L202" si="90">(20-C196)/20*100</f>
        <v>4.7999999999999865</v>
      </c>
    </row>
    <row r="197" spans="1:13" x14ac:dyDescent="0.25">
      <c r="A197" s="267"/>
      <c r="B197" s="251" t="s">
        <v>136</v>
      </c>
      <c r="C197" s="360">
        <f>'High and Diameter'!F161</f>
        <v>18.996666666666666</v>
      </c>
      <c r="D197" s="26">
        <f>'High and Diameter'!J161</f>
        <v>6.5966666666666667</v>
      </c>
      <c r="E197" s="260">
        <f>'High and Diameter'!K161</f>
        <v>1869.6883646355391</v>
      </c>
      <c r="F197" s="192">
        <f>'High and Diameter'!Q161</f>
        <v>18.3</v>
      </c>
      <c r="G197" s="26">
        <f>'High and Diameter'!U161</f>
        <v>6.2899999999999991</v>
      </c>
      <c r="H197" s="164">
        <f>'High and Diameter'!V161</f>
        <v>1654.4083230136782</v>
      </c>
      <c r="I197" s="37">
        <f>'High and Diameter'!W161</f>
        <v>3.6673100543955015</v>
      </c>
      <c r="J197" s="37">
        <f>'High and Diameter'!X161</f>
        <v>4.64881253158162</v>
      </c>
      <c r="K197" s="37">
        <f>'High and Diameter'!Y161</f>
        <v>11.514220535026205</v>
      </c>
      <c r="L197" s="92">
        <f t="shared" si="90"/>
        <v>5.0166666666666693</v>
      </c>
    </row>
    <row r="198" spans="1:13" x14ac:dyDescent="0.25">
      <c r="A198" s="267"/>
      <c r="B198" s="251" t="s">
        <v>137</v>
      </c>
      <c r="C198" s="360">
        <f>'High and Diameter'!F162</f>
        <v>18.916666666666668</v>
      </c>
      <c r="D198" s="26">
        <f>'High and Diameter'!J162</f>
        <v>6.6766666666666659</v>
      </c>
      <c r="E198" s="260">
        <f>'High and Diameter'!K162</f>
        <v>1876.4577840115589</v>
      </c>
      <c r="F198" s="192">
        <f>'High and Diameter'!Q162</f>
        <v>18.25</v>
      </c>
      <c r="G198" s="26">
        <f>'High and Diameter'!U162</f>
        <v>6.3900000000000006</v>
      </c>
      <c r="H198" s="164">
        <f>'High and Diameter'!V162</f>
        <v>1671.5388583400354</v>
      </c>
      <c r="I198" s="37">
        <f>'High and Diameter'!W162</f>
        <v>3.5242290748898739</v>
      </c>
      <c r="J198" s="37">
        <f>'High and Diameter'!X162</f>
        <v>4.2935596605092163</v>
      </c>
      <c r="K198" s="37">
        <f>'High and Diameter'!Y162</f>
        <v>10.920518831680855</v>
      </c>
      <c r="L198" s="92">
        <f t="shared" si="90"/>
        <v>5.4166666666666607</v>
      </c>
    </row>
    <row r="199" spans="1:13" x14ac:dyDescent="0.25">
      <c r="A199" s="267"/>
      <c r="B199" s="251" t="s">
        <v>138</v>
      </c>
      <c r="C199" s="360">
        <f>'High and Diameter'!F163</f>
        <v>19.016666666666666</v>
      </c>
      <c r="D199" s="26">
        <f>'High and Diameter'!J163</f>
        <v>6.3966666666666656</v>
      </c>
      <c r="E199" s="260">
        <f>'High and Diameter'!K163</f>
        <v>1816.8220389525386</v>
      </c>
      <c r="F199" s="192">
        <f>'High and Diameter'!Q163</f>
        <v>18.209999999999997</v>
      </c>
      <c r="G199" s="26">
        <f>'High and Diameter'!U163</f>
        <v>6.12</v>
      </c>
      <c r="H199" s="164">
        <f>'High and Diameter'!V163</f>
        <v>1593.9004568241901</v>
      </c>
      <c r="I199" s="37">
        <f>'High and Diameter'!W163</f>
        <v>4.241893076248914</v>
      </c>
      <c r="J199" s="37">
        <f>'High and Diameter'!X163</f>
        <v>4.3251693590411495</v>
      </c>
      <c r="K199" s="37">
        <f>'High and Diameter'!Y163</f>
        <v>12.269863385016542</v>
      </c>
      <c r="L199" s="92">
        <f t="shared" si="90"/>
        <v>4.9166666666666714</v>
      </c>
    </row>
    <row r="200" spans="1:13" x14ac:dyDescent="0.25">
      <c r="A200" s="267"/>
      <c r="B200" s="251" t="s">
        <v>139</v>
      </c>
      <c r="C200" s="360">
        <f>'High and Diameter'!F164</f>
        <v>19.006666666666668</v>
      </c>
      <c r="D200" s="26">
        <f>'High and Diameter'!J164</f>
        <v>6.54</v>
      </c>
      <c r="E200" s="260">
        <f>'High and Diameter'!K164</f>
        <v>1855.5794158577551</v>
      </c>
      <c r="F200" s="192">
        <f>'High and Diameter'!Q164</f>
        <v>18.283333333333335</v>
      </c>
      <c r="G200" s="26">
        <f>'High and Diameter'!U164</f>
        <v>6.2666666666666666</v>
      </c>
      <c r="H200" s="164">
        <f>'High and Diameter'!V164</f>
        <v>1645.2701950203748</v>
      </c>
      <c r="I200" s="37">
        <f>'High and Diameter'!W164</f>
        <v>3.8056822167660438</v>
      </c>
      <c r="J200" s="37">
        <f>'High and Diameter'!X164</f>
        <v>4.1794087665647313</v>
      </c>
      <c r="K200" s="37">
        <f>'High and Diameter'!Y164</f>
        <v>11.33388412482272</v>
      </c>
      <c r="L200" s="92">
        <f t="shared" si="90"/>
        <v>4.9666666666666615</v>
      </c>
    </row>
    <row r="201" spans="1:13" x14ac:dyDescent="0.25">
      <c r="A201" s="267"/>
      <c r="B201" s="251" t="s">
        <v>140</v>
      </c>
      <c r="C201" s="360">
        <f>'High and Diameter'!F165</f>
        <v>19.006666666666668</v>
      </c>
      <c r="D201" s="26">
        <f>'High and Diameter'!J165</f>
        <v>6.4499999999999993</v>
      </c>
      <c r="E201" s="260">
        <f>'High and Diameter'!K165</f>
        <v>1830.0439193092536</v>
      </c>
      <c r="F201" s="192">
        <f>'High and Diameter'!Q165</f>
        <v>18.149999999999999</v>
      </c>
      <c r="G201" s="26">
        <f>'High and Diameter'!U165</f>
        <v>6.1333333333333329</v>
      </c>
      <c r="H201" s="164">
        <f>'High and Diameter'!V165</f>
        <v>1586.8640024216813</v>
      </c>
      <c r="I201" s="37">
        <f>'High and Diameter'!W165</f>
        <v>4.5071904594879113</v>
      </c>
      <c r="J201" s="37">
        <f>'High and Diameter'!X165</f>
        <v>4.9095607235142085</v>
      </c>
      <c r="K201" s="37">
        <f>'High and Diameter'!Y165</f>
        <v>13.288201136689661</v>
      </c>
      <c r="L201" s="92">
        <f t="shared" si="90"/>
        <v>4.9666666666666615</v>
      </c>
    </row>
    <row r="202" spans="1:13" ht="15.75" thickBot="1" x14ac:dyDescent="0.3">
      <c r="A202" s="269"/>
      <c r="B202" s="252" t="s">
        <v>141</v>
      </c>
      <c r="C202" s="365">
        <f>'High and Diameter'!F166</f>
        <v>19.046666666666667</v>
      </c>
      <c r="D202" s="288">
        <f>'High and Diameter'!J166</f>
        <v>6.61</v>
      </c>
      <c r="E202" s="262">
        <f>'High and Diameter'!K166</f>
        <v>1883.3424852062883</v>
      </c>
      <c r="F202" s="366">
        <f>'High and Diameter'!Q166</f>
        <v>18.43</v>
      </c>
      <c r="G202" s="288">
        <f>'High and Diameter'!U166</f>
        <v>6.333333333333333</v>
      </c>
      <c r="H202" s="248">
        <f>'High and Diameter'!V166</f>
        <v>1689.5571946603268</v>
      </c>
      <c r="I202" s="265">
        <f>'High and Diameter'!W166</f>
        <v>3.237661883094157</v>
      </c>
      <c r="J202" s="265">
        <f>'High and Diameter'!X166</f>
        <v>4.1855774079677346</v>
      </c>
      <c r="K202" s="265">
        <f>'High and Diameter'!Y166</f>
        <v>10.289434453273943</v>
      </c>
      <c r="L202" s="92">
        <f t="shared" si="90"/>
        <v>4.7666666666666657</v>
      </c>
    </row>
    <row r="203" spans="1:13" x14ac:dyDescent="0.25">
      <c r="A203" s="266" t="s">
        <v>161</v>
      </c>
      <c r="B203" s="250"/>
      <c r="C203" s="364">
        <f t="shared" ref="C203:J203" si="91">AVERAGE(C196:C202)</f>
        <v>19.004285714285711</v>
      </c>
      <c r="D203" s="364">
        <f t="shared" si="91"/>
        <v>6.5642857142857149</v>
      </c>
      <c r="E203" s="370">
        <f t="shared" si="91"/>
        <v>1861.984140595722</v>
      </c>
      <c r="F203" s="191">
        <f t="shared" si="91"/>
        <v>18.292380952380949</v>
      </c>
      <c r="G203" s="364">
        <f t="shared" si="91"/>
        <v>6.2728571428571431</v>
      </c>
      <c r="H203" s="263">
        <f t="shared" si="91"/>
        <v>1648.7751269350301</v>
      </c>
      <c r="I203" s="23">
        <f t="shared" si="91"/>
        <v>3.7461088975842438</v>
      </c>
      <c r="J203" s="23">
        <f t="shared" si="91"/>
        <v>4.4404295161216174</v>
      </c>
      <c r="K203" s="23">
        <f>AVERAGE(K196:K202)</f>
        <v>11.4629078464676</v>
      </c>
      <c r="L203" s="23">
        <f>AVERAGE(L196:L202)</f>
        <v>4.978571428571426</v>
      </c>
      <c r="M203" s="92"/>
    </row>
    <row r="204" spans="1:13" ht="15.75" thickBot="1" x14ac:dyDescent="0.3">
      <c r="A204" s="268" t="s">
        <v>162</v>
      </c>
      <c r="B204" s="363"/>
      <c r="C204" s="347">
        <f t="shared" ref="C204:J204" si="92">STDEV(C196:C203)</f>
        <v>3.958973274443147E-2</v>
      </c>
      <c r="D204" s="347">
        <f t="shared" si="92"/>
        <v>0.10064418364058757</v>
      </c>
      <c r="E204" s="371">
        <f t="shared" si="92"/>
        <v>27.834977134608476</v>
      </c>
      <c r="F204" s="193">
        <f t="shared" si="92"/>
        <v>9.6423574238535148E-2</v>
      </c>
      <c r="G204" s="347">
        <f t="shared" si="92"/>
        <v>0.10093890296371999</v>
      </c>
      <c r="H204" s="264">
        <f t="shared" si="92"/>
        <v>40.851661618657239</v>
      </c>
      <c r="I204" s="61">
        <f t="shared" si="92"/>
        <v>0.44720101279079066</v>
      </c>
      <c r="J204" s="61">
        <f t="shared" si="92"/>
        <v>0.25115238009623059</v>
      </c>
      <c r="K204" s="61">
        <f>STDEV(K196:K203)</f>
        <v>0.95444486506289394</v>
      </c>
      <c r="L204" s="61">
        <f>STDEV(L196:L202)</f>
        <v>0.21380899352993948</v>
      </c>
      <c r="M204" s="92"/>
    </row>
    <row r="205" spans="1:13" x14ac:dyDescent="0.25">
      <c r="A205" s="350" t="s">
        <v>233</v>
      </c>
      <c r="B205" s="257" t="s">
        <v>135</v>
      </c>
      <c r="C205" s="349">
        <f>'High and Diameter'!F167</f>
        <v>18.833333333333332</v>
      </c>
      <c r="D205" s="46">
        <f>'High and Diameter'!J167</f>
        <v>6.626666666666666</v>
      </c>
      <c r="E205" s="348">
        <f>'High and Diameter'!K167</f>
        <v>1846.0327136169412</v>
      </c>
      <c r="F205" s="367">
        <f>'High and Diameter'!Q167</f>
        <v>17.773333333333337</v>
      </c>
      <c r="G205" s="46">
        <f>'High and Diameter'!U167</f>
        <v>6.419999999999999</v>
      </c>
      <c r="H205" s="351">
        <f>'High and Diameter'!V167</f>
        <v>1592.8052609732351</v>
      </c>
      <c r="I205" s="352">
        <f>'High and Diameter'!W167</f>
        <v>5.6283185840707715</v>
      </c>
      <c r="J205" s="352">
        <f>'High and Diameter'!X167</f>
        <v>3.1187122736418562</v>
      </c>
      <c r="K205" s="352">
        <f>'High and Diameter'!Y167</f>
        <v>13.717387063393707</v>
      </c>
      <c r="L205" s="92">
        <f t="shared" ref="L205:L211" si="93">(20-C205)/20*100</f>
        <v>5.8333333333333393</v>
      </c>
    </row>
    <row r="206" spans="1:13" x14ac:dyDescent="0.25">
      <c r="A206" s="271"/>
      <c r="B206" s="251" t="s">
        <v>136</v>
      </c>
      <c r="C206" s="360">
        <f>'High and Diameter'!F168</f>
        <v>18.733333333333334</v>
      </c>
      <c r="D206" s="26">
        <f>'High and Diameter'!J168</f>
        <v>6.4933333333333332</v>
      </c>
      <c r="E206" s="260">
        <f>'High and Diameter'!K168</f>
        <v>1789.7307539598592</v>
      </c>
      <c r="F206" s="192">
        <f>'High and Diameter'!Q168</f>
        <v>17.849999999999998</v>
      </c>
      <c r="G206" s="26">
        <f>'High and Diameter'!U168</f>
        <v>6.31</v>
      </c>
      <c r="H206" s="164">
        <f>'High and Diameter'!V168</f>
        <v>1579.0492710609224</v>
      </c>
      <c r="I206" s="37">
        <f>'High and Diameter'!W168</f>
        <v>4.7153024911032189</v>
      </c>
      <c r="J206" s="37">
        <f>'High and Diameter'!X168</f>
        <v>2.823408624229983</v>
      </c>
      <c r="K206" s="37">
        <f>'High and Diameter'!Y168</f>
        <v>11.771685904865556</v>
      </c>
      <c r="L206" s="92">
        <f t="shared" si="93"/>
        <v>6.3333333333333286</v>
      </c>
    </row>
    <row r="207" spans="1:13" x14ac:dyDescent="0.25">
      <c r="A207" s="271"/>
      <c r="B207" s="251" t="s">
        <v>137</v>
      </c>
      <c r="C207" s="360">
        <f>'High and Diameter'!F169</f>
        <v>18.873333333333331</v>
      </c>
      <c r="D207" s="26">
        <f>'High and Diameter'!J169</f>
        <v>6.45</v>
      </c>
      <c r="E207" s="260">
        <f>'High and Diameter'!K169</f>
        <v>1804.4581604198872</v>
      </c>
      <c r="F207" s="192">
        <f>'High and Diameter'!Q169</f>
        <v>17.763333333333332</v>
      </c>
      <c r="G207" s="26">
        <f>'High and Diameter'!U169</f>
        <v>6.28</v>
      </c>
      <c r="H207" s="164">
        <f>'High and Diameter'!V169</f>
        <v>1556.3184146860194</v>
      </c>
      <c r="I207" s="37">
        <f>'High and Diameter'!W169</f>
        <v>5.8813140233133145</v>
      </c>
      <c r="J207" s="37">
        <f>'High and Diameter'!X169</f>
        <v>2.6356589147286811</v>
      </c>
      <c r="K207" s="37">
        <f>'High and Diameter'!Y169</f>
        <v>13.751482366104131</v>
      </c>
      <c r="L207" s="92">
        <f t="shared" si="93"/>
        <v>5.6333333333333435</v>
      </c>
    </row>
    <row r="208" spans="1:13" x14ac:dyDescent="0.25">
      <c r="A208" s="271"/>
      <c r="B208" s="251" t="s">
        <v>138</v>
      </c>
      <c r="C208" s="360">
        <f>'High and Diameter'!F170</f>
        <v>19.273333333333337</v>
      </c>
      <c r="D208" s="26">
        <f>'High and Diameter'!J170</f>
        <v>6.18</v>
      </c>
      <c r="E208" s="260">
        <f>'High and Diameter'!K170</f>
        <v>1802.9846183768702</v>
      </c>
      <c r="F208" s="192">
        <f>'High and Diameter'!Q170</f>
        <v>18.246666666666666</v>
      </c>
      <c r="G208" s="26">
        <f>'High and Diameter'!U170</f>
        <v>5.996666666666667</v>
      </c>
      <c r="H208" s="164">
        <f>'High and Diameter'!V170</f>
        <v>1568.0751293874844</v>
      </c>
      <c r="I208" s="37">
        <f>'High and Diameter'!W170</f>
        <v>5.3268765133172122</v>
      </c>
      <c r="J208" s="37">
        <f>'High and Diameter'!X170</f>
        <v>2.9665587918015</v>
      </c>
      <c r="K208" s="37">
        <f>'High and Diameter'!Y170</f>
        <v>13.028923630023101</v>
      </c>
      <c r="L208" s="92">
        <f t="shared" si="93"/>
        <v>3.6333333333333147</v>
      </c>
    </row>
    <row r="209" spans="1:13" x14ac:dyDescent="0.25">
      <c r="A209" s="271"/>
      <c r="B209" s="251" t="s">
        <v>139</v>
      </c>
      <c r="C209" s="360">
        <f>'High and Diameter'!F171</f>
        <v>18.826666666666664</v>
      </c>
      <c r="D209" s="26">
        <f>'High and Diameter'!J171</f>
        <v>6.4866666666666672</v>
      </c>
      <c r="E209" s="260">
        <f>'High and Diameter'!K171</f>
        <v>1805.7529342053872</v>
      </c>
      <c r="F209" s="192">
        <f>'High and Diameter'!Q171</f>
        <v>17.83666666666667</v>
      </c>
      <c r="G209" s="26">
        <f>'High and Diameter'!U171</f>
        <v>6.333333333333333</v>
      </c>
      <c r="H209" s="164">
        <f>'High and Diameter'!V171</f>
        <v>1582.5215039785544</v>
      </c>
      <c r="I209" s="37">
        <f>'High and Diameter'!W171</f>
        <v>5.2584985835693789</v>
      </c>
      <c r="J209" s="37">
        <f>'High and Diameter'!X171</f>
        <v>2.3638232271325927</v>
      </c>
      <c r="K209" s="37">
        <f>'High and Diameter'!Y171</f>
        <v>12.36223549735306</v>
      </c>
      <c r="L209" s="92">
        <f t="shared" si="93"/>
        <v>5.8666666666666778</v>
      </c>
    </row>
    <row r="210" spans="1:13" x14ac:dyDescent="0.25">
      <c r="A210" s="271"/>
      <c r="B210" s="251" t="s">
        <v>140</v>
      </c>
      <c r="C210" s="360">
        <f>'High and Diameter'!F172</f>
        <v>18.87</v>
      </c>
      <c r="D210" s="26">
        <f>'High and Diameter'!J172</f>
        <v>6.5166666666666666</v>
      </c>
      <c r="E210" s="260">
        <f>'High and Diameter'!K172</f>
        <v>1822.4649670951405</v>
      </c>
      <c r="F210" s="192">
        <f>'High and Diameter'!Q172</f>
        <v>17.823333333333334</v>
      </c>
      <c r="G210" s="26">
        <f>'High and Diameter'!U172</f>
        <v>6.3233333333333333</v>
      </c>
      <c r="H210" s="164">
        <f>'High and Diameter'!V172</f>
        <v>1577.6614593580525</v>
      </c>
      <c r="I210" s="37">
        <f>'High and Diameter'!W172</f>
        <v>5.5467231937820181</v>
      </c>
      <c r="J210" s="37">
        <f>'High and Diameter'!X172</f>
        <v>2.9667519181585682</v>
      </c>
      <c r="K210" s="37">
        <f>'High and Diameter'!Y172</f>
        <v>13.432549440293752</v>
      </c>
      <c r="L210" s="92">
        <f t="shared" si="93"/>
        <v>5.649999999999995</v>
      </c>
    </row>
    <row r="211" spans="1:13" ht="15.75" thickBot="1" x14ac:dyDescent="0.3">
      <c r="A211" s="272"/>
      <c r="B211" s="252" t="s">
        <v>141</v>
      </c>
      <c r="C211" s="365">
        <f>'High and Diameter'!F173</f>
        <v>18.863333333333333</v>
      </c>
      <c r="D211" s="288">
        <f>'High and Diameter'!J173</f>
        <v>6.56</v>
      </c>
      <c r="E211" s="262">
        <f>'High and Diameter'!K173</f>
        <v>1833.2875924310677</v>
      </c>
      <c r="F211" s="366">
        <f>'High and Diameter'!Q173</f>
        <v>17.743333333333336</v>
      </c>
      <c r="G211" s="288">
        <f>'High and Diameter'!U173</f>
        <v>6.43</v>
      </c>
      <c r="H211" s="248">
        <f>'High and Diameter'!V173</f>
        <v>1589.9053736444996</v>
      </c>
      <c r="I211" s="265">
        <f>'High and Diameter'!W173</f>
        <v>5.9374447782293549</v>
      </c>
      <c r="J211" s="265">
        <f>'High and Diameter'!X173</f>
        <v>1.9817073170731694</v>
      </c>
      <c r="K211" s="265">
        <f>'High and Diameter'!Y173</f>
        <v>13.275724975797507</v>
      </c>
      <c r="L211" s="92">
        <f t="shared" si="93"/>
        <v>5.6833333333333336</v>
      </c>
    </row>
    <row r="212" spans="1:13" x14ac:dyDescent="0.25">
      <c r="A212" s="270" t="s">
        <v>161</v>
      </c>
      <c r="B212" s="250"/>
      <c r="C212" s="364">
        <f t="shared" ref="C212:J212" si="94">AVERAGE(C205:C211)</f>
        <v>18.896190476190476</v>
      </c>
      <c r="D212" s="364">
        <f t="shared" si="94"/>
        <v>6.4733333333333336</v>
      </c>
      <c r="E212" s="370">
        <f t="shared" si="94"/>
        <v>1814.9588200150222</v>
      </c>
      <c r="F212" s="191">
        <f t="shared" si="94"/>
        <v>17.862380952380956</v>
      </c>
      <c r="G212" s="364">
        <f t="shared" si="94"/>
        <v>6.2990476190476183</v>
      </c>
      <c r="H212" s="263">
        <f t="shared" si="94"/>
        <v>1578.0480590126813</v>
      </c>
      <c r="I212" s="23">
        <f t="shared" si="94"/>
        <v>5.470639738197896</v>
      </c>
      <c r="J212" s="23">
        <f t="shared" si="94"/>
        <v>2.6938030095380503</v>
      </c>
      <c r="K212" s="23">
        <f>AVERAGE(K205:K211)</f>
        <v>13.048569839690115</v>
      </c>
      <c r="L212" s="23">
        <f>AVERAGE(L205:L211)</f>
        <v>5.5190476190476199</v>
      </c>
      <c r="M212" s="92"/>
    </row>
    <row r="213" spans="1:13" ht="15.75" thickBot="1" x14ac:dyDescent="0.3">
      <c r="A213" s="273" t="s">
        <v>162</v>
      </c>
      <c r="B213" s="363"/>
      <c r="C213" s="193">
        <f t="shared" ref="C213:J213" si="95">STDEV(C205:C211)</f>
        <v>0.17312411060264876</v>
      </c>
      <c r="D213" s="59">
        <f t="shared" si="95"/>
        <v>0.14146063449281956</v>
      </c>
      <c r="E213" s="165">
        <f t="shared" si="95"/>
        <v>19.717682474869576</v>
      </c>
      <c r="F213" s="193">
        <f t="shared" si="95"/>
        <v>0.17412973330584233</v>
      </c>
      <c r="G213" s="59">
        <f t="shared" si="95"/>
        <v>0.14460308748450987</v>
      </c>
      <c r="H213" s="165">
        <f t="shared" si="95"/>
        <v>12.590812010986843</v>
      </c>
      <c r="I213" s="61">
        <f t="shared" si="95"/>
        <v>0.4190102854081737</v>
      </c>
      <c r="J213" s="61">
        <f t="shared" si="95"/>
        <v>0.40116289071912975</v>
      </c>
      <c r="K213" s="61">
        <f>STDEV(K205:K211)</f>
        <v>0.73510947870488152</v>
      </c>
      <c r="L213" s="61">
        <f>STDEV(L205:L211)</f>
        <v>0.86562055301323604</v>
      </c>
      <c r="M213" s="92"/>
    </row>
    <row r="214" spans="1:13" ht="15.75" thickBot="1" x14ac:dyDescent="0.3">
      <c r="A214" s="106" t="str">
        <f>'High and Diameter'!A174</f>
        <v>SSA-Ly-A2P #5</v>
      </c>
      <c r="B214" s="159"/>
      <c r="C214" s="159" t="s">
        <v>4</v>
      </c>
      <c r="D214" s="159"/>
      <c r="E214" s="159"/>
      <c r="F214" s="159" t="s">
        <v>230</v>
      </c>
      <c r="G214" s="159"/>
      <c r="H214" s="159"/>
      <c r="I214" s="107"/>
      <c r="J214" s="107"/>
      <c r="K214" s="107"/>
      <c r="L214" s="92"/>
    </row>
    <row r="215" spans="1:13" ht="15.75" thickBot="1" x14ac:dyDescent="0.3">
      <c r="A215" s="242"/>
      <c r="B215" s="249" t="s">
        <v>6</v>
      </c>
      <c r="C215" s="246" t="s">
        <v>228</v>
      </c>
      <c r="D215" s="6" t="s">
        <v>229</v>
      </c>
      <c r="E215" s="258" t="str">
        <f>'High and Diameter'!K175</f>
        <v>Vol</v>
      </c>
      <c r="F215" s="10" t="s">
        <v>228</v>
      </c>
      <c r="G215" s="6" t="s">
        <v>229</v>
      </c>
      <c r="H215" s="200" t="str">
        <f>'High and Diameter'!V175</f>
        <v>Vol</v>
      </c>
      <c r="I215" s="162" t="str">
        <f>'High and Diameter'!W175</f>
        <v>Shrinkage D [%]</v>
      </c>
      <c r="J215" s="162" t="str">
        <f>'High and Diameter'!X175</f>
        <v>Shrinkage h [%]</v>
      </c>
      <c r="K215" s="162" t="str">
        <f>'High and Diameter'!Y175</f>
        <v>Shrinkage [%]</v>
      </c>
      <c r="L215" s="92"/>
    </row>
    <row r="216" spans="1:13" x14ac:dyDescent="0.25">
      <c r="A216" s="266" t="s">
        <v>232</v>
      </c>
      <c r="B216" s="250" t="s">
        <v>135</v>
      </c>
      <c r="C216" s="364">
        <f>'High and Diameter'!F176</f>
        <v>19.046666666666667</v>
      </c>
      <c r="D216" s="62">
        <f>'High and Diameter'!J176</f>
        <v>6.413333333333334</v>
      </c>
      <c r="E216" s="259">
        <f>'High and Diameter'!K176</f>
        <v>1827.3075852430152</v>
      </c>
      <c r="F216" s="191">
        <f>'High and Diameter'!Q176</f>
        <v>18.09</v>
      </c>
      <c r="G216" s="62">
        <f>'High and Diameter'!U176</f>
        <v>6.0766666666666653</v>
      </c>
      <c r="H216" s="163">
        <f>'High and Diameter'!V176</f>
        <v>1561.8252113066667</v>
      </c>
      <c r="I216" s="263">
        <f>'High and Diameter'!W176</f>
        <v>5.0227511375568792</v>
      </c>
      <c r="J216" s="263">
        <f>'High and Diameter'!X176</f>
        <v>5.2494802494802801</v>
      </c>
      <c r="K216" s="263">
        <f>'High and Diameter'!Y176</f>
        <v>14.5286089807941</v>
      </c>
      <c r="L216" s="92">
        <f t="shared" ref="L216:L222" si="96">(20-C216)/20*100</f>
        <v>4.7666666666666657</v>
      </c>
    </row>
    <row r="217" spans="1:13" x14ac:dyDescent="0.25">
      <c r="A217" s="267"/>
      <c r="B217" s="251" t="s">
        <v>136</v>
      </c>
      <c r="C217" s="360">
        <f>'High and Diameter'!F177</f>
        <v>19.006666666666664</v>
      </c>
      <c r="D217" s="26">
        <f>'High and Diameter'!J177</f>
        <v>6.5066666666666668</v>
      </c>
      <c r="E217" s="260">
        <f>'High and Diameter'!K177</f>
        <v>1846.1218245434945</v>
      </c>
      <c r="F217" s="192">
        <f>'High and Diameter'!Q177</f>
        <v>18.083333333333332</v>
      </c>
      <c r="G217" s="26">
        <f>'High and Diameter'!U177</f>
        <v>6.2466666666666661</v>
      </c>
      <c r="H217" s="164">
        <f>'High and Diameter'!V177</f>
        <v>1604.3354827268711</v>
      </c>
      <c r="I217" s="37">
        <f>'High and Diameter'!W177</f>
        <v>4.8579445808488186</v>
      </c>
      <c r="J217" s="37">
        <f>'High and Diameter'!X177</f>
        <v>3.9959016393442721</v>
      </c>
      <c r="K217" s="37">
        <f>'High and Diameter'!Y177</f>
        <v>13.09698734948935</v>
      </c>
      <c r="L217" s="92">
        <f t="shared" si="96"/>
        <v>4.9666666666666792</v>
      </c>
    </row>
    <row r="218" spans="1:13" x14ac:dyDescent="0.25">
      <c r="A218" s="267"/>
      <c r="B218" s="251" t="s">
        <v>137</v>
      </c>
      <c r="C218" s="360">
        <f>'High and Diameter'!F178</f>
        <v>19.086666666666666</v>
      </c>
      <c r="D218" s="26">
        <f>'High and Diameter'!J178</f>
        <v>6.4133333333333331</v>
      </c>
      <c r="E218" s="260">
        <f>'High and Diameter'!K178</f>
        <v>1834.9907200871698</v>
      </c>
      <c r="F218" s="192">
        <f>'High and Diameter'!Q178</f>
        <v>17.97</v>
      </c>
      <c r="G218" s="26">
        <f>'High and Diameter'!U178</f>
        <v>6.0466666666666669</v>
      </c>
      <c r="H218" s="164">
        <f>'High and Diameter'!V178</f>
        <v>1533.5645598457631</v>
      </c>
      <c r="I218" s="37">
        <f>'High and Diameter'!W178</f>
        <v>5.8505064617534082</v>
      </c>
      <c r="J218" s="37">
        <f>'High and Diameter'!X178</f>
        <v>5.7172557172557115</v>
      </c>
      <c r="K218" s="37">
        <f>'High and Diameter'!Y178</f>
        <v>16.426576818169831</v>
      </c>
      <c r="L218" s="92">
        <f t="shared" si="96"/>
        <v>4.56666666666667</v>
      </c>
    </row>
    <row r="219" spans="1:13" x14ac:dyDescent="0.25">
      <c r="A219" s="267"/>
      <c r="B219" s="251" t="s">
        <v>138</v>
      </c>
      <c r="C219" s="360">
        <f>'High and Diameter'!F179</f>
        <v>19.033333333333335</v>
      </c>
      <c r="D219" s="26">
        <f>'High and Diameter'!J179</f>
        <v>6.333333333333333</v>
      </c>
      <c r="E219" s="260">
        <f>'High and Diameter'!K179</f>
        <v>1801.9881663900303</v>
      </c>
      <c r="F219" s="192">
        <f>'High and Diameter'!Q179</f>
        <v>17.953333333333333</v>
      </c>
      <c r="G219" s="26">
        <f>'High and Diameter'!U179</f>
        <v>5.9433333333333325</v>
      </c>
      <c r="H219" s="164">
        <f>'High and Diameter'!V179</f>
        <v>1504.5622413948217</v>
      </c>
      <c r="I219" s="37">
        <f>'High and Diameter'!W179</f>
        <v>5.6742556917688356</v>
      </c>
      <c r="J219" s="37">
        <f>'High and Diameter'!X179</f>
        <v>6.1578947368421142</v>
      </c>
      <c r="K219" s="37">
        <f>'High and Diameter'!Y179</f>
        <v>16.505431641709926</v>
      </c>
      <c r="L219" s="92">
        <f t="shared" si="96"/>
        <v>4.833333333333325</v>
      </c>
    </row>
    <row r="220" spans="1:13" x14ac:dyDescent="0.25">
      <c r="A220" s="267"/>
      <c r="B220" s="251" t="s">
        <v>139</v>
      </c>
      <c r="C220" s="360">
        <f>'High and Diameter'!F180</f>
        <v>19.036666666666665</v>
      </c>
      <c r="D220" s="26">
        <f>'High and Diameter'!J180</f>
        <v>6.43</v>
      </c>
      <c r="E220" s="260">
        <f>'High and Diameter'!K180</f>
        <v>1830.1330552812808</v>
      </c>
      <c r="F220" s="192">
        <f>'High and Diameter'!Q180</f>
        <v>18.063333333333333</v>
      </c>
      <c r="G220" s="26">
        <f>'High and Diameter'!U180</f>
        <v>6.0366666666666662</v>
      </c>
      <c r="H220" s="164">
        <f>'High and Diameter'!V180</f>
        <v>1546.9734834150445</v>
      </c>
      <c r="I220" s="37">
        <f>'High and Diameter'!W180</f>
        <v>5.1129399404657647</v>
      </c>
      <c r="J220" s="37">
        <f>'High and Diameter'!X180</f>
        <v>6.117159149818562</v>
      </c>
      <c r="K220" s="37">
        <f>'High and Diameter'!Y180</f>
        <v>15.472075707780512</v>
      </c>
      <c r="L220" s="92">
        <f t="shared" si="96"/>
        <v>4.8166666666666735</v>
      </c>
    </row>
    <row r="221" spans="1:13" x14ac:dyDescent="0.25">
      <c r="A221" s="267"/>
      <c r="B221" s="251" t="s">
        <v>140</v>
      </c>
      <c r="C221" s="360">
        <f>'High and Diameter'!F181</f>
        <v>19.046666666666667</v>
      </c>
      <c r="D221" s="26">
        <f>'High and Diameter'!J181</f>
        <v>6.3633333333333333</v>
      </c>
      <c r="E221" s="260">
        <f>'High and Diameter'!K181</f>
        <v>1813.0614242354031</v>
      </c>
      <c r="F221" s="192">
        <f>'High and Diameter'!Q181</f>
        <v>18.239999999999998</v>
      </c>
      <c r="G221" s="26">
        <f>'High and Diameter'!U181</f>
        <v>6.09</v>
      </c>
      <c r="H221" s="164">
        <f>'High and Diameter'!V181</f>
        <v>1591.3175116010398</v>
      </c>
      <c r="I221" s="37">
        <f>'High and Diameter'!W181</f>
        <v>4.2352117605880384</v>
      </c>
      <c r="J221" s="37">
        <f>'High and Diameter'!X181</f>
        <v>4.2954426401257217</v>
      </c>
      <c r="K221" s="37">
        <f>'High and Diameter'!Y181</f>
        <v>12.230358534481329</v>
      </c>
      <c r="L221" s="92">
        <f t="shared" si="96"/>
        <v>4.7666666666666657</v>
      </c>
    </row>
    <row r="222" spans="1:13" ht="15.75" thickBot="1" x14ac:dyDescent="0.3">
      <c r="A222" s="269"/>
      <c r="B222" s="252" t="s">
        <v>141</v>
      </c>
      <c r="C222" s="365">
        <f>'High and Diameter'!F182</f>
        <v>18.919999999999998</v>
      </c>
      <c r="D222" s="288">
        <f>'High and Diameter'!J182</f>
        <v>6.6366666666666667</v>
      </c>
      <c r="E222" s="262">
        <f>'High and Diameter'!K182</f>
        <v>1865.8733028597687</v>
      </c>
      <c r="F222" s="366">
        <f>'High and Diameter'!Q182</f>
        <v>18.05</v>
      </c>
      <c r="G222" s="288">
        <f>'High and Diameter'!U182</f>
        <v>6.2866666666666662</v>
      </c>
      <c r="H222" s="248">
        <f>'High and Diameter'!V182</f>
        <v>1608.6617205191346</v>
      </c>
      <c r="I222" s="265">
        <f>'High and Diameter'!W182</f>
        <v>4.598308668076097</v>
      </c>
      <c r="J222" s="265">
        <f>'High and Diameter'!X182</f>
        <v>5.2737317930688175</v>
      </c>
      <c r="K222" s="265">
        <f>'High and Diameter'!Y182</f>
        <v>13.785050782730721</v>
      </c>
      <c r="L222" s="92">
        <f t="shared" si="96"/>
        <v>5.4000000000000092</v>
      </c>
    </row>
    <row r="223" spans="1:13" x14ac:dyDescent="0.25">
      <c r="A223" s="266" t="s">
        <v>161</v>
      </c>
      <c r="B223" s="250"/>
      <c r="C223" s="364">
        <f t="shared" ref="C223:J223" si="97">AVERAGE(C216:C222)</f>
        <v>19.025238095238091</v>
      </c>
      <c r="D223" s="364">
        <f t="shared" si="97"/>
        <v>6.4423809523809519</v>
      </c>
      <c r="E223" s="370">
        <f t="shared" si="97"/>
        <v>1831.3537255200231</v>
      </c>
      <c r="F223" s="191">
        <f t="shared" si="97"/>
        <v>18.064285714285713</v>
      </c>
      <c r="G223" s="364">
        <f t="shared" si="97"/>
        <v>6.1038095238095238</v>
      </c>
      <c r="H223" s="263">
        <f t="shared" si="97"/>
        <v>1564.4628872584769</v>
      </c>
      <c r="I223" s="23">
        <f t="shared" si="97"/>
        <v>5.0502740344368346</v>
      </c>
      <c r="J223" s="23">
        <f t="shared" si="97"/>
        <v>5.2581237037050679</v>
      </c>
      <c r="K223" s="23">
        <f>AVERAGE(K216:K222)</f>
        <v>14.57786997359368</v>
      </c>
      <c r="L223" s="23">
        <f>AVERAGE(L216:L222)</f>
        <v>4.8738095238095269</v>
      </c>
    </row>
    <row r="224" spans="1:13" ht="15.75" thickBot="1" x14ac:dyDescent="0.3">
      <c r="A224" s="268" t="s">
        <v>162</v>
      </c>
      <c r="B224" s="363"/>
      <c r="C224" s="193">
        <f t="shared" ref="C224:J224" si="98">STDEV(C216:C222)</f>
        <v>5.2134340103136306E-2</v>
      </c>
      <c r="D224" s="59">
        <f t="shared" si="98"/>
        <v>0.10153843070509276</v>
      </c>
      <c r="E224" s="165">
        <f t="shared" si="98"/>
        <v>20.967162159913226</v>
      </c>
      <c r="F224" s="193">
        <f t="shared" si="98"/>
        <v>9.425564696147877E-2</v>
      </c>
      <c r="G224" s="59">
        <f t="shared" si="98"/>
        <v>0.12131117885999677</v>
      </c>
      <c r="H224" s="165">
        <f t="shared" si="98"/>
        <v>38.987524014273923</v>
      </c>
      <c r="I224" s="61">
        <f t="shared" si="98"/>
        <v>0.56862398140971704</v>
      </c>
      <c r="J224" s="61">
        <f t="shared" si="98"/>
        <v>0.84445344329010186</v>
      </c>
      <c r="K224" s="61">
        <f>STDEV(K216:K222)</f>
        <v>1.6465938122164232</v>
      </c>
      <c r="L224" s="61">
        <f>STDEV(L216:L222)</f>
        <v>0.2606717005156815</v>
      </c>
    </row>
    <row r="225" spans="1:12" ht="15.75" thickBot="1" x14ac:dyDescent="0.3">
      <c r="A225" s="350" t="s">
        <v>233</v>
      </c>
      <c r="B225" s="257" t="s">
        <v>135</v>
      </c>
      <c r="C225" s="349">
        <f>'High and Diameter'!F183</f>
        <v>18.926666666666666</v>
      </c>
      <c r="D225" s="46">
        <f>'High and Diameter'!J183</f>
        <v>6.586666666666666</v>
      </c>
      <c r="E225" s="348">
        <f>'High and Diameter'!K183</f>
        <v>1853.1212399176832</v>
      </c>
      <c r="F225" s="368">
        <f>'High and Diameter'!Q183</f>
        <v>17.586666666666666</v>
      </c>
      <c r="G225" s="369">
        <f>'High and Diameter'!U183</f>
        <v>6.3599999999999994</v>
      </c>
      <c r="H225" s="361">
        <f>'High and Diameter'!V183</f>
        <v>1544.9486931195074</v>
      </c>
      <c r="I225" s="352">
        <f>'High and Diameter'!W183</f>
        <v>7.0799577315956324</v>
      </c>
      <c r="J225" s="352">
        <f>'High and Diameter'!X183</f>
        <v>3.4412955465587034</v>
      </c>
      <c r="K225" s="352">
        <f>'High and Diameter'!Y183</f>
        <v>16.629918224447362</v>
      </c>
      <c r="L225" s="92">
        <f t="shared" ref="L225:L231" si="99">(20-C225)/20*100</f>
        <v>5.3666666666666707</v>
      </c>
    </row>
    <row r="226" spans="1:12" x14ac:dyDescent="0.25">
      <c r="A226" s="271"/>
      <c r="B226" s="251" t="s">
        <v>136</v>
      </c>
      <c r="C226" s="360">
        <f>'High and Diameter'!F184</f>
        <v>18.900000000000002</v>
      </c>
      <c r="D226" s="26">
        <f>'High and Diameter'!J184</f>
        <v>6.4899999999999993</v>
      </c>
      <c r="E226" s="260">
        <f>'High and Diameter'!K184</f>
        <v>1820.7829858773446</v>
      </c>
      <c r="F226" s="367">
        <f>'High and Diameter'!Q184</f>
        <v>17.68</v>
      </c>
      <c r="G226" s="46">
        <f>'High and Diameter'!U184</f>
        <v>6.2366666666666672</v>
      </c>
      <c r="H226" s="351">
        <f>'High and Diameter'!V184</f>
        <v>1531.1119127015195</v>
      </c>
      <c r="I226" s="37">
        <f>'High and Diameter'!W184</f>
        <v>6.4550264550264673</v>
      </c>
      <c r="J226" s="37">
        <f>'High and Diameter'!X184</f>
        <v>3.9034411915767659</v>
      </c>
      <c r="K226" s="37">
        <f>'High and Diameter'!Y184</f>
        <v>15.909148724621183</v>
      </c>
      <c r="L226" s="92">
        <f t="shared" si="99"/>
        <v>5.4999999999999893</v>
      </c>
    </row>
    <row r="227" spans="1:12" x14ac:dyDescent="0.25">
      <c r="A227" s="271"/>
      <c r="B227" s="251" t="s">
        <v>137</v>
      </c>
      <c r="C227" s="360">
        <f>'High and Diameter'!F185</f>
        <v>18.926666666666666</v>
      </c>
      <c r="D227" s="26">
        <f>'High and Diameter'!J185</f>
        <v>6.6500000000000012</v>
      </c>
      <c r="E227" s="260">
        <f>'High and Diameter'!K185</f>
        <v>1870.9397133784307</v>
      </c>
      <c r="F227" s="192">
        <f>'High and Diameter'!Q185</f>
        <v>17.75</v>
      </c>
      <c r="G227" s="26">
        <f>'High and Diameter'!U185</f>
        <v>6.37</v>
      </c>
      <c r="H227" s="164">
        <f>'High and Diameter'!V185</f>
        <v>1576.2533714089525</v>
      </c>
      <c r="I227" s="37">
        <f>'High and Diameter'!W185</f>
        <v>6.2169778090877026</v>
      </c>
      <c r="J227" s="37">
        <f>'High and Diameter'!X185</f>
        <v>4.2105263157894903</v>
      </c>
      <c r="K227" s="37">
        <f>'High and Diameter'!Y185</f>
        <v>15.750712856340588</v>
      </c>
      <c r="L227" s="92">
        <f t="shared" si="99"/>
        <v>5.3666666666666707</v>
      </c>
    </row>
    <row r="228" spans="1:12" x14ac:dyDescent="0.25">
      <c r="A228" s="271"/>
      <c r="B228" s="251" t="s">
        <v>138</v>
      </c>
      <c r="C228" s="360">
        <f>'High and Diameter'!F186</f>
        <v>18.856666666666666</v>
      </c>
      <c r="D228" s="26">
        <f>'High and Diameter'!J186</f>
        <v>6.456666666666667</v>
      </c>
      <c r="E228" s="260">
        <f>'High and Diameter'!K186</f>
        <v>1803.1343855744933</v>
      </c>
      <c r="F228" s="192">
        <f>'High and Diameter'!Q186</f>
        <v>17.643333333333334</v>
      </c>
      <c r="G228" s="26">
        <f>'High and Diameter'!U186</f>
        <v>6.19</v>
      </c>
      <c r="H228" s="164">
        <f>'High and Diameter'!V186</f>
        <v>1513.3584601148812</v>
      </c>
      <c r="I228" s="37">
        <f>'High and Diameter'!W186</f>
        <v>6.4345059218667027</v>
      </c>
      <c r="J228" s="37">
        <f>'High and Diameter'!X186</f>
        <v>4.130098089829632</v>
      </c>
      <c r="K228" s="37">
        <f>'High and Diameter'!Y186</f>
        <v>16.07067824660707</v>
      </c>
      <c r="L228" s="92">
        <f t="shared" si="99"/>
        <v>5.7166666666666721</v>
      </c>
    </row>
    <row r="229" spans="1:12" x14ac:dyDescent="0.25">
      <c r="A229" s="271"/>
      <c r="B229" s="251" t="s">
        <v>139</v>
      </c>
      <c r="C229" s="360">
        <f>'High and Diameter'!F187</f>
        <v>18.89</v>
      </c>
      <c r="D229" s="26">
        <f>'High and Diameter'!J187</f>
        <v>6.6000000000000005</v>
      </c>
      <c r="E229" s="260">
        <f>'High and Diameter'!K187</f>
        <v>1849.6848214762806</v>
      </c>
      <c r="F229" s="192">
        <f>'High and Diameter'!Q187</f>
        <v>17.776666666666667</v>
      </c>
      <c r="G229" s="26">
        <f>'High and Diameter'!U187</f>
        <v>6.3133333333333326</v>
      </c>
      <c r="H229" s="164">
        <f>'High and Diameter'!V187</f>
        <v>1566.9287867209764</v>
      </c>
      <c r="I229" s="37">
        <f>'High and Diameter'!W187</f>
        <v>5.8937709546497263</v>
      </c>
      <c r="J229" s="37">
        <f>'High and Diameter'!X187</f>
        <v>4.3434343434343621</v>
      </c>
      <c r="K229" s="37">
        <f>'High and Diameter'!Y187</f>
        <v>15.286714334911903</v>
      </c>
      <c r="L229" s="92">
        <f t="shared" si="99"/>
        <v>5.5499999999999972</v>
      </c>
    </row>
    <row r="230" spans="1:12" x14ac:dyDescent="0.25">
      <c r="A230" s="271"/>
      <c r="B230" s="251" t="s">
        <v>140</v>
      </c>
      <c r="C230" s="360">
        <f>'High and Diameter'!F188</f>
        <v>18.803333333333331</v>
      </c>
      <c r="D230" s="26">
        <f>'High and Diameter'!J188</f>
        <v>6.3633333333333333</v>
      </c>
      <c r="E230" s="260">
        <f>'High and Diameter'!K188</f>
        <v>1767.0313108934972</v>
      </c>
      <c r="F230" s="192">
        <f>'High and Diameter'!Q188</f>
        <v>17.686666666666664</v>
      </c>
      <c r="G230" s="26">
        <f>'High and Diameter'!U188</f>
        <v>6.1333333333333329</v>
      </c>
      <c r="H230" s="164">
        <f>'High and Diameter'!V188</f>
        <v>1506.8791767978853</v>
      </c>
      <c r="I230" s="37">
        <f>'High and Diameter'!W188</f>
        <v>5.9386633575607197</v>
      </c>
      <c r="J230" s="37">
        <f>'High and Diameter'!X188</f>
        <v>3.614457831325308</v>
      </c>
      <c r="K230" s="37">
        <f>'High and Diameter'!Y188</f>
        <v>14.722553725664675</v>
      </c>
      <c r="L230" s="92">
        <f t="shared" si="99"/>
        <v>5.9833333333333449</v>
      </c>
    </row>
    <row r="231" spans="1:12" ht="15.75" thickBot="1" x14ac:dyDescent="0.3">
      <c r="A231" s="272"/>
      <c r="B231" s="252" t="s">
        <v>141</v>
      </c>
      <c r="C231" s="365">
        <f>'High and Diameter'!F189</f>
        <v>18.899999999999999</v>
      </c>
      <c r="D231" s="288">
        <f>'High and Diameter'!J189</f>
        <v>6.5466666666666669</v>
      </c>
      <c r="E231" s="262">
        <f>'High and Diameter'!K189</f>
        <v>1836.6809369610189</v>
      </c>
      <c r="F231" s="366">
        <f>'High and Diameter'!Q189</f>
        <v>17.776666666666667</v>
      </c>
      <c r="G231" s="288">
        <f>'High and Diameter'!U189</f>
        <v>6.32</v>
      </c>
      <c r="H231" s="248">
        <f>'High and Diameter'!V189</f>
        <v>1568.5834105717906</v>
      </c>
      <c r="I231" s="265">
        <f>'High and Diameter'!W189</f>
        <v>5.9435626102292662</v>
      </c>
      <c r="J231" s="265">
        <f>'High and Diameter'!X189</f>
        <v>3.462321792260691</v>
      </c>
      <c r="K231" s="265">
        <f>'High and Diameter'!Y189</f>
        <v>14.596848096699022</v>
      </c>
      <c r="L231" s="92">
        <f t="shared" si="99"/>
        <v>5.5000000000000071</v>
      </c>
    </row>
    <row r="232" spans="1:12" x14ac:dyDescent="0.25">
      <c r="A232" s="270" t="s">
        <v>161</v>
      </c>
      <c r="B232" s="250"/>
      <c r="C232" s="364">
        <f t="shared" ref="C232:J232" si="100">AVERAGE(C225:C231)</f>
        <v>18.886190476190475</v>
      </c>
      <c r="D232" s="364">
        <f t="shared" si="100"/>
        <v>6.527619047619047</v>
      </c>
      <c r="E232" s="370">
        <f t="shared" si="100"/>
        <v>1828.7679134398211</v>
      </c>
      <c r="F232" s="191">
        <f t="shared" si="100"/>
        <v>17.7</v>
      </c>
      <c r="G232" s="364">
        <f t="shared" si="100"/>
        <v>6.2747619047619052</v>
      </c>
      <c r="H232" s="263">
        <f t="shared" si="100"/>
        <v>1544.0091159193591</v>
      </c>
      <c r="I232" s="23">
        <f t="shared" si="100"/>
        <v>6.2803521200023171</v>
      </c>
      <c r="J232" s="23">
        <f t="shared" si="100"/>
        <v>3.8722250158249936</v>
      </c>
      <c r="K232" s="23">
        <f>AVERAGE(K225:K231)</f>
        <v>15.566653458470258</v>
      </c>
      <c r="L232" s="23">
        <f>AVERAGE(L225:L231)</f>
        <v>5.5690476190476224</v>
      </c>
    </row>
    <row r="233" spans="1:12" ht="15.75" thickBot="1" x14ac:dyDescent="0.3">
      <c r="A233" s="273" t="s">
        <v>162</v>
      </c>
      <c r="B233" s="363"/>
      <c r="C233" s="193">
        <f t="shared" ref="C233:J233" si="101">STDEV(C225:C231)</f>
        <v>4.360719323216479E-2</v>
      </c>
      <c r="D233" s="59">
        <f t="shared" si="101"/>
        <v>9.7898554555861744E-2</v>
      </c>
      <c r="E233" s="165">
        <f t="shared" si="101"/>
        <v>35.128153753116322</v>
      </c>
      <c r="F233" s="193">
        <f t="shared" si="101"/>
        <v>7.1750596848724535E-2</v>
      </c>
      <c r="G233" s="59">
        <f t="shared" si="101"/>
        <v>8.9914715617945826E-2</v>
      </c>
      <c r="H233" s="165">
        <f t="shared" si="101"/>
        <v>27.851436276439518</v>
      </c>
      <c r="I233" s="61">
        <f t="shared" si="101"/>
        <v>0.4237301297205972</v>
      </c>
      <c r="J233" s="61">
        <f t="shared" si="101"/>
        <v>0.37061295027839508</v>
      </c>
      <c r="K233" s="61">
        <f>STDEV(K225:K231)</f>
        <v>0.73791898047213389</v>
      </c>
      <c r="L233" s="61">
        <f>STDEV(L225:L231)</f>
        <v>0.21803596616082394</v>
      </c>
    </row>
    <row r="234" spans="1:12" ht="15.75" thickBot="1" x14ac:dyDescent="0.3">
      <c r="A234" s="106" t="str">
        <f>'High and Diameter'!A190</f>
        <v>SSA-Ly-A2P #6</v>
      </c>
      <c r="B234" s="159"/>
      <c r="C234" s="159" t="s">
        <v>4</v>
      </c>
      <c r="D234" s="159"/>
      <c r="E234" s="159"/>
      <c r="F234" s="159" t="s">
        <v>231</v>
      </c>
      <c r="G234" s="159"/>
      <c r="H234" s="159"/>
      <c r="I234" s="107"/>
      <c r="J234" s="107"/>
      <c r="K234" s="107"/>
      <c r="L234" s="92"/>
    </row>
    <row r="235" spans="1:12" ht="15.75" thickBot="1" x14ac:dyDescent="0.3">
      <c r="A235" s="242"/>
      <c r="B235" s="249" t="s">
        <v>6</v>
      </c>
      <c r="C235" s="246" t="s">
        <v>228</v>
      </c>
      <c r="D235" s="6" t="s">
        <v>229</v>
      </c>
      <c r="E235" s="258" t="str">
        <f>'High and Diameter'!K191</f>
        <v>Vol</v>
      </c>
      <c r="F235" s="10" t="s">
        <v>228</v>
      </c>
      <c r="G235" s="6" t="s">
        <v>229</v>
      </c>
      <c r="H235" s="200" t="str">
        <f>'High and Diameter'!V191</f>
        <v>Vol</v>
      </c>
      <c r="I235" s="162" t="str">
        <f>'High and Diameter'!W191</f>
        <v>Shrinkage D [%]</v>
      </c>
      <c r="J235" s="162" t="str">
        <f>'High and Diameter'!X191</f>
        <v>Shrinkage h [%]</v>
      </c>
      <c r="K235" s="162" t="str">
        <f>'High and Diameter'!Y191</f>
        <v>Shrinkage [%]</v>
      </c>
      <c r="L235" s="92"/>
    </row>
    <row r="236" spans="1:12" x14ac:dyDescent="0.25">
      <c r="A236" s="266" t="s">
        <v>232</v>
      </c>
      <c r="B236" s="250" t="s">
        <v>135</v>
      </c>
      <c r="C236" s="364">
        <f>'High and Diameter'!F192</f>
        <v>19.07</v>
      </c>
      <c r="D236" s="62">
        <f>'High and Diameter'!J192</f>
        <v>6.5100000000000007</v>
      </c>
      <c r="E236" s="259">
        <f>'High and Diameter'!K192</f>
        <v>1859.3975570342798</v>
      </c>
      <c r="F236" s="191">
        <f>'High and Diameter'!Q192</f>
        <v>17.306666666666668</v>
      </c>
      <c r="G236" s="62">
        <f>'High and Diameter'!U192</f>
        <v>5.8900000000000006</v>
      </c>
      <c r="H236" s="163">
        <f>'High and Diameter'!V192</f>
        <v>1385.5813666323083</v>
      </c>
      <c r="I236" s="263">
        <f>'High and Diameter'!W192</f>
        <v>9.2466352036357193</v>
      </c>
      <c r="J236" s="263">
        <f>'High and Diameter'!X192</f>
        <v>9.5238095238095255</v>
      </c>
      <c r="K236" s="263">
        <f>'High and Diameter'!Y192</f>
        <v>25.482242278391688</v>
      </c>
      <c r="L236" s="92">
        <f t="shared" ref="L236:L242" si="102">(20-C236)/20*100</f>
        <v>4.6499999999999986</v>
      </c>
    </row>
    <row r="237" spans="1:12" x14ac:dyDescent="0.25">
      <c r="A237" s="267"/>
      <c r="B237" s="251" t="s">
        <v>136</v>
      </c>
      <c r="C237" s="360">
        <f>'High and Diameter'!F193</f>
        <v>19.043333333333337</v>
      </c>
      <c r="D237" s="26">
        <f>'High and Diameter'!J193</f>
        <v>6.4333333333333336</v>
      </c>
      <c r="E237" s="260">
        <f>'High and Diameter'!K193</f>
        <v>1832.3645215908984</v>
      </c>
      <c r="F237" s="192">
        <f>'High and Diameter'!Q193</f>
        <v>17.326666666666668</v>
      </c>
      <c r="G237" s="26">
        <f>'High and Diameter'!U193</f>
        <v>5.7966666666666669</v>
      </c>
      <c r="H237" s="164">
        <f>'High and Diameter'!V193</f>
        <v>1366.7788493121507</v>
      </c>
      <c r="I237" s="37">
        <f>'High and Diameter'!W193</f>
        <v>9.0145282688605022</v>
      </c>
      <c r="J237" s="37">
        <f>'High and Diameter'!X193</f>
        <v>9.8963730569948183</v>
      </c>
      <c r="K237" s="37">
        <f>'High and Diameter'!Y193</f>
        <v>25.409009331533895</v>
      </c>
      <c r="L237" s="92">
        <f t="shared" si="102"/>
        <v>4.7833333333333172</v>
      </c>
    </row>
    <row r="238" spans="1:12" x14ac:dyDescent="0.25">
      <c r="A238" s="267"/>
      <c r="B238" s="251" t="s">
        <v>137</v>
      </c>
      <c r="C238" s="360">
        <f>'High and Diameter'!F194</f>
        <v>19.099999999999998</v>
      </c>
      <c r="D238" s="26">
        <f>'High and Diameter'!J194</f>
        <v>6.586666666666666</v>
      </c>
      <c r="E238" s="260">
        <f>'High and Diameter'!K194</f>
        <v>1887.2190049410317</v>
      </c>
      <c r="F238" s="192">
        <f>'High and Diameter'!Q194</f>
        <v>17.256666666666668</v>
      </c>
      <c r="G238" s="26">
        <f>'High and Diameter'!U194</f>
        <v>5.91</v>
      </c>
      <c r="H238" s="164">
        <f>'High and Diameter'!V194</f>
        <v>1382.2645903075074</v>
      </c>
      <c r="I238" s="37">
        <f>'High and Diameter'!W194</f>
        <v>9.6509598603839279</v>
      </c>
      <c r="J238" s="37">
        <f>'High and Diameter'!X194</f>
        <v>10.273279352226709</v>
      </c>
      <c r="K238" s="37">
        <f>'High and Diameter'!Y194</f>
        <v>26.756535055628174</v>
      </c>
      <c r="L238" s="92">
        <f t="shared" si="102"/>
        <v>4.5000000000000107</v>
      </c>
    </row>
    <row r="239" spans="1:12" x14ac:dyDescent="0.25">
      <c r="A239" s="267"/>
      <c r="B239" s="251" t="s">
        <v>138</v>
      </c>
      <c r="C239" s="360">
        <f>'High and Diameter'!F195</f>
        <v>19.103333333333335</v>
      </c>
      <c r="D239" s="26">
        <f>'High and Diameter'!J195</f>
        <v>6.57</v>
      </c>
      <c r="E239" s="260">
        <f>'High and Diameter'!K195</f>
        <v>1883.1007589374833</v>
      </c>
      <c r="F239" s="192">
        <f>'High and Diameter'!Q195</f>
        <v>17.283333333333331</v>
      </c>
      <c r="G239" s="26">
        <f>'High and Diameter'!U195</f>
        <v>5.8499999999999988</v>
      </c>
      <c r="H239" s="164">
        <f>'High and Diameter'!V195</f>
        <v>1372.4633610586441</v>
      </c>
      <c r="I239" s="37">
        <f>'High and Diameter'!W195</f>
        <v>9.5271331355784525</v>
      </c>
      <c r="J239" s="37">
        <f>'High and Diameter'!X195</f>
        <v>10.958904109589064</v>
      </c>
      <c r="K239" s="37">
        <f>'High and Diameter'!Y195</f>
        <v>27.116838833783923</v>
      </c>
      <c r="L239" s="92">
        <f t="shared" si="102"/>
        <v>4.4833333333333236</v>
      </c>
    </row>
    <row r="240" spans="1:12" x14ac:dyDescent="0.25">
      <c r="A240" s="267"/>
      <c r="B240" s="251" t="s">
        <v>139</v>
      </c>
      <c r="C240" s="360">
        <f>'High and Diameter'!F196</f>
        <v>19.14</v>
      </c>
      <c r="D240" s="26">
        <f>'High and Diameter'!J196</f>
        <v>6.6633333333333331</v>
      </c>
      <c r="E240" s="260">
        <f>'High and Diameter'!K196</f>
        <v>1917.1905853016399</v>
      </c>
      <c r="F240" s="192">
        <f>'High and Diameter'!Q196</f>
        <v>17.303333333333335</v>
      </c>
      <c r="G240" s="26">
        <f>'High and Diameter'!U196</f>
        <v>5.94</v>
      </c>
      <c r="H240" s="164">
        <f>'High and Diameter'!V196</f>
        <v>1396.8053013699998</v>
      </c>
      <c r="I240" s="37">
        <f>'High and Diameter'!W196</f>
        <v>9.5959595959595934</v>
      </c>
      <c r="J240" s="37">
        <f>'High and Diameter'!X196</f>
        <v>10.855427713856921</v>
      </c>
      <c r="K240" s="37">
        <f>'High and Diameter'!Y196</f>
        <v>27.14311701305197</v>
      </c>
      <c r="L240" s="92">
        <f t="shared" si="102"/>
        <v>4.2999999999999972</v>
      </c>
    </row>
    <row r="241" spans="1:12" x14ac:dyDescent="0.25">
      <c r="A241" s="267"/>
      <c r="B241" s="251" t="s">
        <v>140</v>
      </c>
      <c r="C241" s="360">
        <f>'High and Diameter'!F197</f>
        <v>19.076666666666668</v>
      </c>
      <c r="D241" s="26">
        <f>'High and Diameter'!J197</f>
        <v>6.5666666666666664</v>
      </c>
      <c r="E241" s="260">
        <f>'High and Diameter'!K197</f>
        <v>1876.8943855415946</v>
      </c>
      <c r="F241" s="192">
        <f>'High and Diameter'!Q197</f>
        <v>17.136666666666667</v>
      </c>
      <c r="G241" s="26">
        <f>'High and Diameter'!U197</f>
        <v>5.9033333333333333</v>
      </c>
      <c r="H241" s="164">
        <f>'High and Diameter'!V197</f>
        <v>1361.5697249367934</v>
      </c>
      <c r="I241" s="37">
        <f>'High and Diameter'!W197</f>
        <v>10.169491525423735</v>
      </c>
      <c r="J241" s="37">
        <f>'High and Diameter'!X197</f>
        <v>10.101522842639591</v>
      </c>
      <c r="K241" s="37">
        <f>'High and Diameter'!Y197</f>
        <v>27.456241788271946</v>
      </c>
      <c r="L241" s="92">
        <f t="shared" si="102"/>
        <v>4.61666666666666</v>
      </c>
    </row>
    <row r="242" spans="1:12" ht="15.75" thickBot="1" x14ac:dyDescent="0.3">
      <c r="A242" s="269"/>
      <c r="B242" s="252" t="s">
        <v>141</v>
      </c>
      <c r="C242" s="365">
        <f>'High and Diameter'!F198</f>
        <v>19.073333333333334</v>
      </c>
      <c r="D242" s="288">
        <f>'High and Diameter'!J198</f>
        <v>6.46</v>
      </c>
      <c r="E242" s="262">
        <f>'High and Diameter'!K198</f>
        <v>1845.7615590316414</v>
      </c>
      <c r="F242" s="366">
        <f>'High and Diameter'!Q198</f>
        <v>17.286666666666665</v>
      </c>
      <c r="G242" s="288">
        <f>'High and Diameter'!U198</f>
        <v>5.833333333333333</v>
      </c>
      <c r="H242" s="248">
        <f>'High and Diameter'!V198</f>
        <v>1369.0811493149488</v>
      </c>
      <c r="I242" s="265">
        <f>'High and Diameter'!W198</f>
        <v>9.3673540720028079</v>
      </c>
      <c r="J242" s="265">
        <f>'High and Diameter'!X198</f>
        <v>9.7007223942208505</v>
      </c>
      <c r="K242" s="265">
        <f>'High and Diameter'!Y198</f>
        <v>25.82567652816314</v>
      </c>
      <c r="L242" s="92">
        <f t="shared" si="102"/>
        <v>4.6333333333333293</v>
      </c>
    </row>
    <row r="243" spans="1:12" x14ac:dyDescent="0.25">
      <c r="A243" s="266" t="s">
        <v>161</v>
      </c>
      <c r="B243" s="250"/>
      <c r="C243" s="364">
        <f t="shared" ref="C243:J243" si="103">AVERAGE(C236:C242)</f>
        <v>19.08666666666667</v>
      </c>
      <c r="D243" s="364">
        <f t="shared" si="103"/>
        <v>6.5414285714285709</v>
      </c>
      <c r="E243" s="370">
        <f t="shared" si="103"/>
        <v>1871.7040531969385</v>
      </c>
      <c r="F243" s="191">
        <f t="shared" si="103"/>
        <v>17.271428571428576</v>
      </c>
      <c r="G243" s="364">
        <f t="shared" si="103"/>
        <v>5.8747619047619049</v>
      </c>
      <c r="H243" s="263">
        <f t="shared" si="103"/>
        <v>1376.3634775617647</v>
      </c>
      <c r="I243" s="23">
        <f t="shared" si="103"/>
        <v>9.5102945231206775</v>
      </c>
      <c r="J243" s="23">
        <f t="shared" si="103"/>
        <v>10.187148427619638</v>
      </c>
      <c r="K243" s="23">
        <f>AVERAGE(K236:K242)</f>
        <v>26.455665832689249</v>
      </c>
      <c r="L243" s="23">
        <f>AVERAGE(L236:L242)</f>
        <v>4.566666666666662</v>
      </c>
    </row>
    <row r="244" spans="1:12" ht="15.75" thickBot="1" x14ac:dyDescent="0.3">
      <c r="A244" s="268" t="s">
        <v>162</v>
      </c>
      <c r="B244" s="363"/>
      <c r="C244" s="193">
        <f t="shared" ref="C244:J244" si="104">STDEV(C236:C242)</f>
        <v>3.0912061651651623E-2</v>
      </c>
      <c r="D244" s="59">
        <f t="shared" si="104"/>
        <v>7.9229089842359324E-2</v>
      </c>
      <c r="E244" s="165">
        <f t="shared" si="104"/>
        <v>28.397841409805416</v>
      </c>
      <c r="F244" s="193">
        <f t="shared" si="104"/>
        <v>6.3329156086134972E-2</v>
      </c>
      <c r="G244" s="59">
        <f t="shared" si="104"/>
        <v>4.9957654025856925E-2</v>
      </c>
      <c r="H244" s="165">
        <f t="shared" si="104"/>
        <v>12.360044498343415</v>
      </c>
      <c r="I244" s="61">
        <f t="shared" si="104"/>
        <v>0.36461894646030529</v>
      </c>
      <c r="J244" s="61">
        <f t="shared" si="104"/>
        <v>0.55047455549444346</v>
      </c>
      <c r="K244" s="61">
        <f>STDEV(K236:K242)</f>
        <v>0.86036263345270991</v>
      </c>
      <c r="L244" s="61">
        <f>STDEV(L236:L242)</f>
        <v>0.15456030825825812</v>
      </c>
    </row>
    <row r="245" spans="1:12" x14ac:dyDescent="0.25">
      <c r="A245" s="350" t="s">
        <v>233</v>
      </c>
      <c r="B245" s="257" t="s">
        <v>135</v>
      </c>
      <c r="C245" s="349">
        <f>'High and Diameter'!F199</f>
        <v>18.936666666666667</v>
      </c>
      <c r="D245" s="46">
        <f>'High and Diameter'!J199</f>
        <v>6.32</v>
      </c>
      <c r="E245" s="348">
        <f>'High and Diameter'!K199</f>
        <v>1779.9755169874911</v>
      </c>
      <c r="F245" s="367">
        <f>'High and Diameter'!Q199</f>
        <v>17.420000000000002</v>
      </c>
      <c r="G245" s="46">
        <f>'High and Diameter'!U199</f>
        <v>5.9933333333333332</v>
      </c>
      <c r="H245" s="351">
        <f>'High and Diameter'!V199</f>
        <v>1428.4157013923343</v>
      </c>
      <c r="I245" s="352">
        <f>'High and Diameter'!W199</f>
        <v>8.0091533180777983</v>
      </c>
      <c r="J245" s="352">
        <f>'High and Diameter'!X199</f>
        <v>5.1687763713080237</v>
      </c>
      <c r="K245" s="352">
        <f>'High and Diameter'!Y199</f>
        <v>19.750823100654333</v>
      </c>
      <c r="L245" s="92">
        <f t="shared" ref="L245:L251" si="105">(20-C245)/20*100</f>
        <v>5.3166666666666629</v>
      </c>
    </row>
    <row r="246" spans="1:12" x14ac:dyDescent="0.25">
      <c r="A246" s="271"/>
      <c r="B246" s="251" t="s">
        <v>136</v>
      </c>
      <c r="C246" s="360">
        <f>'High and Diameter'!F200</f>
        <v>18.906666666666666</v>
      </c>
      <c r="D246" s="26">
        <f>'High and Diameter'!J200</f>
        <v>6.38</v>
      </c>
      <c r="E246" s="260">
        <f>'High and Diameter'!K200</f>
        <v>1791.1852117583483</v>
      </c>
      <c r="F246" s="192">
        <f>'High and Diameter'!Q200</f>
        <v>17.310000000000002</v>
      </c>
      <c r="G246" s="26">
        <f>'High and Diameter'!U200</f>
        <v>6.0933333333333337</v>
      </c>
      <c r="H246" s="164">
        <f>'High and Diameter'!V200</f>
        <v>1433.9663290773522</v>
      </c>
      <c r="I246" s="37">
        <f>'High and Diameter'!W200</f>
        <v>8.444992947813807</v>
      </c>
      <c r="J246" s="37">
        <f>'High and Diameter'!X200</f>
        <v>4.4932079414837967</v>
      </c>
      <c r="K246" s="37">
        <f>'High and Diameter'!Y200</f>
        <v>19.943157208758215</v>
      </c>
      <c r="L246" s="92">
        <f t="shared" si="105"/>
        <v>5.4666666666666686</v>
      </c>
    </row>
    <row r="247" spans="1:12" x14ac:dyDescent="0.25">
      <c r="A247" s="271"/>
      <c r="B247" s="251" t="s">
        <v>137</v>
      </c>
      <c r="C247" s="360">
        <f>'High and Diameter'!F201</f>
        <v>18.803333333333331</v>
      </c>
      <c r="D247" s="26">
        <f>'High and Diameter'!J201</f>
        <v>6.3400000000000007</v>
      </c>
      <c r="E247" s="260">
        <f>'High and Diameter'!K201</f>
        <v>1760.5518875429188</v>
      </c>
      <c r="F247" s="192">
        <f>'High and Diameter'!Q201</f>
        <v>17.166666666666668</v>
      </c>
      <c r="G247" s="26">
        <f>'High and Diameter'!U201</f>
        <v>6.0066666666666668</v>
      </c>
      <c r="H247" s="164">
        <f>'High and Diameter'!V201</f>
        <v>1390.2578690834555</v>
      </c>
      <c r="I247" s="37">
        <f>'High and Diameter'!W201</f>
        <v>8.7041304733203155</v>
      </c>
      <c r="J247" s="37">
        <f>'High and Diameter'!X201</f>
        <v>5.2576235541535317</v>
      </c>
      <c r="K247" s="37">
        <f>'High and Diameter'!Y201</f>
        <v>21.032837548245016</v>
      </c>
      <c r="L247" s="92">
        <f t="shared" si="105"/>
        <v>5.9833333333333449</v>
      </c>
    </row>
    <row r="248" spans="1:12" x14ac:dyDescent="0.25">
      <c r="A248" s="271"/>
      <c r="B248" s="251" t="s">
        <v>138</v>
      </c>
      <c r="C248" s="360">
        <f>'High and Diameter'!F202</f>
        <v>18.876666666666669</v>
      </c>
      <c r="D248" s="26">
        <f>'High and Diameter'!J202</f>
        <v>6.3666666666666671</v>
      </c>
      <c r="E248" s="260">
        <f>'High and Diameter'!K202</f>
        <v>1781.773960506526</v>
      </c>
      <c r="F248" s="192">
        <f>'High and Diameter'!Q202</f>
        <v>17.213333333333335</v>
      </c>
      <c r="G248" s="26">
        <f>'High and Diameter'!U202</f>
        <v>6.0033333333333339</v>
      </c>
      <c r="H248" s="164">
        <f>'High and Diameter'!V202</f>
        <v>1397.0511180215294</v>
      </c>
      <c r="I248" s="37">
        <f>'High and Diameter'!W202</f>
        <v>8.8115839660957107</v>
      </c>
      <c r="J248" s="37">
        <f>'High and Diameter'!X202</f>
        <v>5.7068062827225114</v>
      </c>
      <c r="K248" s="37">
        <f>'High and Diameter'!Y202</f>
        <v>21.592123973774253</v>
      </c>
      <c r="L248" s="92">
        <f t="shared" si="105"/>
        <v>5.6166666666666565</v>
      </c>
    </row>
    <row r="249" spans="1:12" x14ac:dyDescent="0.25">
      <c r="A249" s="271"/>
      <c r="B249" s="251" t="s">
        <v>139</v>
      </c>
      <c r="C249" s="360">
        <f>'High and Diameter'!F203</f>
        <v>19.823333333333334</v>
      </c>
      <c r="D249" s="26">
        <f>'High and Diameter'!J203</f>
        <v>6.0566666666666675</v>
      </c>
      <c r="E249" s="260">
        <f>'High and Diameter'!K203</f>
        <v>1869.2910280394858</v>
      </c>
      <c r="F249" s="192">
        <f>'High and Diameter'!Q203</f>
        <v>18.099999999999998</v>
      </c>
      <c r="G249" s="26">
        <f>'High and Diameter'!U203</f>
        <v>5.580000000000001</v>
      </c>
      <c r="H249" s="164">
        <f>'High and Diameter'!V203</f>
        <v>1435.7579510933599</v>
      </c>
      <c r="I249" s="37">
        <f>'High and Diameter'!W203</f>
        <v>8.6934588868337119</v>
      </c>
      <c r="J249" s="37">
        <f>'High and Diameter'!X203</f>
        <v>7.8701155751238279</v>
      </c>
      <c r="K249" s="37">
        <f>'High and Diameter'!Y203</f>
        <v>23.192379915331632</v>
      </c>
      <c r="L249" s="92">
        <f>(20-C249)/20*100</f>
        <v>0.88333333333332942</v>
      </c>
    </row>
    <row r="250" spans="1:12" x14ac:dyDescent="0.25">
      <c r="A250" s="271"/>
      <c r="B250" s="251" t="s">
        <v>140</v>
      </c>
      <c r="C250" s="360">
        <f>'High and Diameter'!F204</f>
        <v>18.88</v>
      </c>
      <c r="D250" s="26">
        <f>'High and Diameter'!J204</f>
        <v>6.4266666666666667</v>
      </c>
      <c r="E250" s="260">
        <f>'High and Diameter'!K204</f>
        <v>1799.2008025034768</v>
      </c>
      <c r="F250" s="192">
        <f>'High and Diameter'!Q204</f>
        <v>17.306666666666668</v>
      </c>
      <c r="G250" s="26">
        <f>'High and Diameter'!U204</f>
        <v>6.123333333333334</v>
      </c>
      <c r="H250" s="164">
        <f>'High and Diameter'!V204</f>
        <v>1440.4714037937467</v>
      </c>
      <c r="I250" s="37">
        <f>'High and Diameter'!W204</f>
        <v>8.3333333333333197</v>
      </c>
      <c r="J250" s="37">
        <f>'High and Diameter'!X204</f>
        <v>4.719917012448124</v>
      </c>
      <c r="K250" s="37">
        <f>'High and Diameter'!Y204</f>
        <v>19.938263600737631</v>
      </c>
      <c r="L250" s="92">
        <f t="shared" si="105"/>
        <v>5.600000000000005</v>
      </c>
    </row>
    <row r="251" spans="1:12" ht="15.75" thickBot="1" x14ac:dyDescent="0.3">
      <c r="A251" s="272"/>
      <c r="B251" s="252" t="s">
        <v>141</v>
      </c>
      <c r="C251" s="365">
        <f>'High and Diameter'!F205</f>
        <v>18.886666666666667</v>
      </c>
      <c r="D251" s="288">
        <f>'High and Diameter'!J205</f>
        <v>6.37</v>
      </c>
      <c r="E251" s="262">
        <f>'High and Diameter'!K205</f>
        <v>1784.5961208478423</v>
      </c>
      <c r="F251" s="366">
        <f>'High and Diameter'!Q205</f>
        <v>17.363333333333333</v>
      </c>
      <c r="G251" s="288">
        <f>'High and Diameter'!U205</f>
        <v>6.0533333333333337</v>
      </c>
      <c r="H251" s="248">
        <f>'High and Diameter'!V205</f>
        <v>1433.3448034844378</v>
      </c>
      <c r="I251" s="265">
        <f>'High and Diameter'!W205</f>
        <v>8.0656547829156384</v>
      </c>
      <c r="J251" s="265">
        <f>'High and Diameter'!X205</f>
        <v>4.9712192569335389</v>
      </c>
      <c r="K251" s="265">
        <f>'High and Diameter'!Y205</f>
        <v>19.682398345488323</v>
      </c>
      <c r="L251" s="92">
        <f t="shared" si="105"/>
        <v>5.5666666666666664</v>
      </c>
    </row>
    <row r="252" spans="1:12" x14ac:dyDescent="0.25">
      <c r="A252" s="270" t="s">
        <v>161</v>
      </c>
      <c r="B252" s="250"/>
      <c r="C252" s="364">
        <f t="shared" ref="C252:J252" si="106">AVERAGE(C245:C251)</f>
        <v>19.016190476190474</v>
      </c>
      <c r="D252" s="364">
        <f t="shared" si="106"/>
        <v>6.322857142857143</v>
      </c>
      <c r="E252" s="370">
        <f t="shared" si="106"/>
        <v>1795.2249325980126</v>
      </c>
      <c r="F252" s="191">
        <f t="shared" si="106"/>
        <v>17.411428571428573</v>
      </c>
      <c r="G252" s="364">
        <f t="shared" si="106"/>
        <v>5.9790476190476198</v>
      </c>
      <c r="H252" s="263">
        <f t="shared" si="106"/>
        <v>1422.7521679923168</v>
      </c>
      <c r="I252" s="23">
        <f t="shared" si="106"/>
        <v>8.4374725297700426</v>
      </c>
      <c r="J252" s="23">
        <f t="shared" si="106"/>
        <v>5.4553808563104784</v>
      </c>
      <c r="K252" s="23">
        <f>AVERAGE(K245:K251)</f>
        <v>20.733140527569912</v>
      </c>
      <c r="L252" s="23">
        <f>AVERAGE(L245:L251)</f>
        <v>4.9190476190476193</v>
      </c>
    </row>
    <row r="253" spans="1:12" ht="15.75" thickBot="1" x14ac:dyDescent="0.3">
      <c r="A253" s="273" t="s">
        <v>162</v>
      </c>
      <c r="B253" s="363"/>
      <c r="C253" s="193">
        <f t="shared" ref="C253:J253" si="107">STDEV(C245:C251)</f>
        <v>0.35821278887890429</v>
      </c>
      <c r="D253" s="59">
        <f t="shared" si="107"/>
        <v>0.1220265388777217</v>
      </c>
      <c r="E253" s="165">
        <f t="shared" si="107"/>
        <v>34.752885729568078</v>
      </c>
      <c r="F253" s="193">
        <f t="shared" si="107"/>
        <v>0.3154177543962276</v>
      </c>
      <c r="G253" s="59">
        <f t="shared" si="107"/>
        <v>0.18266255353960317</v>
      </c>
      <c r="H253" s="165">
        <f t="shared" si="107"/>
        <v>20.287853873358834</v>
      </c>
      <c r="I253" s="61">
        <f t="shared" si="107"/>
        <v>0.31864351909132826</v>
      </c>
      <c r="J253" s="61">
        <f t="shared" si="107"/>
        <v>1.1340564967286768</v>
      </c>
      <c r="K253" s="61">
        <f>STDEV(K245:K251)</f>
        <v>1.3038685302215067</v>
      </c>
      <c r="L253" s="61">
        <f>STDEV(L245:L251)</f>
        <v>1.7910639443945213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0FB7-39D3-4317-95C7-A89A485F2D2E}">
  <dimension ref="A1:Y50"/>
  <sheetViews>
    <sheetView tabSelected="1" zoomScaleNormal="100" workbookViewId="0">
      <selection activeCell="D5" sqref="D5"/>
    </sheetView>
  </sheetViews>
  <sheetFormatPr defaultRowHeight="15" x14ac:dyDescent="0.25"/>
  <cols>
    <col min="1" max="2" width="16.140625" customWidth="1"/>
    <col min="5" max="5" width="11.5703125" customWidth="1"/>
    <col min="7" max="10" width="11.5703125" customWidth="1"/>
    <col min="11" max="11" width="14.28515625" customWidth="1"/>
    <col min="13" max="13" width="13.5703125" customWidth="1"/>
    <col min="15" max="15" width="13.85546875" customWidth="1"/>
  </cols>
  <sheetData>
    <row r="1" spans="1:21" ht="15.75" thickBot="1" x14ac:dyDescent="0.3"/>
    <row r="2" spans="1:21" ht="15.75" thickBot="1" x14ac:dyDescent="0.3">
      <c r="O2" s="354" t="s">
        <v>234</v>
      </c>
      <c r="Q2" s="333" t="s">
        <v>235</v>
      </c>
      <c r="S2" s="355" t="s">
        <v>236</v>
      </c>
      <c r="U2" t="s">
        <v>314</v>
      </c>
    </row>
    <row r="3" spans="1:21" x14ac:dyDescent="0.25">
      <c r="A3" s="353"/>
      <c r="B3" s="354"/>
      <c r="C3" s="354"/>
      <c r="D3" s="354" t="s">
        <v>237</v>
      </c>
      <c r="E3" s="362"/>
      <c r="F3" s="354" t="s">
        <v>238</v>
      </c>
      <c r="G3" s="362"/>
      <c r="H3" s="354" t="s">
        <v>186</v>
      </c>
      <c r="I3" s="354"/>
      <c r="J3" s="354" t="s">
        <v>312</v>
      </c>
      <c r="K3" s="342"/>
      <c r="M3" s="353" t="s">
        <v>239</v>
      </c>
      <c r="N3" s="354"/>
      <c r="O3" s="354" t="s">
        <v>186</v>
      </c>
      <c r="P3" s="342"/>
      <c r="Q3" s="354" t="s">
        <v>186</v>
      </c>
      <c r="R3" s="342"/>
      <c r="S3" s="354" t="s">
        <v>186</v>
      </c>
      <c r="T3" s="342"/>
    </row>
    <row r="4" spans="1:21" ht="15.75" thickBot="1" x14ac:dyDescent="0.3">
      <c r="A4" s="377"/>
      <c r="B4" s="373"/>
      <c r="C4" s="373" t="s">
        <v>240</v>
      </c>
      <c r="D4" s="373" t="s">
        <v>161</v>
      </c>
      <c r="E4" s="378" t="s">
        <v>162</v>
      </c>
      <c r="F4" s="373" t="s">
        <v>161</v>
      </c>
      <c r="G4" s="378" t="s">
        <v>162</v>
      </c>
      <c r="H4" s="373" t="s">
        <v>161</v>
      </c>
      <c r="I4" s="373"/>
      <c r="J4" s="373" t="s">
        <v>161</v>
      </c>
      <c r="K4" s="378" t="s">
        <v>162</v>
      </c>
      <c r="M4" s="377"/>
      <c r="N4" s="373"/>
      <c r="O4" s="373" t="s">
        <v>161</v>
      </c>
      <c r="P4" s="378" t="s">
        <v>162</v>
      </c>
      <c r="Q4" s="373" t="s">
        <v>161</v>
      </c>
      <c r="R4" s="378" t="s">
        <v>162</v>
      </c>
      <c r="S4" s="373" t="s">
        <v>161</v>
      </c>
      <c r="T4" s="378" t="s">
        <v>162</v>
      </c>
    </row>
    <row r="5" spans="1:21" x14ac:dyDescent="0.25">
      <c r="A5" s="358" t="s">
        <v>168</v>
      </c>
      <c r="B5" s="354" t="s">
        <v>105</v>
      </c>
      <c r="C5" s="354" t="s">
        <v>234</v>
      </c>
      <c r="D5" s="326">
        <f>'H&amp;D Figures'!I16</f>
        <v>-0.16238091960514472</v>
      </c>
      <c r="E5" s="329">
        <f>'H&amp;D Figures'!I17</f>
        <v>0.48035755779356903</v>
      </c>
      <c r="F5" s="326">
        <f>'H&amp;D Figures'!J16</f>
        <v>-0.14186614100551806</v>
      </c>
      <c r="G5" s="329">
        <f>'H&amp;D Figures'!J17</f>
        <v>0.50160178436995129</v>
      </c>
      <c r="H5" s="326">
        <f>'H&amp;D Figures'!K16</f>
        <v>-0.46749073322134699</v>
      </c>
      <c r="I5" s="329">
        <f>'H&amp;D Figures'!K17</f>
        <v>0.86515517839552991</v>
      </c>
      <c r="J5" s="326">
        <f>'H&amp;D Figures'!L16</f>
        <v>6.9523809523809508</v>
      </c>
      <c r="K5" s="329">
        <f>'H&amp;D Figures'!L17</f>
        <v>0.30738270443232224</v>
      </c>
      <c r="M5" s="420" t="s">
        <v>168</v>
      </c>
      <c r="N5" s="354" t="s">
        <v>241</v>
      </c>
      <c r="O5" s="440">
        <f>H5</f>
        <v>-0.46749073322134699</v>
      </c>
      <c r="P5" s="326">
        <f>I5</f>
        <v>0.86515517839552991</v>
      </c>
      <c r="Q5" s="440">
        <f>H6</f>
        <v>-8.121974936743699E-4</v>
      </c>
      <c r="R5" s="326">
        <f>I6</f>
        <v>1.1821818650355238</v>
      </c>
      <c r="S5" s="440">
        <f>H7</f>
        <v>2.1379240730940099</v>
      </c>
      <c r="T5" s="329">
        <f>I7</f>
        <v>1.2810633274931444</v>
      </c>
    </row>
    <row r="6" spans="1:21" x14ac:dyDescent="0.25">
      <c r="A6" s="379" t="s">
        <v>168</v>
      </c>
      <c r="B6" s="333" t="s">
        <v>106</v>
      </c>
      <c r="C6" s="333" t="s">
        <v>235</v>
      </c>
      <c r="D6" s="372">
        <f>'H&amp;D Figures'!I36</f>
        <v>-5.8847526299567798E-2</v>
      </c>
      <c r="E6" s="374">
        <f>'H&amp;D Figures'!I37</f>
        <v>0.55859702146595658</v>
      </c>
      <c r="F6" s="372">
        <f>'H&amp;D Figures'!J36</f>
        <v>0.11719584116153345</v>
      </c>
      <c r="G6" s="374">
        <f>'H&amp;D Figures'!J37</f>
        <v>0.82220135755106405</v>
      </c>
      <c r="H6" s="372">
        <f>'H&amp;D Figures'!K36</f>
        <v>-8.121974936743699E-4</v>
      </c>
      <c r="I6" s="374">
        <f>'H&amp;D Figures'!K37</f>
        <v>1.1821818650355238</v>
      </c>
      <c r="J6" s="372">
        <f>'H&amp;D Figures'!L36</f>
        <v>6.7642857142857151</v>
      </c>
      <c r="K6" s="374">
        <f>'H&amp;D Figures'!L37</f>
        <v>1.0552087985160175</v>
      </c>
      <c r="M6" s="421" t="s">
        <v>302</v>
      </c>
      <c r="N6" s="333" t="s">
        <v>242</v>
      </c>
      <c r="O6" s="439">
        <f>H12</f>
        <v>3.1349909896915245</v>
      </c>
      <c r="P6" s="372">
        <f>I12</f>
        <v>0.95082587777633931</v>
      </c>
      <c r="Q6" s="439">
        <f>H13</f>
        <v>4.2042827046897573</v>
      </c>
      <c r="R6" s="372">
        <f>I13</f>
        <v>1.8727346346720219</v>
      </c>
      <c r="S6" s="439">
        <f>H14</f>
        <v>11.18385740346856</v>
      </c>
      <c r="T6" s="374">
        <f>I14</f>
        <v>0.96385119059424351</v>
      </c>
    </row>
    <row r="7" spans="1:21" ht="15.75" thickBot="1" x14ac:dyDescent="0.3">
      <c r="A7" s="359" t="s">
        <v>168</v>
      </c>
      <c r="B7" s="355" t="s">
        <v>107</v>
      </c>
      <c r="C7" s="355" t="s">
        <v>236</v>
      </c>
      <c r="D7" s="375">
        <f>'H&amp;D Figures'!I56</f>
        <v>0.6565320365272882</v>
      </c>
      <c r="E7" s="376">
        <f>'H&amp;D Figures'!I57</f>
        <v>0.54865603300490884</v>
      </c>
      <c r="F7" s="375">
        <f>'H&amp;D Figures'!J56</f>
        <v>0.84243837581579328</v>
      </c>
      <c r="G7" s="376">
        <f>'H&amp;D Figures'!J57</f>
        <v>0.74584972965030083</v>
      </c>
      <c r="H7" s="375">
        <f>'H&amp;D Figures'!K56</f>
        <v>2.1379240730940099</v>
      </c>
      <c r="I7" s="376">
        <f>'H&amp;D Figures'!K57</f>
        <v>1.2810633274931444</v>
      </c>
      <c r="J7" s="375">
        <f>'H&amp;D Figures'!L56</f>
        <v>7.5595238095238084</v>
      </c>
      <c r="K7" s="376">
        <f>'H&amp;D Figures'!L57</f>
        <v>0.29168367297359143</v>
      </c>
      <c r="M7" s="421" t="s">
        <v>303</v>
      </c>
      <c r="N7" s="446" t="s">
        <v>242</v>
      </c>
      <c r="O7" s="457">
        <f>H18</f>
        <v>5.9253454060641531</v>
      </c>
      <c r="P7" s="447">
        <f>I18</f>
        <v>0.9055249538717195</v>
      </c>
      <c r="Q7" s="457">
        <f>H19</f>
        <v>8.2013368249768011</v>
      </c>
      <c r="R7" s="447">
        <f>I19</f>
        <v>1.3335319030829604</v>
      </c>
      <c r="S7" s="457">
        <f>H20</f>
        <v>16.679336214075562</v>
      </c>
      <c r="T7" s="448">
        <f>I20</f>
        <v>2.0703039435573412</v>
      </c>
    </row>
    <row r="8" spans="1:21" x14ac:dyDescent="0.25">
      <c r="A8" s="409" t="s">
        <v>174</v>
      </c>
      <c r="B8" s="337" t="s">
        <v>105</v>
      </c>
      <c r="C8" s="337">
        <v>1020</v>
      </c>
      <c r="D8" s="327">
        <f>'H&amp;D Figures'!I25</f>
        <v>-0.14433210299520244</v>
      </c>
      <c r="E8" s="330">
        <f>'H&amp;D Figures'!I26</f>
        <v>0.31917361002274491</v>
      </c>
      <c r="F8" s="327">
        <f>'H&amp;D Figures'!J25</f>
        <v>-1.34816716648237</v>
      </c>
      <c r="G8" s="330">
        <f>'H&amp;D Figures'!J26</f>
        <v>0.32755148434283282</v>
      </c>
      <c r="H8" s="327">
        <f>'H&amp;D Figures'!K25</f>
        <v>-1.6411392079350298</v>
      </c>
      <c r="I8" s="330">
        <f>'H&amp;D Figures'!K26</f>
        <v>0.60592168073703034</v>
      </c>
      <c r="J8" s="327">
        <f>'H&amp;D Figures'!L25</f>
        <v>7.445238095238099</v>
      </c>
      <c r="K8" s="330">
        <f>'H&amp;D Figures'!L26</f>
        <v>0.18676443018131764</v>
      </c>
      <c r="M8" s="421" t="s">
        <v>304</v>
      </c>
      <c r="N8" s="333" t="s">
        <v>243</v>
      </c>
      <c r="O8" s="439">
        <f>H25</f>
        <v>5.7300918448155329</v>
      </c>
      <c r="P8" s="372">
        <f>I25</f>
        <v>1.1847551290969858</v>
      </c>
      <c r="Q8" s="439">
        <f>H26</f>
        <v>8.1974711303647254</v>
      </c>
      <c r="R8" s="372">
        <f>I26</f>
        <v>0.92821195306436732</v>
      </c>
      <c r="S8" s="439">
        <f>H27</f>
        <v>16.044172192463666</v>
      </c>
      <c r="T8" s="374">
        <f>I27</f>
        <v>1.0190076144199476</v>
      </c>
    </row>
    <row r="9" spans="1:21" x14ac:dyDescent="0.25">
      <c r="A9" s="380" t="s">
        <v>174</v>
      </c>
      <c r="B9" s="333" t="s">
        <v>106</v>
      </c>
      <c r="C9" s="333">
        <v>1030</v>
      </c>
      <c r="D9" s="372">
        <f>'H&amp;D Figures'!I45</f>
        <v>9.1422378876764715E-2</v>
      </c>
      <c r="E9" s="374">
        <f>'H&amp;D Figures'!I46</f>
        <v>0.27267302982426495</v>
      </c>
      <c r="F9" s="372">
        <f>'H&amp;D Figures'!J45</f>
        <v>-1.4137714370927326</v>
      </c>
      <c r="G9" s="374">
        <f>'H&amp;D Figures'!J46</f>
        <v>0.53496997467761465</v>
      </c>
      <c r="H9" s="372">
        <f>'H&amp;D Figures'!K45</f>
        <v>-1.226948456826255</v>
      </c>
      <c r="I9" s="374">
        <f>'H&amp;D Figures'!K46</f>
        <v>0.29785482526685297</v>
      </c>
      <c r="J9" s="372">
        <f>'H&amp;D Figures'!L45</f>
        <v>7.2261904761904701</v>
      </c>
      <c r="K9" s="374">
        <f>'H&amp;D Figures'!L46</f>
        <v>0.48178460136911933</v>
      </c>
      <c r="M9" s="426" t="s">
        <v>305</v>
      </c>
      <c r="N9" s="333" t="s">
        <v>243</v>
      </c>
      <c r="O9" s="439">
        <f>H31</f>
        <v>9.198438605737838</v>
      </c>
      <c r="P9" s="372">
        <f>I31</f>
        <v>1.1136477763268133</v>
      </c>
      <c r="Q9" s="439">
        <f>H32</f>
        <v>12.606238734084959</v>
      </c>
      <c r="R9" s="372">
        <f>I32</f>
        <v>0.89159567726117717</v>
      </c>
      <c r="S9" s="439">
        <f>H33</f>
        <v>22.458657859946907</v>
      </c>
      <c r="T9" s="374">
        <f>I33</f>
        <v>1.0653264408822385</v>
      </c>
    </row>
    <row r="10" spans="1:21" ht="15.75" thickBot="1" x14ac:dyDescent="0.3">
      <c r="A10" s="357" t="s">
        <v>174</v>
      </c>
      <c r="B10" s="355" t="s">
        <v>107</v>
      </c>
      <c r="C10" s="355">
        <v>1050</v>
      </c>
      <c r="D10" s="375">
        <f>'H&amp;D Figures'!I65</f>
        <v>0.74572943690105564</v>
      </c>
      <c r="E10" s="376">
        <f>'H&amp;D Figures'!I66</f>
        <v>0.21084917711709567</v>
      </c>
      <c r="F10" s="375">
        <f>'H&amp;D Figures'!J65</f>
        <v>-1.3738541192168792</v>
      </c>
      <c r="G10" s="376">
        <f>'H&amp;D Figures'!J66</f>
        <v>1.251890364700154</v>
      </c>
      <c r="H10" s="375">
        <f>'H&amp;D Figures'!K65</f>
        <v>0.1348597747591806</v>
      </c>
      <c r="I10" s="376">
        <f>'H&amp;D Figures'!K66</f>
        <v>1.0281398817514609</v>
      </c>
      <c r="J10" s="375">
        <f>'H&amp;D Figures'!L65</f>
        <v>7.2142857142857126</v>
      </c>
      <c r="K10" s="376">
        <f>'H&amp;D Figures'!L66</f>
        <v>1.0487394802116012</v>
      </c>
      <c r="M10" s="421" t="s">
        <v>306</v>
      </c>
      <c r="N10" s="355" t="s">
        <v>241</v>
      </c>
      <c r="O10" s="441">
        <f>H38</f>
        <v>11.4629078464676</v>
      </c>
      <c r="P10" s="375">
        <f>I38</f>
        <v>0.95444486506289394</v>
      </c>
      <c r="Q10" s="441">
        <f>H39</f>
        <v>14.57786997359368</v>
      </c>
      <c r="R10" s="375">
        <f>I39</f>
        <v>1.6465938122164232</v>
      </c>
      <c r="S10" s="441">
        <f>H40</f>
        <v>26.455665832689249</v>
      </c>
      <c r="T10" s="376">
        <f>I40</f>
        <v>0.86036263345270991</v>
      </c>
    </row>
    <row r="11" spans="1:21" ht="15.75" thickBot="1" x14ac:dyDescent="0.3">
      <c r="M11" s="422" t="s">
        <v>174</v>
      </c>
      <c r="N11" s="354" t="s">
        <v>241</v>
      </c>
      <c r="O11" s="440">
        <f>H8</f>
        <v>-1.6411392079350298</v>
      </c>
      <c r="P11" s="326">
        <f>I8</f>
        <v>0.60592168073703034</v>
      </c>
      <c r="Q11" s="440">
        <f>H9</f>
        <v>-1.226948456826255</v>
      </c>
      <c r="R11" s="326">
        <f>I9</f>
        <v>0.29785482526685297</v>
      </c>
      <c r="S11" s="440">
        <f>H10</f>
        <v>0.1348597747591806</v>
      </c>
      <c r="T11" s="329">
        <f>I10</f>
        <v>1.0281398817514609</v>
      </c>
    </row>
    <row r="12" spans="1:21" x14ac:dyDescent="0.25">
      <c r="A12" s="358" t="s">
        <v>169</v>
      </c>
      <c r="B12" s="354" t="s">
        <v>108</v>
      </c>
      <c r="C12" s="354">
        <v>1020</v>
      </c>
      <c r="D12" s="326">
        <f>'H&amp;D Figures'!I79</f>
        <v>1.1416457273901022</v>
      </c>
      <c r="E12" s="329">
        <f>'H&amp;D Figures'!I80</f>
        <v>0.23898954449813831</v>
      </c>
      <c r="F12" s="326">
        <f>'H&amp;D Figures'!J79</f>
        <v>0.88660204143458099</v>
      </c>
      <c r="G12" s="329">
        <f>'H&amp;D Figures'!J80</f>
        <v>0.64688100106796786</v>
      </c>
      <c r="H12" s="326">
        <f>'H&amp;D Figures'!K79</f>
        <v>3.1349909896915245</v>
      </c>
      <c r="I12" s="329">
        <f>'H&amp;D Figures'!K80</f>
        <v>0.95082587777633931</v>
      </c>
      <c r="J12" s="326">
        <f>'H&amp;D Figures'!L79</f>
        <v>2.950000000000002</v>
      </c>
      <c r="K12" s="329">
        <f>'H&amp;D Figures'!L80</f>
        <v>4.1178473340650559</v>
      </c>
      <c r="M12" s="423" t="s">
        <v>307</v>
      </c>
      <c r="N12" s="333" t="s">
        <v>242</v>
      </c>
      <c r="O12" s="439">
        <f>H15</f>
        <v>8.1935264089577213</v>
      </c>
      <c r="P12" s="372">
        <f>I15</f>
        <v>0.69718937371656264</v>
      </c>
      <c r="Q12" s="439">
        <f>H16</f>
        <v>10.756463540758158</v>
      </c>
      <c r="R12" s="372">
        <f>I16</f>
        <v>0.82137299250976903</v>
      </c>
      <c r="S12" s="439">
        <f>H17</f>
        <v>17.903521911063397</v>
      </c>
      <c r="T12" s="374">
        <f>I17</f>
        <v>0.5660751387137436</v>
      </c>
    </row>
    <row r="13" spans="1:21" x14ac:dyDescent="0.25">
      <c r="A13" s="379" t="s">
        <v>169</v>
      </c>
      <c r="B13" s="333" t="s">
        <v>110</v>
      </c>
      <c r="C13" s="333">
        <v>1030</v>
      </c>
      <c r="D13" s="372">
        <f>'H&amp;D Figures'!I99</f>
        <v>1.7253126989856187</v>
      </c>
      <c r="E13" s="374">
        <f>'H&amp;D Figures'!I100</f>
        <v>0.35309833697507842</v>
      </c>
      <c r="F13" s="372">
        <f>'H&amp;D Figures'!J99</f>
        <v>0.81740244701586284</v>
      </c>
      <c r="G13" s="374">
        <f>'H&amp;D Figures'!J100</f>
        <v>1.4346129732616133</v>
      </c>
      <c r="H13" s="372">
        <f>'H&amp;D Figures'!K99</f>
        <v>4.2042827046897573</v>
      </c>
      <c r="I13" s="374">
        <f>'H&amp;D Figures'!K100</f>
        <v>1.8727346346720219</v>
      </c>
      <c r="J13" s="372">
        <f>'H&amp;D Figures'!L99</f>
        <v>5.3666666666666663</v>
      </c>
      <c r="K13" s="374">
        <f>'H&amp;D Figures'!L100</f>
        <v>0.44524233933975638</v>
      </c>
      <c r="M13" s="424" t="s">
        <v>308</v>
      </c>
      <c r="N13" s="446" t="s">
        <v>242</v>
      </c>
      <c r="O13" s="457">
        <f>H21</f>
        <v>8.6820932743971522</v>
      </c>
      <c r="P13" s="447">
        <f>I21</f>
        <v>0.62327351724824454</v>
      </c>
      <c r="Q13" s="457">
        <f>H22</f>
        <v>10.531848445377102</v>
      </c>
      <c r="R13" s="447">
        <f>I22</f>
        <v>1.3927987807638516</v>
      </c>
      <c r="S13" s="457">
        <f>H23</f>
        <v>13.40273803437139</v>
      </c>
      <c r="T13" s="447">
        <f>I23</f>
        <v>1.337117567367772</v>
      </c>
    </row>
    <row r="14" spans="1:21" ht="15.75" thickBot="1" x14ac:dyDescent="0.3">
      <c r="A14" s="359" t="s">
        <v>169</v>
      </c>
      <c r="B14" s="355" t="s">
        <v>111</v>
      </c>
      <c r="C14" s="355">
        <v>1050</v>
      </c>
      <c r="D14" s="375">
        <f>'H&amp;D Figures'!I119</f>
        <v>3.7885211841177129</v>
      </c>
      <c r="E14" s="376">
        <f>'H&amp;D Figures'!I120</f>
        <v>0.44254478567512306</v>
      </c>
      <c r="F14" s="375">
        <f>'H&amp;D Figures'!J119</f>
        <v>4.0508532132425943</v>
      </c>
      <c r="G14" s="376">
        <f>'H&amp;D Figures'!J120</f>
        <v>0.9070644131087503</v>
      </c>
      <c r="H14" s="375">
        <f>'H&amp;D Figures'!K119</f>
        <v>11.18385740346856</v>
      </c>
      <c r="I14" s="376">
        <f>'H&amp;D Figures'!K120</f>
        <v>0.96385119059424351</v>
      </c>
      <c r="J14" s="375">
        <f>'H&amp;D Figures'!L119</f>
        <v>4.5380952380952424</v>
      </c>
      <c r="K14" s="376">
        <f>'H&amp;D Figures'!L120</f>
        <v>0.38063230601323367</v>
      </c>
      <c r="M14" s="423" t="s">
        <v>309</v>
      </c>
      <c r="N14" s="333" t="s">
        <v>243</v>
      </c>
      <c r="O14" s="439">
        <f>H28</f>
        <v>12.783598458803203</v>
      </c>
      <c r="P14" s="372">
        <f>I28</f>
        <v>0.44057805876404216</v>
      </c>
      <c r="Q14" s="439">
        <f>H29</f>
        <v>16.767157616176576</v>
      </c>
      <c r="R14" s="372">
        <f>I29</f>
        <v>0.6506020517302491</v>
      </c>
      <c r="S14" s="439">
        <f>H30</f>
        <v>23.14394918750077</v>
      </c>
      <c r="T14" s="374">
        <f>I30</f>
        <v>1.0656065787285429</v>
      </c>
    </row>
    <row r="15" spans="1:21" ht="15.75" thickBot="1" x14ac:dyDescent="0.3">
      <c r="A15" s="356" t="s">
        <v>175</v>
      </c>
      <c r="B15" s="354" t="s">
        <v>108</v>
      </c>
      <c r="C15" s="354">
        <v>1020</v>
      </c>
      <c r="D15" s="326">
        <f>'H&amp;D Figures'!I88</f>
        <v>2.9849561072089665</v>
      </c>
      <c r="E15" s="329">
        <f>'H&amp;D Figures'!I89</f>
        <v>0.20574864289967304</v>
      </c>
      <c r="F15" s="326">
        <f>'H&amp;D Figures'!J88</f>
        <v>2.4579348011404614</v>
      </c>
      <c r="G15" s="329">
        <f>'H&amp;D Figures'!J89</f>
        <v>0.54903508994678485</v>
      </c>
      <c r="H15" s="326">
        <f>'H&amp;D Figures'!K88</f>
        <v>8.1935264089577213</v>
      </c>
      <c r="I15" s="329">
        <f>'H&amp;D Figures'!K89</f>
        <v>0.69718937371656264</v>
      </c>
      <c r="J15" s="326">
        <f>'H&amp;D Figures'!L88</f>
        <v>4.9261904761904773</v>
      </c>
      <c r="K15" s="329">
        <f>'H&amp;D Figures'!L89</f>
        <v>0.23606675587111728</v>
      </c>
      <c r="M15" s="425" t="s">
        <v>310</v>
      </c>
      <c r="N15" s="333" t="s">
        <v>243</v>
      </c>
      <c r="O15" s="439">
        <f>H34</f>
        <v>11.772083386689458</v>
      </c>
      <c r="P15" s="372">
        <f>I34</f>
        <v>0.76672824415342689</v>
      </c>
      <c r="Q15" s="439">
        <f>H35</f>
        <v>15.178250423266929</v>
      </c>
      <c r="R15" s="372">
        <f>I35</f>
        <v>0.78805017039380754</v>
      </c>
      <c r="S15" s="439">
        <f>H36</f>
        <v>20.682812676579282</v>
      </c>
      <c r="T15" s="374">
        <f>I36</f>
        <v>0.58839729248162687</v>
      </c>
    </row>
    <row r="16" spans="1:21" ht="15.75" thickBot="1" x14ac:dyDescent="0.3">
      <c r="A16" s="380" t="s">
        <v>175</v>
      </c>
      <c r="B16" s="333" t="s">
        <v>110</v>
      </c>
      <c r="C16" s="333">
        <v>1030</v>
      </c>
      <c r="D16" s="372">
        <f>'H&amp;D Figures'!I108</f>
        <v>3.7249283322666846</v>
      </c>
      <c r="E16" s="374">
        <f>'H&amp;D Figures'!I109</f>
        <v>0.52416988979569157</v>
      </c>
      <c r="F16" s="372">
        <f>'H&amp;D Figures'!J108</f>
        <v>3.7166951625637838</v>
      </c>
      <c r="G16" s="374">
        <f>'H&amp;D Figures'!J109</f>
        <v>0.57373173308790992</v>
      </c>
      <c r="H16" s="372">
        <f>'H&amp;D Figures'!K108</f>
        <v>10.756463540758158</v>
      </c>
      <c r="I16" s="374">
        <f>'H&amp;D Figures'!K109</f>
        <v>0.82137299250976903</v>
      </c>
      <c r="J16" s="372">
        <f>'H&amp;D Figures'!L108</f>
        <v>5.7785714285714294</v>
      </c>
      <c r="K16" s="374">
        <f>'H&amp;D Figures'!L109</f>
        <v>0.15919772405381682</v>
      </c>
      <c r="M16" s="423" t="s">
        <v>311</v>
      </c>
      <c r="N16" s="355" t="s">
        <v>241</v>
      </c>
      <c r="O16" s="441">
        <f>H41</f>
        <v>13.048569839690115</v>
      </c>
      <c r="P16" s="375">
        <f>I41</f>
        <v>0.73510947870488152</v>
      </c>
      <c r="Q16" s="441">
        <f>H42</f>
        <v>15.566653458470258</v>
      </c>
      <c r="R16" s="375">
        <f>I42</f>
        <v>0.73791898047213389</v>
      </c>
      <c r="S16" s="441">
        <f>H43</f>
        <v>20.733140527569912</v>
      </c>
      <c r="T16" s="376">
        <f>I43</f>
        <v>1.3038685302215067</v>
      </c>
    </row>
    <row r="17" spans="1:25" ht="15.75" thickBot="1" x14ac:dyDescent="0.3">
      <c r="A17" s="357" t="s">
        <v>175</v>
      </c>
      <c r="B17" s="355" t="s">
        <v>111</v>
      </c>
      <c r="C17" s="355">
        <v>1050</v>
      </c>
      <c r="D17" s="375">
        <f>'H&amp;D Figures'!I128</f>
        <v>6.7618051984094221</v>
      </c>
      <c r="E17" s="376">
        <f>'H&amp;D Figures'!I129</f>
        <v>0.23107055785032427</v>
      </c>
      <c r="F17" s="375">
        <f>'H&amp;D Figures'!J128</f>
        <v>5.5648863435471849</v>
      </c>
      <c r="G17" s="376">
        <f>'H&amp;D Figures'!J129</f>
        <v>0.39644568708076511</v>
      </c>
      <c r="H17" s="375">
        <f>'H&amp;D Figures'!K128</f>
        <v>17.903521911063397</v>
      </c>
      <c r="I17" s="376">
        <f>'H&amp;D Figures'!K129</f>
        <v>0.5660751387137436</v>
      </c>
      <c r="J17" s="375">
        <f>'H&amp;D Figures'!L128</f>
        <v>5.0404761904761939</v>
      </c>
      <c r="K17" s="376">
        <f>'H&amp;D Figures'!L129</f>
        <v>0.27400614058695921</v>
      </c>
    </row>
    <row r="18" spans="1:25" x14ac:dyDescent="0.25">
      <c r="A18" s="358" t="s">
        <v>170</v>
      </c>
      <c r="B18" s="354" t="s">
        <v>108</v>
      </c>
      <c r="C18" s="354">
        <v>1020</v>
      </c>
      <c r="D18" s="326">
        <f>'H&amp;D Figures'!W79</f>
        <v>2.0400219491433131</v>
      </c>
      <c r="E18" s="329">
        <f>'H&amp;D Figures'!W80</f>
        <v>0.25893030016078888</v>
      </c>
      <c r="F18" s="326">
        <f>'H&amp;D Figures'!X79</f>
        <v>1.9684972441693549</v>
      </c>
      <c r="G18" s="329">
        <f>'H&amp;D Figures'!X80</f>
        <v>0.51567488509498594</v>
      </c>
      <c r="H18" s="326">
        <f>'H&amp;D Figures'!Y79</f>
        <v>5.9253454060641531</v>
      </c>
      <c r="I18" s="329">
        <f>'H&amp;D Figures'!Y80</f>
        <v>0.9055249538717195</v>
      </c>
      <c r="J18" s="326">
        <f>'H&amp;D Figures'!Z79</f>
        <v>4.6690476190476202</v>
      </c>
      <c r="K18" s="329">
        <f>'H&amp;D Figures'!Z80</f>
        <v>0.28761931041720412</v>
      </c>
    </row>
    <row r="19" spans="1:25" ht="15.75" thickBot="1" x14ac:dyDescent="0.3">
      <c r="A19" s="379" t="s">
        <v>170</v>
      </c>
      <c r="B19" s="333" t="s">
        <v>110</v>
      </c>
      <c r="C19" s="333">
        <v>1030</v>
      </c>
      <c r="D19" s="372">
        <f>'H&amp;D Figures'!W99</f>
        <v>2.7138628731802044</v>
      </c>
      <c r="E19" s="374">
        <f>'H&amp;D Figures'!W100</f>
        <v>0.71452569856879233</v>
      </c>
      <c r="F19" s="372">
        <f>'H&amp;D Figures'!X99</f>
        <v>3.0119044633961396</v>
      </c>
      <c r="G19" s="374">
        <f>'H&amp;D Figures'!X100</f>
        <v>0.38529006282920308</v>
      </c>
      <c r="H19" s="372">
        <f>'H&amp;D Figures'!Y99</f>
        <v>8.2013368249768011</v>
      </c>
      <c r="I19" s="374">
        <f>'H&amp;D Figures'!Y100</f>
        <v>1.3335319030829604</v>
      </c>
      <c r="J19" s="372">
        <f>'H&amp;D Figures'!Z99</f>
        <v>4.9047619047619024</v>
      </c>
      <c r="K19" s="374">
        <f>'H&amp;D Figures'!Z100</f>
        <v>0.15266590420549089</v>
      </c>
    </row>
    <row r="20" spans="1:25" ht="15.75" thickBot="1" x14ac:dyDescent="0.3">
      <c r="A20" s="359" t="s">
        <v>170</v>
      </c>
      <c r="B20" s="355" t="s">
        <v>111</v>
      </c>
      <c r="C20" s="355">
        <v>1050</v>
      </c>
      <c r="D20" s="375">
        <f>'H&amp;D Figures'!W119</f>
        <v>5.7634841329040123</v>
      </c>
      <c r="E20" s="376">
        <f>'H&amp;D Figures'!W109</f>
        <v>1.0425608323895272</v>
      </c>
      <c r="F20" s="375">
        <f>'H&amp;D Figures'!X119</f>
        <v>6.1838170339813319</v>
      </c>
      <c r="G20" s="376">
        <f>'H&amp;D Figures'!X109</f>
        <v>0.58577774481361833</v>
      </c>
      <c r="H20" s="375">
        <f>'H&amp;D Figures'!Y119</f>
        <v>16.679336214075562</v>
      </c>
      <c r="I20" s="376">
        <f>'H&amp;D Figures'!Y109</f>
        <v>2.0703039435573412</v>
      </c>
      <c r="J20" s="375">
        <f>'H&amp;D Figures'!Z119</f>
        <v>4.2904761904761912</v>
      </c>
      <c r="K20" s="376">
        <f>'H&amp;D Figures'!Z109</f>
        <v>0.92644852976670589</v>
      </c>
      <c r="Q20" s="354" t="s">
        <v>234</v>
      </c>
      <c r="T20" s="333" t="s">
        <v>235</v>
      </c>
      <c r="W20" s="355" t="s">
        <v>236</v>
      </c>
    </row>
    <row r="21" spans="1:25" x14ac:dyDescent="0.25">
      <c r="A21" s="356" t="s">
        <v>176</v>
      </c>
      <c r="B21" s="354" t="s">
        <v>108</v>
      </c>
      <c r="C21" s="354">
        <v>1020</v>
      </c>
      <c r="D21" s="326">
        <f>'H&amp;D Figures'!W88</f>
        <v>3.5471114456073338</v>
      </c>
      <c r="E21" s="329">
        <f>'H&amp;D Figures'!W89</f>
        <v>0.29893432173079687</v>
      </c>
      <c r="F21" s="326">
        <f>'H&amp;D Figures'!X88</f>
        <v>1.8431226956710307</v>
      </c>
      <c r="G21" s="329">
        <f>'H&amp;D Figures'!X89</f>
        <v>0.13147102536982649</v>
      </c>
      <c r="H21" s="326">
        <f>'H&amp;D Figures'!Y88</f>
        <v>8.6820932743971522</v>
      </c>
      <c r="I21" s="329">
        <f>'H&amp;D Figures'!Y89</f>
        <v>0.62327351724824454</v>
      </c>
      <c r="J21" s="326">
        <f>'H&amp;D Figures'!Z88</f>
        <v>5.7619047619047636</v>
      </c>
      <c r="K21" s="329">
        <f>'H&amp;D Figures'!Z89</f>
        <v>0.32442460256787425</v>
      </c>
      <c r="M21" s="353" t="s">
        <v>244</v>
      </c>
      <c r="N21" s="354"/>
      <c r="O21" t="s">
        <v>314</v>
      </c>
      <c r="Q21" s="354" t="s">
        <v>186</v>
      </c>
      <c r="R21" s="342"/>
      <c r="T21" s="354" t="s">
        <v>186</v>
      </c>
      <c r="U21" s="342"/>
      <c r="W21" s="354" t="s">
        <v>186</v>
      </c>
      <c r="X21" s="342"/>
    </row>
    <row r="22" spans="1:25" ht="15.75" thickBot="1" x14ac:dyDescent="0.3">
      <c r="A22" s="380" t="s">
        <v>176</v>
      </c>
      <c r="B22" s="333" t="s">
        <v>110</v>
      </c>
      <c r="C22" s="333">
        <v>1030</v>
      </c>
      <c r="D22" s="372">
        <f>'H&amp;D Figures'!W108</f>
        <v>4.5135676918571992</v>
      </c>
      <c r="E22" s="374">
        <f>'H&amp;D Figures'!W120</f>
        <v>0.59157629619205754</v>
      </c>
      <c r="F22" s="372">
        <f>'H&amp;D Figures'!X108</f>
        <v>1.8849790629610461</v>
      </c>
      <c r="G22" s="374">
        <f>'H&amp;D Figures'!X120</f>
        <v>0.53721972498353332</v>
      </c>
      <c r="H22" s="372">
        <f>'H&amp;D Figures'!Y108</f>
        <v>10.531848445377102</v>
      </c>
      <c r="I22" s="374">
        <f>'H&amp;D Figures'!Y120</f>
        <v>1.3927987807638516</v>
      </c>
      <c r="J22" s="372">
        <f>'H&amp;D Figures'!Z108</f>
        <v>4.8619047619047633</v>
      </c>
      <c r="K22" s="374">
        <f>'H&amp;D Figures'!Z120</f>
        <v>0.21448844026028352</v>
      </c>
      <c r="M22" s="377"/>
      <c r="N22" s="373"/>
      <c r="Q22" s="373" t="s">
        <v>161</v>
      </c>
      <c r="R22" s="378" t="s">
        <v>162</v>
      </c>
      <c r="S22" t="s">
        <v>315</v>
      </c>
      <c r="T22" s="373" t="s">
        <v>161</v>
      </c>
      <c r="U22" s="378" t="s">
        <v>162</v>
      </c>
      <c r="V22" t="s">
        <v>315</v>
      </c>
      <c r="W22" s="373" t="s">
        <v>161</v>
      </c>
      <c r="X22" s="378" t="s">
        <v>162</v>
      </c>
      <c r="Y22" t="s">
        <v>315</v>
      </c>
    </row>
    <row r="23" spans="1:25" ht="15.75" thickBot="1" x14ac:dyDescent="0.3">
      <c r="A23" s="357" t="s">
        <v>176</v>
      </c>
      <c r="B23" s="355" t="s">
        <v>111</v>
      </c>
      <c r="C23" s="355">
        <v>1050</v>
      </c>
      <c r="D23" s="375">
        <f>'H&amp;D Figures'!W128</f>
        <v>5.392296315402656</v>
      </c>
      <c r="E23" s="376">
        <f>'H&amp;D Figures'!W129</f>
        <v>0.74769562923811417</v>
      </c>
      <c r="F23" s="375">
        <f>'H&amp;D Figures'!X128</f>
        <v>3.2544210675056027</v>
      </c>
      <c r="G23" s="376">
        <f>'H&amp;D Figures'!X129</f>
        <v>0.20086718806348922</v>
      </c>
      <c r="H23" s="375">
        <f>'H&amp;D Figures'!Y128</f>
        <v>13.40273803437139</v>
      </c>
      <c r="I23" s="376">
        <f>'H&amp;D Figures'!Y129</f>
        <v>1.337117567367772</v>
      </c>
      <c r="J23" s="375">
        <f>'H&amp;D Figures'!Z128</f>
        <v>5.2571428571428545</v>
      </c>
      <c r="K23" s="376">
        <f>'H&amp;D Figures'!Z129</f>
        <v>0.52694587736498122</v>
      </c>
      <c r="M23" s="358" t="s">
        <v>168</v>
      </c>
      <c r="N23" s="354" t="s">
        <v>241</v>
      </c>
      <c r="O23" s="473">
        <f>'H&amp;D Figures'!M16</f>
        <v>0</v>
      </c>
      <c r="P23" s="329">
        <f>'H&amp;D Figures'!M17</f>
        <v>0</v>
      </c>
      <c r="Q23" s="440">
        <f>D5</f>
        <v>-0.16238091960514472</v>
      </c>
      <c r="R23" s="326">
        <f>E5</f>
        <v>0.48035755779356903</v>
      </c>
      <c r="S23" s="442">
        <f>SUM(Q23,O23)</f>
        <v>-0.16238091960514472</v>
      </c>
      <c r="T23" s="440">
        <f>D6</f>
        <v>-5.8847526299567798E-2</v>
      </c>
      <c r="U23" s="326">
        <f>E6</f>
        <v>0.55859702146595658</v>
      </c>
      <c r="V23" s="442">
        <f t="shared" ref="V23:V34" si="0">SUM(T23,O23)</f>
        <v>-5.8847526299567798E-2</v>
      </c>
      <c r="W23" s="440">
        <f>D7</f>
        <v>0.6565320365272882</v>
      </c>
      <c r="X23" s="329">
        <f>E7</f>
        <v>0.54865603300490884</v>
      </c>
      <c r="Y23" s="442">
        <f t="shared" ref="Y23:Y34" si="1">SUM(W23,O23)</f>
        <v>0.6565320365272882</v>
      </c>
    </row>
    <row r="24" spans="1:25" ht="15.75" thickBot="1" x14ac:dyDescent="0.3">
      <c r="M24" s="379" t="s">
        <v>169</v>
      </c>
      <c r="N24" s="333" t="s">
        <v>242</v>
      </c>
      <c r="O24" s="474">
        <f>'H&amp;D Figures'!M79</f>
        <v>0</v>
      </c>
      <c r="P24" s="374">
        <f>'H&amp;D Figures'!M80</f>
        <v>0</v>
      </c>
      <c r="Q24" s="439">
        <f>D12</f>
        <v>1.1416457273901022</v>
      </c>
      <c r="R24" s="372">
        <f>E12</f>
        <v>0.23898954449813831</v>
      </c>
      <c r="S24" s="442">
        <f t="shared" ref="S24:S34" si="2">SUM(Q24,O24)</f>
        <v>1.1416457273901022</v>
      </c>
      <c r="T24" s="439">
        <f>D13</f>
        <v>1.7253126989856187</v>
      </c>
      <c r="U24" s="372">
        <f>E13</f>
        <v>0.35309833697507842</v>
      </c>
      <c r="V24" s="442">
        <f t="shared" si="0"/>
        <v>1.7253126989856187</v>
      </c>
      <c r="W24" s="439">
        <f>D14</f>
        <v>3.7885211841177129</v>
      </c>
      <c r="X24" s="374">
        <f>E14</f>
        <v>0.44254478567512306</v>
      </c>
      <c r="Y24" s="442">
        <f t="shared" si="1"/>
        <v>3.7885211841177129</v>
      </c>
    </row>
    <row r="25" spans="1:25" x14ac:dyDescent="0.25">
      <c r="A25" s="358" t="s">
        <v>171</v>
      </c>
      <c r="B25" s="354" t="s">
        <v>112</v>
      </c>
      <c r="C25" s="354">
        <v>1020</v>
      </c>
      <c r="D25" s="326">
        <f>'H&amp;D Figures'!I141</f>
        <v>1.5775820540281391</v>
      </c>
      <c r="E25" s="329">
        <f>'H&amp;D Figures'!I142</f>
        <v>0.45056859157752899</v>
      </c>
      <c r="F25" s="326">
        <f>'H&amp;D Figures'!J141</f>
        <v>2.6831958556469218</v>
      </c>
      <c r="G25" s="329">
        <f>'H&amp;D Figures'!J142</f>
        <v>1.1168717577611693</v>
      </c>
      <c r="H25" s="326">
        <f>'H&amp;D Figures'!K141</f>
        <v>5.7300918448155329</v>
      </c>
      <c r="I25" s="329">
        <f>'H&amp;D Figures'!K142</f>
        <v>1.1847551290969858</v>
      </c>
      <c r="J25" s="326">
        <f>'H&amp;D Figures'!L141</f>
        <v>4.3880952380952385</v>
      </c>
      <c r="K25" s="329">
        <f>'H&amp;D Figures'!L142</f>
        <v>0.39095257428991742</v>
      </c>
      <c r="M25" s="379" t="s">
        <v>170</v>
      </c>
      <c r="N25" s="446" t="s">
        <v>242</v>
      </c>
      <c r="O25" s="475">
        <f>'H&amp;D Figures'!AA79</f>
        <v>0</v>
      </c>
      <c r="P25" s="448">
        <f>'H&amp;D Figures'!AA80</f>
        <v>0</v>
      </c>
      <c r="Q25" s="457">
        <f>D18</f>
        <v>2.0400219491433131</v>
      </c>
      <c r="R25" s="447">
        <f>E18</f>
        <v>0.25893030016078888</v>
      </c>
      <c r="S25" s="442">
        <f t="shared" si="2"/>
        <v>2.0400219491433131</v>
      </c>
      <c r="T25" s="457">
        <f>D19</f>
        <v>2.7138628731802044</v>
      </c>
      <c r="U25" s="447">
        <f>E19</f>
        <v>0.71452569856879233</v>
      </c>
      <c r="V25" s="442">
        <f t="shared" si="0"/>
        <v>2.7138628731802044</v>
      </c>
      <c r="W25" s="457">
        <f>D20</f>
        <v>5.7634841329040123</v>
      </c>
      <c r="X25" s="448">
        <f>E20</f>
        <v>1.0425608323895272</v>
      </c>
      <c r="Y25" s="442">
        <f t="shared" si="1"/>
        <v>5.7634841329040123</v>
      </c>
    </row>
    <row r="26" spans="1:25" x14ac:dyDescent="0.25">
      <c r="A26" s="379" t="s">
        <v>171</v>
      </c>
      <c r="B26" s="333" t="s">
        <v>114</v>
      </c>
      <c r="C26" s="333">
        <v>1030</v>
      </c>
      <c r="D26" s="372">
        <f>'H&amp;D Figures'!I161</f>
        <v>2.8514591164509722</v>
      </c>
      <c r="E26" s="374">
        <f>'H&amp;D Figures'!I162</f>
        <v>0.27660067773659569</v>
      </c>
      <c r="F26" s="372">
        <f>'H&amp;D Figures'!J161</f>
        <v>2.7318772219783503</v>
      </c>
      <c r="G26" s="374">
        <f>'H&amp;D Figures'!J162</f>
        <v>0.55877433394321896</v>
      </c>
      <c r="H26" s="372">
        <f>'H&amp;D Figures'!K161</f>
        <v>8.1974711303647254</v>
      </c>
      <c r="I26" s="374">
        <f>'H&amp;D Figures'!K162</f>
        <v>0.92821195306436732</v>
      </c>
      <c r="J26" s="372">
        <f>'H&amp;D Figures'!L161</f>
        <v>3.9928571428571429</v>
      </c>
      <c r="K26" s="374">
        <f>'H&amp;D Figures'!L162</f>
        <v>0.24774111765240378</v>
      </c>
      <c r="M26" s="379" t="s">
        <v>171</v>
      </c>
      <c r="N26" s="333" t="s">
        <v>243</v>
      </c>
      <c r="O26" s="474">
        <f>'H&amp;D Figures'!M141</f>
        <v>0</v>
      </c>
      <c r="P26" s="374">
        <f>'H&amp;D Figures'!M142</f>
        <v>0</v>
      </c>
      <c r="Q26" s="439">
        <f>D25</f>
        <v>1.5775820540281391</v>
      </c>
      <c r="R26" s="372">
        <f>E25</f>
        <v>0.45056859157752899</v>
      </c>
      <c r="S26" s="442">
        <f t="shared" si="2"/>
        <v>1.5775820540281391</v>
      </c>
      <c r="T26" s="439">
        <f>D26</f>
        <v>2.8514591164509722</v>
      </c>
      <c r="U26" s="372">
        <f>E26</f>
        <v>0.27660067773659569</v>
      </c>
      <c r="V26" s="442">
        <f t="shared" si="0"/>
        <v>2.8514591164509722</v>
      </c>
      <c r="W26" s="439">
        <f>D27</f>
        <v>5.6798035496672208</v>
      </c>
      <c r="X26" s="374">
        <f>E27</f>
        <v>0.31039581530359872</v>
      </c>
      <c r="Y26" s="442">
        <f t="shared" si="1"/>
        <v>5.6798035496672208</v>
      </c>
    </row>
    <row r="27" spans="1:25" ht="15.75" thickBot="1" x14ac:dyDescent="0.3">
      <c r="A27" s="359" t="s">
        <v>171</v>
      </c>
      <c r="B27" s="355" t="s">
        <v>115</v>
      </c>
      <c r="C27" s="355">
        <v>1050</v>
      </c>
      <c r="D27" s="375">
        <f>'H&amp;D Figures'!I181</f>
        <v>5.6798035496672208</v>
      </c>
      <c r="E27" s="376">
        <f>'H&amp;D Figures'!I182</f>
        <v>0.31039581530359872</v>
      </c>
      <c r="F27" s="375">
        <f>'H&amp;D Figures'!J181</f>
        <v>5.6291547903528354</v>
      </c>
      <c r="G27" s="376">
        <f>'H&amp;D Figures'!J182</f>
        <v>0.98769187010949711</v>
      </c>
      <c r="H27" s="375">
        <f>'H&amp;D Figures'!K181</f>
        <v>16.044172192463666</v>
      </c>
      <c r="I27" s="376">
        <f>'H&amp;D Figures'!K182</f>
        <v>1.0190076144199476</v>
      </c>
      <c r="J27" s="375">
        <f>'H&amp;D Figures'!L181</f>
        <v>4.3785714285714281</v>
      </c>
      <c r="K27" s="376">
        <f>'H&amp;D Figures'!L182</f>
        <v>0.18097326529441363</v>
      </c>
      <c r="M27" s="379" t="s">
        <v>172</v>
      </c>
      <c r="N27" s="333" t="s">
        <v>243</v>
      </c>
      <c r="O27" s="474">
        <f>'H&amp;D Figures'!AA141</f>
        <v>0</v>
      </c>
      <c r="P27" s="374">
        <f>'H&amp;D Figures'!AA142</f>
        <v>0</v>
      </c>
      <c r="Q27" s="439">
        <f>D31</f>
        <v>3.0717935596197372</v>
      </c>
      <c r="R27" s="372">
        <f>E31</f>
        <v>0.35995431577618103</v>
      </c>
      <c r="S27" s="442">
        <f t="shared" si="2"/>
        <v>3.0717935596197372</v>
      </c>
      <c r="T27" s="439">
        <f>D32</f>
        <v>4.3738194242352684</v>
      </c>
      <c r="U27" s="372">
        <f>E32</f>
        <v>0.27228914127104126</v>
      </c>
      <c r="V27" s="442">
        <f t="shared" si="0"/>
        <v>4.3738194242352684</v>
      </c>
      <c r="W27" s="439">
        <f>D33</f>
        <v>8.0862347367546725</v>
      </c>
      <c r="X27" s="374">
        <f>E33</f>
        <v>0.56063222303921878</v>
      </c>
      <c r="Y27" s="442">
        <f t="shared" si="1"/>
        <v>8.0862347367546725</v>
      </c>
    </row>
    <row r="28" spans="1:25" ht="15.75" thickBot="1" x14ac:dyDescent="0.3">
      <c r="A28" s="356" t="s">
        <v>177</v>
      </c>
      <c r="B28" s="354" t="s">
        <v>112</v>
      </c>
      <c r="C28" s="354">
        <v>1020</v>
      </c>
      <c r="D28" s="326">
        <f>'H&amp;D Figures'!I150</f>
        <v>4.6289362840442889</v>
      </c>
      <c r="E28" s="329">
        <f>'H&amp;D Figures'!I151</f>
        <v>0.45571605304079865</v>
      </c>
      <c r="F28" s="326">
        <f>'H&amp;D Figures'!J150</f>
        <v>4.108600169553509</v>
      </c>
      <c r="G28" s="329">
        <f>'H&amp;D Figures'!J151</f>
        <v>0.73749795727721668</v>
      </c>
      <c r="H28" s="326">
        <f>'H&amp;D Figures'!K150</f>
        <v>12.783598458803203</v>
      </c>
      <c r="I28" s="329">
        <f>'H&amp;D Figures'!K151</f>
        <v>0.44057805876404216</v>
      </c>
      <c r="J28" s="326">
        <f>'H&amp;D Figures'!L150</f>
        <v>5.1142857142857219</v>
      </c>
      <c r="K28" s="329">
        <f>'H&amp;D Figures'!L151</f>
        <v>0.21547290184283535</v>
      </c>
      <c r="M28" s="359" t="s">
        <v>173</v>
      </c>
      <c r="N28" s="355" t="s">
        <v>241</v>
      </c>
      <c r="O28" s="476">
        <f>'H&amp;D Figures'!M203</f>
        <v>0</v>
      </c>
      <c r="P28" s="376">
        <f>'H&amp;D Figures'!M204</f>
        <v>0</v>
      </c>
      <c r="Q28" s="441">
        <f>D38</f>
        <v>3.7461088975842438</v>
      </c>
      <c r="R28" s="375">
        <f>E38</f>
        <v>0.44720101279079066</v>
      </c>
      <c r="S28" s="442">
        <f t="shared" si="2"/>
        <v>3.7461088975842438</v>
      </c>
      <c r="T28" s="441">
        <f>D39</f>
        <v>5.0502740344368346</v>
      </c>
      <c r="U28" s="375">
        <f>E39</f>
        <v>0.56862398140971704</v>
      </c>
      <c r="V28" s="442">
        <f t="shared" si="0"/>
        <v>5.0502740344368346</v>
      </c>
      <c r="W28" s="441">
        <f>D40</f>
        <v>9.5102945231206775</v>
      </c>
      <c r="X28" s="376">
        <f>E40</f>
        <v>0.36461894646030529</v>
      </c>
      <c r="Y28" s="442">
        <f t="shared" si="1"/>
        <v>9.5102945231206775</v>
      </c>
    </row>
    <row r="29" spans="1:25" x14ac:dyDescent="0.25">
      <c r="A29" s="380" t="s">
        <v>177</v>
      </c>
      <c r="B29" s="333" t="s">
        <v>114</v>
      </c>
      <c r="C29" s="333">
        <v>1030</v>
      </c>
      <c r="D29" s="372">
        <f>'H&amp;D Figures'!I170</f>
        <v>6.288953034067581</v>
      </c>
      <c r="E29" s="374">
        <f>'H&amp;D Figures'!I171</f>
        <v>0.32876061051786593</v>
      </c>
      <c r="F29" s="372">
        <f>'H&amp;D Figures'!J170</f>
        <v>5.2217006901773191</v>
      </c>
      <c r="G29" s="374">
        <f>'H&amp;D Figures'!J171</f>
        <v>0.34765872910060092</v>
      </c>
      <c r="H29" s="372">
        <f>'H&amp;D Figures'!K170</f>
        <v>16.767157616176576</v>
      </c>
      <c r="I29" s="374">
        <f>'H&amp;D Figures'!K171</f>
        <v>0.6506020517302491</v>
      </c>
      <c r="J29" s="372">
        <f>'H&amp;D Figures'!L170</f>
        <v>5.0142857142857133</v>
      </c>
      <c r="K29" s="374">
        <f>'H&amp;D Figures'!L171</f>
        <v>0.12225829193592301</v>
      </c>
      <c r="M29" s="356" t="s">
        <v>174</v>
      </c>
      <c r="N29" s="354" t="s">
        <v>241</v>
      </c>
      <c r="O29" s="473">
        <f>'H&amp;D Figures'!M25</f>
        <v>0</v>
      </c>
      <c r="P29" s="329">
        <f>'H&amp;D Figures'!M26</f>
        <v>0</v>
      </c>
      <c r="Q29" s="440">
        <f>D8</f>
        <v>-0.14433210299520244</v>
      </c>
      <c r="R29" s="326">
        <f>E8</f>
        <v>0.31917361002274491</v>
      </c>
      <c r="S29" s="442">
        <f t="shared" si="2"/>
        <v>-0.14433210299520244</v>
      </c>
      <c r="T29" s="440">
        <f>D9</f>
        <v>9.1422378876764715E-2</v>
      </c>
      <c r="U29" s="326">
        <f>E9</f>
        <v>0.27267302982426495</v>
      </c>
      <c r="V29" s="442">
        <f t="shared" si="0"/>
        <v>9.1422378876764715E-2</v>
      </c>
      <c r="W29" s="440">
        <f>D10</f>
        <v>0.74572943690105564</v>
      </c>
      <c r="X29" s="329">
        <f>E10</f>
        <v>0.21084917711709567</v>
      </c>
      <c r="Y29" s="442">
        <f t="shared" si="1"/>
        <v>0.74572943690105564</v>
      </c>
    </row>
    <row r="30" spans="1:25" ht="15.75" thickBot="1" x14ac:dyDescent="0.3">
      <c r="A30" s="357" t="s">
        <v>177</v>
      </c>
      <c r="B30" s="355" t="s">
        <v>115</v>
      </c>
      <c r="C30" s="355">
        <v>1050</v>
      </c>
      <c r="D30" s="375">
        <f>'H&amp;D Figures'!I190</f>
        <v>8.8838021847395634</v>
      </c>
      <c r="E30" s="376">
        <f>'H&amp;D Figures'!I191</f>
        <v>0.27306824842327643</v>
      </c>
      <c r="F30" s="375">
        <f>'H&amp;D Figures'!J190</f>
        <v>7.4261978764028163</v>
      </c>
      <c r="G30" s="376">
        <f>'H&amp;D Figures'!J191</f>
        <v>1.2437685195997537</v>
      </c>
      <c r="H30" s="375">
        <f>'H&amp;D Figures'!K190</f>
        <v>23.14394918750077</v>
      </c>
      <c r="I30" s="376">
        <f>'H&amp;D Figures'!K191</f>
        <v>1.0656065787285429</v>
      </c>
      <c r="J30" s="375">
        <f>'H&amp;D Figures'!L190</f>
        <v>5.1809523809523741</v>
      </c>
      <c r="K30" s="376">
        <f>'H&amp;D Figures'!L191</f>
        <v>0.26342272945122502</v>
      </c>
      <c r="M30" s="380" t="s">
        <v>175</v>
      </c>
      <c r="N30" s="333" t="s">
        <v>242</v>
      </c>
      <c r="O30" s="474">
        <f>'H&amp;D Figures'!M88</f>
        <v>0</v>
      </c>
      <c r="P30" s="374">
        <f>'H&amp;D Figures'!M89</f>
        <v>0</v>
      </c>
      <c r="Q30" s="439">
        <f>D15</f>
        <v>2.9849561072089665</v>
      </c>
      <c r="R30" s="372">
        <f>E15</f>
        <v>0.20574864289967304</v>
      </c>
      <c r="S30" s="442">
        <f t="shared" si="2"/>
        <v>2.9849561072089665</v>
      </c>
      <c r="T30" s="439">
        <f>D16</f>
        <v>3.7249283322666846</v>
      </c>
      <c r="U30" s="372">
        <f>E16</f>
        <v>0.52416988979569157</v>
      </c>
      <c r="V30" s="442">
        <f t="shared" si="0"/>
        <v>3.7249283322666846</v>
      </c>
      <c r="W30" s="439">
        <f>D17</f>
        <v>6.7618051984094221</v>
      </c>
      <c r="X30" s="374">
        <f>E17</f>
        <v>0.23107055785032427</v>
      </c>
      <c r="Y30" s="442">
        <f t="shared" si="1"/>
        <v>6.7618051984094221</v>
      </c>
    </row>
    <row r="31" spans="1:25" x14ac:dyDescent="0.25">
      <c r="A31" s="358" t="s">
        <v>172</v>
      </c>
      <c r="B31" s="354" t="s">
        <v>112</v>
      </c>
      <c r="C31" s="354">
        <v>1020</v>
      </c>
      <c r="D31" s="326">
        <f>'H&amp;D Figures'!W141</f>
        <v>3.0717935596197372</v>
      </c>
      <c r="E31" s="329">
        <f>'H&amp;D Figures'!W142</f>
        <v>0.35995431577618103</v>
      </c>
      <c r="F31" s="326">
        <f>'H&amp;D Figures'!X141</f>
        <v>3.3552142141329844</v>
      </c>
      <c r="G31" s="329">
        <f>'H&amp;D Figures'!X142</f>
        <v>0.65466409094044997</v>
      </c>
      <c r="H31" s="326">
        <f>'H&amp;D Figures'!Y141</f>
        <v>9.198438605737838</v>
      </c>
      <c r="I31" s="329">
        <f>'H&amp;D Figures'!Y142</f>
        <v>1.1136477763268133</v>
      </c>
      <c r="J31" s="326">
        <f>'H&amp;D Figures'!Z141</f>
        <v>4.5190476190476172</v>
      </c>
      <c r="K31" s="329">
        <f>'H&amp;D Figures'!Z142</f>
        <v>0.14701617806812325</v>
      </c>
      <c r="M31" s="380" t="s">
        <v>176</v>
      </c>
      <c r="N31" s="446" t="s">
        <v>242</v>
      </c>
      <c r="O31" s="457">
        <f>'H&amp;D Figures'!AA88</f>
        <v>0</v>
      </c>
      <c r="P31" s="447">
        <f>'H&amp;D Figures'!AA89</f>
        <v>0</v>
      </c>
      <c r="Q31" s="457">
        <f>D21</f>
        <v>3.5471114456073338</v>
      </c>
      <c r="R31" s="447">
        <f>E21</f>
        <v>0.29893432173079687</v>
      </c>
      <c r="S31" s="442">
        <f t="shared" si="2"/>
        <v>3.5471114456073338</v>
      </c>
      <c r="T31" s="457">
        <f>D22</f>
        <v>4.5135676918571992</v>
      </c>
      <c r="U31" s="447">
        <f>E22</f>
        <v>0.59157629619205754</v>
      </c>
      <c r="V31" s="442">
        <f t="shared" si="0"/>
        <v>4.5135676918571992</v>
      </c>
      <c r="W31" s="457">
        <f>D23</f>
        <v>5.392296315402656</v>
      </c>
      <c r="X31" s="448">
        <f>E23</f>
        <v>0.74769562923811417</v>
      </c>
      <c r="Y31" s="442">
        <f t="shared" si="1"/>
        <v>5.392296315402656</v>
      </c>
    </row>
    <row r="32" spans="1:25" x14ac:dyDescent="0.25">
      <c r="A32" s="379" t="s">
        <v>172</v>
      </c>
      <c r="B32" s="333" t="s">
        <v>114</v>
      </c>
      <c r="C32" s="333">
        <v>1030</v>
      </c>
      <c r="D32" s="372">
        <f>'H&amp;D Figures'!W161</f>
        <v>4.3738194242352684</v>
      </c>
      <c r="E32" s="374">
        <f>'H&amp;D Figures'!W162</f>
        <v>0.27228914127104126</v>
      </c>
      <c r="F32" s="372">
        <f>'H&amp;D Figures'!X161</f>
        <v>4.4312594907311702</v>
      </c>
      <c r="G32" s="374">
        <f>'H&amp;D Figures'!X162</f>
        <v>0.58026456340925592</v>
      </c>
      <c r="H32" s="372">
        <f>'H&amp;D Figures'!Y161</f>
        <v>12.606238734084959</v>
      </c>
      <c r="I32" s="374">
        <f>'H&amp;D Figures'!Y162</f>
        <v>0.89159567726117717</v>
      </c>
      <c r="J32" s="372">
        <f>'H&amp;D Figures'!Z161</f>
        <v>4.7952380952381004</v>
      </c>
      <c r="K32" s="374">
        <f>'H&amp;D Figures'!Z162</f>
        <v>0.23525287531487432</v>
      </c>
      <c r="M32" s="380" t="s">
        <v>177</v>
      </c>
      <c r="N32" s="333" t="s">
        <v>243</v>
      </c>
      <c r="O32" s="474">
        <f>'H&amp;D Figures'!M150</f>
        <v>0</v>
      </c>
      <c r="P32" s="374">
        <f>'H&amp;D Figures'!M151</f>
        <v>0</v>
      </c>
      <c r="Q32" s="439">
        <f>D28</f>
        <v>4.6289362840442889</v>
      </c>
      <c r="R32" s="372">
        <f>E28</f>
        <v>0.45571605304079865</v>
      </c>
      <c r="S32" s="442">
        <f t="shared" si="2"/>
        <v>4.6289362840442889</v>
      </c>
      <c r="T32" s="439">
        <f>D29</f>
        <v>6.288953034067581</v>
      </c>
      <c r="U32" s="372">
        <f>E29</f>
        <v>0.32876061051786593</v>
      </c>
      <c r="V32" s="442">
        <f t="shared" si="0"/>
        <v>6.288953034067581</v>
      </c>
      <c r="W32" s="439">
        <f>D30</f>
        <v>8.8838021847395634</v>
      </c>
      <c r="X32" s="374">
        <f>E30</f>
        <v>0.27306824842327643</v>
      </c>
      <c r="Y32" s="442">
        <f t="shared" si="1"/>
        <v>8.8838021847395634</v>
      </c>
    </row>
    <row r="33" spans="1:25" ht="15.75" thickBot="1" x14ac:dyDescent="0.3">
      <c r="A33" s="359" t="s">
        <v>172</v>
      </c>
      <c r="B33" s="355" t="s">
        <v>115</v>
      </c>
      <c r="C33" s="355">
        <v>1050</v>
      </c>
      <c r="D33" s="375">
        <f>'H&amp;D Figures'!W181</f>
        <v>8.0862347367546725</v>
      </c>
      <c r="E33" s="376">
        <f>'H&amp;D Figures'!W182</f>
        <v>0.56063222303921878</v>
      </c>
      <c r="F33" s="375">
        <f>'H&amp;D Figures'!X181</f>
        <v>8.2183752916784023</v>
      </c>
      <c r="G33" s="376">
        <f>'H&amp;D Figures'!X182</f>
        <v>0.58096444407647863</v>
      </c>
      <c r="H33" s="375">
        <f>'H&amp;D Figures'!Y181</f>
        <v>22.458657859946907</v>
      </c>
      <c r="I33" s="376">
        <f>'H&amp;D Figures'!Y182</f>
        <v>1.0653264408822385</v>
      </c>
      <c r="J33" s="375">
        <f>'H&amp;D Figures'!Z181</f>
        <v>4.561904761904767</v>
      </c>
      <c r="K33" s="376">
        <f>'H&amp;D Figures'!Z182</f>
        <v>0.41696814490130318</v>
      </c>
      <c r="M33" s="380" t="s">
        <v>178</v>
      </c>
      <c r="N33" s="333" t="s">
        <v>243</v>
      </c>
      <c r="O33" s="474">
        <f>'H&amp;D Figures'!AA150</f>
        <v>0</v>
      </c>
      <c r="P33" s="374">
        <f>'H&amp;D Figures'!AA151</f>
        <v>0</v>
      </c>
      <c r="Q33" s="439">
        <f>D34</f>
        <v>4.7511572108002298</v>
      </c>
      <c r="R33" s="372">
        <f>E34</f>
        <v>0.23046112931968077</v>
      </c>
      <c r="S33" s="442">
        <f t="shared" si="2"/>
        <v>4.7511572108002298</v>
      </c>
      <c r="T33" s="439">
        <f>D35</f>
        <v>6.2327207204680004</v>
      </c>
      <c r="U33" s="372">
        <f>E35</f>
        <v>0.36868720994338317</v>
      </c>
      <c r="V33" s="442">
        <f t="shared" si="0"/>
        <v>6.2327207204680004</v>
      </c>
      <c r="W33" s="439">
        <f>D36</f>
        <v>8.3997042236407147</v>
      </c>
      <c r="X33" s="374">
        <f>E36</f>
        <v>0.2535024856599844</v>
      </c>
      <c r="Y33" s="442">
        <f t="shared" si="1"/>
        <v>8.3997042236407147</v>
      </c>
    </row>
    <row r="34" spans="1:25" ht="15.75" thickBot="1" x14ac:dyDescent="0.3">
      <c r="A34" s="356" t="s">
        <v>178</v>
      </c>
      <c r="B34" s="354" t="s">
        <v>112</v>
      </c>
      <c r="C34" s="354">
        <v>1020</v>
      </c>
      <c r="D34" s="326">
        <f>'H&amp;D Figures'!W150</f>
        <v>4.7511572108002298</v>
      </c>
      <c r="E34" s="329">
        <f>'H&amp;D Figures'!W151</f>
        <v>0.23046112931968077</v>
      </c>
      <c r="F34" s="326">
        <f>'H&amp;D Figures'!X150</f>
        <v>2.7510867855545151</v>
      </c>
      <c r="G34" s="329">
        <f>'H&amp;D Figures'!X151</f>
        <v>0.71233462945549997</v>
      </c>
      <c r="H34" s="326">
        <f>'H&amp;D Figures'!Y150</f>
        <v>11.772083386689458</v>
      </c>
      <c r="I34" s="329">
        <f>'H&amp;D Figures'!Y151</f>
        <v>0.76672824415342689</v>
      </c>
      <c r="J34" s="326">
        <f>'H&amp;D Figures'!Z150</f>
        <v>5.3833333333333355</v>
      </c>
      <c r="K34" s="329">
        <f>'H&amp;D Figures'!Z151</f>
        <v>0.19269050217804848</v>
      </c>
      <c r="M34" s="357" t="s">
        <v>179</v>
      </c>
      <c r="N34" s="355" t="s">
        <v>241</v>
      </c>
      <c r="O34" s="476">
        <f>'H&amp;D Figures'!M212</f>
        <v>0</v>
      </c>
      <c r="P34" s="376">
        <f>'H&amp;D Figures'!M213</f>
        <v>0</v>
      </c>
      <c r="Q34" s="441">
        <f>D41</f>
        <v>5.470639738197896</v>
      </c>
      <c r="R34" s="375">
        <f>E41</f>
        <v>0.4190102854081737</v>
      </c>
      <c r="S34" s="442">
        <f t="shared" si="2"/>
        <v>5.470639738197896</v>
      </c>
      <c r="T34" s="441">
        <f>D42</f>
        <v>6.2803521200023171</v>
      </c>
      <c r="U34" s="375">
        <f>E42</f>
        <v>0.4237301297205972</v>
      </c>
      <c r="V34" s="442">
        <f t="shared" si="0"/>
        <v>6.2803521200023171</v>
      </c>
      <c r="W34" s="441">
        <f>D43</f>
        <v>8.4374725297700426</v>
      </c>
      <c r="X34" s="376">
        <f>E43</f>
        <v>0.31864351909132826</v>
      </c>
      <c r="Y34" s="442">
        <f t="shared" si="1"/>
        <v>8.4374725297700426</v>
      </c>
    </row>
    <row r="35" spans="1:25" x14ac:dyDescent="0.25">
      <c r="A35" s="380" t="s">
        <v>178</v>
      </c>
      <c r="B35" s="333" t="s">
        <v>114</v>
      </c>
      <c r="C35" s="333">
        <v>1030</v>
      </c>
      <c r="D35" s="372">
        <f>'H&amp;D Figures'!W170</f>
        <v>6.2327207204680004</v>
      </c>
      <c r="E35" s="374">
        <f>'H&amp;D Figures'!W171</f>
        <v>0.36868720994338317</v>
      </c>
      <c r="F35" s="372">
        <f>'H&amp;D Figures'!X170</f>
        <v>3.5282147215773216</v>
      </c>
      <c r="G35" s="374">
        <f>'H&amp;D Figures'!X171</f>
        <v>0.54498227086033335</v>
      </c>
      <c r="H35" s="372">
        <f>'H&amp;D Figures'!Y170</f>
        <v>15.178250423266929</v>
      </c>
      <c r="I35" s="374">
        <f>'H&amp;D Figures'!Y171</f>
        <v>0.78805017039380754</v>
      </c>
      <c r="J35" s="372">
        <f>'H&amp;D Figures'!Z170</f>
        <v>5.3071428571428596</v>
      </c>
      <c r="K35" s="374">
        <f>'H&amp;D Figures'!Z171</f>
        <v>0.17020062857773033</v>
      </c>
    </row>
    <row r="36" spans="1:25" ht="15.75" thickBot="1" x14ac:dyDescent="0.3">
      <c r="A36" s="357" t="s">
        <v>178</v>
      </c>
      <c r="B36" s="355" t="s">
        <v>115</v>
      </c>
      <c r="C36" s="355">
        <v>1050</v>
      </c>
      <c r="D36" s="375">
        <f>'H&amp;D Figures'!W190</f>
        <v>8.3997042236407147</v>
      </c>
      <c r="E36" s="376">
        <f>'H&amp;D Figures'!W191</f>
        <v>0.2535024856599844</v>
      </c>
      <c r="F36" s="375">
        <f>'H&amp;D Figures'!X190</f>
        <v>5.4686548826020243</v>
      </c>
      <c r="G36" s="376">
        <f>'H&amp;D Figures'!X191</f>
        <v>0.67905839745268659</v>
      </c>
      <c r="H36" s="375">
        <f>'H&amp;D Figures'!Y190</f>
        <v>20.682812676579282</v>
      </c>
      <c r="I36" s="376">
        <f>'H&amp;D Figures'!Y191</f>
        <v>0.58839729248162687</v>
      </c>
      <c r="J36" s="375">
        <f>'H&amp;D Figures'!Z190</f>
        <v>5.4404761904761916</v>
      </c>
      <c r="K36" s="376">
        <f>'H&amp;D Figures'!Z191</f>
        <v>0.2315121672782717</v>
      </c>
    </row>
    <row r="37" spans="1:25" ht="15.75" thickBot="1" x14ac:dyDescent="0.3"/>
    <row r="38" spans="1:25" x14ac:dyDescent="0.25">
      <c r="A38" s="358" t="s">
        <v>173</v>
      </c>
      <c r="B38" s="354" t="s">
        <v>105</v>
      </c>
      <c r="C38" s="354">
        <v>1020</v>
      </c>
      <c r="D38" s="326">
        <f>'H&amp;D Figures'!I203</f>
        <v>3.7461088975842438</v>
      </c>
      <c r="E38" s="329">
        <f>'H&amp;D Figures'!I204</f>
        <v>0.44720101279079066</v>
      </c>
      <c r="F38" s="326">
        <f>'H&amp;D Figures'!J203</f>
        <v>4.4404295161216174</v>
      </c>
      <c r="G38" s="329">
        <f>'H&amp;D Figures'!J204</f>
        <v>0.25115238009623059</v>
      </c>
      <c r="H38" s="326">
        <f>'H&amp;D Figures'!K203</f>
        <v>11.4629078464676</v>
      </c>
      <c r="I38" s="329">
        <f>'H&amp;D Figures'!K204</f>
        <v>0.95444486506289394</v>
      </c>
      <c r="J38" s="326">
        <f>'H&amp;D Figures'!L203</f>
        <v>4.978571428571426</v>
      </c>
      <c r="K38" s="329">
        <f>'H&amp;D Figures'!L204</f>
        <v>0.21380899352993948</v>
      </c>
    </row>
    <row r="39" spans="1:25" x14ac:dyDescent="0.25">
      <c r="A39" s="379" t="s">
        <v>173</v>
      </c>
      <c r="B39" s="333" t="s">
        <v>106</v>
      </c>
      <c r="C39" s="333">
        <v>1030</v>
      </c>
      <c r="D39" s="372">
        <f>'H&amp;D Figures'!I223</f>
        <v>5.0502740344368346</v>
      </c>
      <c r="E39" s="374">
        <f>'H&amp;D Figures'!I224</f>
        <v>0.56862398140971704</v>
      </c>
      <c r="F39" s="372">
        <f>'H&amp;D Figures'!J223</f>
        <v>5.2581237037050679</v>
      </c>
      <c r="G39" s="374">
        <f>'H&amp;D Figures'!J224</f>
        <v>0.84445344329010186</v>
      </c>
      <c r="H39" s="372">
        <f>'H&amp;D Figures'!K223</f>
        <v>14.57786997359368</v>
      </c>
      <c r="I39" s="374">
        <f>'H&amp;D Figures'!K224</f>
        <v>1.6465938122164232</v>
      </c>
      <c r="J39" s="372">
        <f>'H&amp;D Figures'!L223</f>
        <v>4.8738095238095269</v>
      </c>
      <c r="K39" s="374">
        <f>'H&amp;D Figures'!L224</f>
        <v>0.2606717005156815</v>
      </c>
      <c r="O39" s="92"/>
      <c r="P39" s="92"/>
      <c r="Q39" s="92"/>
      <c r="R39" s="92"/>
      <c r="S39" s="92"/>
      <c r="T39" s="92"/>
    </row>
    <row r="40" spans="1:25" ht="15.75" thickBot="1" x14ac:dyDescent="0.3">
      <c r="A40" s="359" t="s">
        <v>173</v>
      </c>
      <c r="B40" s="355" t="s">
        <v>107</v>
      </c>
      <c r="C40" s="355">
        <v>1050</v>
      </c>
      <c r="D40" s="375">
        <f>'H&amp;D Figures'!I243</f>
        <v>9.5102945231206775</v>
      </c>
      <c r="E40" s="376">
        <f>'H&amp;D Figures'!I244</f>
        <v>0.36461894646030529</v>
      </c>
      <c r="F40" s="375">
        <f>'H&amp;D Figures'!J243</f>
        <v>10.187148427619638</v>
      </c>
      <c r="G40" s="376">
        <f>'H&amp;D Figures'!J244</f>
        <v>0.55047455549444346</v>
      </c>
      <c r="H40" s="375">
        <f>'H&amp;D Figures'!K243</f>
        <v>26.455665832689249</v>
      </c>
      <c r="I40" s="376">
        <f>'H&amp;D Figures'!K244</f>
        <v>0.86036263345270991</v>
      </c>
      <c r="J40" s="375">
        <f>'H&amp;D Figures'!L243</f>
        <v>4.566666666666662</v>
      </c>
      <c r="K40" s="376">
        <f>'H&amp;D Figures'!L244</f>
        <v>0.15456030825825812</v>
      </c>
      <c r="O40" s="92"/>
      <c r="P40" s="92"/>
      <c r="Q40" s="92"/>
      <c r="R40" s="92"/>
      <c r="S40" s="92"/>
      <c r="T40" s="92"/>
    </row>
    <row r="41" spans="1:25" x14ac:dyDescent="0.25">
      <c r="A41" s="356" t="s">
        <v>179</v>
      </c>
      <c r="B41" s="354" t="s">
        <v>105</v>
      </c>
      <c r="C41" s="354">
        <v>1020</v>
      </c>
      <c r="D41" s="326">
        <f>'H&amp;D Figures'!I212</f>
        <v>5.470639738197896</v>
      </c>
      <c r="E41" s="329">
        <f>'H&amp;D Figures'!I213</f>
        <v>0.4190102854081737</v>
      </c>
      <c r="F41" s="326">
        <f>'H&amp;D Figures'!J212</f>
        <v>2.6938030095380503</v>
      </c>
      <c r="G41" s="329">
        <f>'H&amp;D Figures'!J213</f>
        <v>0.40116289071912975</v>
      </c>
      <c r="H41" s="326">
        <f>'H&amp;D Figures'!K212</f>
        <v>13.048569839690115</v>
      </c>
      <c r="I41" s="329">
        <f>'H&amp;D Figures'!K213</f>
        <v>0.73510947870488152</v>
      </c>
      <c r="J41" s="326">
        <f>'H&amp;D Figures'!L212</f>
        <v>5.5190476190476199</v>
      </c>
      <c r="K41" s="329">
        <f>'H&amp;D Figures'!L213</f>
        <v>0.86562055301323604</v>
      </c>
      <c r="O41" s="92"/>
      <c r="P41" s="92"/>
      <c r="Q41" s="92"/>
      <c r="R41" s="92"/>
      <c r="S41" s="92"/>
      <c r="T41" s="92"/>
    </row>
    <row r="42" spans="1:25" x14ac:dyDescent="0.25">
      <c r="A42" s="380" t="s">
        <v>179</v>
      </c>
      <c r="B42" s="333" t="s">
        <v>106</v>
      </c>
      <c r="C42" s="333">
        <v>1030</v>
      </c>
      <c r="D42" s="372">
        <f>'H&amp;D Figures'!I232</f>
        <v>6.2803521200023171</v>
      </c>
      <c r="E42" s="374">
        <f>'H&amp;D Figures'!I233</f>
        <v>0.4237301297205972</v>
      </c>
      <c r="F42" s="372">
        <f>'H&amp;D Figures'!J232</f>
        <v>3.8722250158249936</v>
      </c>
      <c r="G42" s="374">
        <f>'H&amp;D Figures'!J233</f>
        <v>0.37061295027839508</v>
      </c>
      <c r="H42" s="372">
        <f>'H&amp;D Figures'!K232</f>
        <v>15.566653458470258</v>
      </c>
      <c r="I42" s="374">
        <f>'H&amp;D Figures'!K233</f>
        <v>0.73791898047213389</v>
      </c>
      <c r="J42" s="372">
        <f>'H&amp;D Figures'!L232</f>
        <v>5.5690476190476224</v>
      </c>
      <c r="K42" s="374">
        <f>'H&amp;D Figures'!L233</f>
        <v>0.21803596616082394</v>
      </c>
      <c r="O42" s="92"/>
      <c r="P42" s="92"/>
      <c r="Q42" s="92"/>
      <c r="R42" s="92"/>
      <c r="S42" s="92"/>
      <c r="T42" s="92"/>
    </row>
    <row r="43" spans="1:25" ht="15.75" thickBot="1" x14ac:dyDescent="0.3">
      <c r="A43" s="357" t="s">
        <v>179</v>
      </c>
      <c r="B43" s="355" t="s">
        <v>107</v>
      </c>
      <c r="C43" s="355">
        <v>1050</v>
      </c>
      <c r="D43" s="375">
        <f>'H&amp;D Figures'!I252</f>
        <v>8.4374725297700426</v>
      </c>
      <c r="E43" s="376">
        <f>'H&amp;D Figures'!I253</f>
        <v>0.31864351909132826</v>
      </c>
      <c r="F43" s="375">
        <f>'H&amp;D Figures'!J252</f>
        <v>5.4553808563104784</v>
      </c>
      <c r="G43" s="376">
        <f>'H&amp;D Figures'!J253</f>
        <v>1.1340564967286768</v>
      </c>
      <c r="H43" s="375">
        <f>'H&amp;D Figures'!K252</f>
        <v>20.733140527569912</v>
      </c>
      <c r="I43" s="376">
        <f>'H&amp;D Figures'!K253</f>
        <v>1.3038685302215067</v>
      </c>
      <c r="J43" s="375">
        <f>'H&amp;D Figures'!L252</f>
        <v>4.9190476190476193</v>
      </c>
      <c r="K43" s="376">
        <f>'H&amp;D Figures'!L253</f>
        <v>1.7910639443945213</v>
      </c>
      <c r="O43" s="92"/>
      <c r="P43" s="92"/>
      <c r="Q43" s="92"/>
      <c r="R43" s="92"/>
      <c r="S43" s="92"/>
      <c r="T43" s="92"/>
    </row>
    <row r="44" spans="1:25" x14ac:dyDescent="0.25">
      <c r="O44" s="92"/>
      <c r="P44" s="92"/>
      <c r="Q44" s="92"/>
      <c r="R44" s="92"/>
      <c r="S44" s="92"/>
      <c r="T44" s="92"/>
    </row>
    <row r="45" spans="1:25" x14ac:dyDescent="0.25">
      <c r="O45" s="92"/>
      <c r="P45" s="92"/>
      <c r="Q45" s="92"/>
      <c r="R45" s="92"/>
      <c r="S45" s="92"/>
      <c r="T45" s="92"/>
    </row>
    <row r="46" spans="1:25" x14ac:dyDescent="0.25">
      <c r="O46" s="92"/>
      <c r="P46" s="92"/>
      <c r="Q46" s="92"/>
      <c r="R46" s="92"/>
      <c r="S46" s="92"/>
      <c r="T46" s="92"/>
    </row>
    <row r="47" spans="1:25" x14ac:dyDescent="0.25">
      <c r="O47" s="92"/>
      <c r="P47" s="92"/>
      <c r="Q47" s="92"/>
      <c r="R47" s="92"/>
      <c r="S47" s="92"/>
      <c r="T47" s="92"/>
    </row>
    <row r="48" spans="1:25" x14ac:dyDescent="0.25">
      <c r="O48" s="92"/>
      <c r="P48" s="92"/>
      <c r="Q48" s="92"/>
      <c r="R48" s="92"/>
      <c r="S48" s="92"/>
      <c r="T48" s="92"/>
    </row>
    <row r="49" spans="15:20" x14ac:dyDescent="0.25">
      <c r="O49" s="92"/>
      <c r="P49" s="92"/>
      <c r="Q49" s="92"/>
      <c r="R49" s="92"/>
      <c r="S49" s="92"/>
      <c r="T49" s="92"/>
    </row>
    <row r="50" spans="15:20" x14ac:dyDescent="0.25">
      <c r="O50" s="92"/>
      <c r="P50" s="92"/>
      <c r="Q50" s="92"/>
      <c r="R50" s="92"/>
      <c r="S50" s="92"/>
      <c r="T50" s="9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514E-3757-49F3-8B34-5DA0889C0C8A}">
  <dimension ref="A1:AA137"/>
  <sheetViews>
    <sheetView topLeftCell="A71" zoomScale="60" zoomScaleNormal="60" workbookViewId="0">
      <selection activeCell="E93" sqref="E93"/>
    </sheetView>
  </sheetViews>
  <sheetFormatPr defaultColWidth="8.85546875" defaultRowHeight="15" x14ac:dyDescent="0.25"/>
  <cols>
    <col min="1" max="1" width="15.28515625" customWidth="1"/>
    <col min="2" max="3" width="13.7109375" customWidth="1"/>
    <col min="4" max="4" width="13.28515625" customWidth="1"/>
    <col min="5" max="5" width="13" customWidth="1"/>
    <col min="6" max="6" width="13.140625" customWidth="1"/>
    <col min="7" max="7" width="12" customWidth="1"/>
    <col min="8" max="8" width="13.85546875" customWidth="1"/>
    <col min="11" max="11" width="14" customWidth="1"/>
    <col min="12" max="12" width="13.140625" bestFit="1" customWidth="1"/>
    <col min="13" max="13" width="13.7109375" customWidth="1"/>
    <col min="14" max="14" width="15.7109375" customWidth="1"/>
    <col min="15" max="15" width="18" bestFit="1" customWidth="1"/>
    <col min="16" max="16" width="13.7109375" customWidth="1"/>
    <col min="17" max="17" width="15.42578125" bestFit="1" customWidth="1"/>
  </cols>
  <sheetData>
    <row r="1" spans="1:27" ht="19.5" thickBot="1" x14ac:dyDescent="0.35">
      <c r="A1" s="483" t="s">
        <v>245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</row>
    <row r="2" spans="1:27" ht="18" x14ac:dyDescent="0.35">
      <c r="S2" s="100" t="s">
        <v>246</v>
      </c>
      <c r="T2" s="539" t="s">
        <v>247</v>
      </c>
      <c r="U2" s="539"/>
      <c r="V2" s="539"/>
      <c r="W2" s="539"/>
      <c r="X2" s="539"/>
      <c r="Y2" s="539"/>
      <c r="Z2" s="539"/>
      <c r="AA2" s="540"/>
    </row>
    <row r="3" spans="1:27" ht="18" x14ac:dyDescent="0.35">
      <c r="A3" s="9" t="s">
        <v>248</v>
      </c>
      <c r="B3" s="1"/>
      <c r="C3" s="9"/>
      <c r="E3" s="1"/>
      <c r="F3" s="1"/>
      <c r="G3" s="1"/>
      <c r="S3" s="101" t="s">
        <v>249</v>
      </c>
      <c r="T3" s="541" t="s">
        <v>250</v>
      </c>
      <c r="U3" s="541"/>
      <c r="V3" s="541"/>
      <c r="W3" s="541"/>
      <c r="X3" s="541"/>
      <c r="Y3" s="541"/>
      <c r="Z3" s="541"/>
      <c r="AA3" s="542"/>
    </row>
    <row r="4" spans="1:27" ht="18" x14ac:dyDescent="0.35">
      <c r="A4" s="9" t="s">
        <v>57</v>
      </c>
      <c r="B4" s="9"/>
      <c r="C4" s="9"/>
      <c r="D4" s="2"/>
      <c r="E4" s="2"/>
      <c r="F4" s="2"/>
      <c r="G4" s="2"/>
      <c r="L4" s="102" t="s">
        <v>251</v>
      </c>
      <c r="M4" s="543" t="s">
        <v>252</v>
      </c>
      <c r="N4" s="543"/>
      <c r="O4" s="543"/>
      <c r="P4" s="543"/>
      <c r="Q4" s="543"/>
      <c r="S4" s="101" t="s">
        <v>253</v>
      </c>
      <c r="T4" s="541" t="s">
        <v>254</v>
      </c>
      <c r="U4" s="541"/>
      <c r="V4" s="541"/>
      <c r="W4" s="541"/>
      <c r="X4" s="541"/>
      <c r="Y4" s="541"/>
      <c r="Z4" s="541"/>
      <c r="AA4" s="542"/>
    </row>
    <row r="5" spans="1:27" x14ac:dyDescent="0.25">
      <c r="A5" s="9" t="s">
        <v>58</v>
      </c>
      <c r="B5" s="9"/>
      <c r="C5" s="9"/>
      <c r="D5" s="1"/>
      <c r="E5" s="1"/>
      <c r="F5" s="1"/>
      <c r="G5" s="1"/>
      <c r="L5" s="103" t="s">
        <v>255</v>
      </c>
      <c r="M5" s="543" t="s">
        <v>256</v>
      </c>
      <c r="N5" s="543"/>
      <c r="O5" s="543"/>
      <c r="P5" s="543"/>
      <c r="Q5" s="543"/>
      <c r="S5" s="101" t="s">
        <v>257</v>
      </c>
      <c r="T5" s="541" t="s">
        <v>258</v>
      </c>
      <c r="U5" s="541"/>
      <c r="V5" s="541"/>
      <c r="W5" s="541"/>
      <c r="X5" s="541"/>
      <c r="Y5" s="541"/>
      <c r="Z5" s="541"/>
      <c r="AA5" s="542"/>
    </row>
    <row r="6" spans="1:27" ht="18" x14ac:dyDescent="0.35">
      <c r="S6" s="101" t="s">
        <v>259</v>
      </c>
      <c r="T6" s="541" t="s">
        <v>260</v>
      </c>
      <c r="U6" s="541"/>
      <c r="V6" s="541"/>
      <c r="W6" s="541"/>
      <c r="X6" s="541"/>
      <c r="Y6" s="541"/>
      <c r="Z6" s="541"/>
      <c r="AA6" s="542"/>
    </row>
    <row r="7" spans="1:27" ht="18" x14ac:dyDescent="0.35">
      <c r="S7" s="101" t="s">
        <v>261</v>
      </c>
      <c r="T7" s="541" t="s">
        <v>262</v>
      </c>
      <c r="U7" s="541"/>
      <c r="V7" s="541"/>
      <c r="W7" s="541"/>
      <c r="X7" s="541"/>
      <c r="Y7" s="541"/>
      <c r="Z7" s="541"/>
      <c r="AA7" s="542"/>
    </row>
    <row r="8" spans="1:27" ht="18.75" thickBot="1" x14ac:dyDescent="0.4">
      <c r="S8" s="101" t="s">
        <v>263</v>
      </c>
      <c r="T8" s="541" t="s">
        <v>264</v>
      </c>
      <c r="U8" s="541"/>
      <c r="V8" s="541"/>
      <c r="W8" s="541"/>
      <c r="X8" s="541"/>
      <c r="Y8" s="541"/>
      <c r="Z8" s="541"/>
      <c r="AA8" s="542"/>
    </row>
    <row r="9" spans="1:27" ht="18" x14ac:dyDescent="0.35">
      <c r="H9" s="9"/>
      <c r="K9" s="100" t="s">
        <v>265</v>
      </c>
      <c r="L9" s="104">
        <v>20</v>
      </c>
      <c r="M9" s="105"/>
      <c r="S9" s="101" t="s">
        <v>266</v>
      </c>
      <c r="T9" s="541" t="s">
        <v>267</v>
      </c>
      <c r="U9" s="541"/>
      <c r="V9" s="541"/>
      <c r="W9" s="541"/>
      <c r="X9" s="541"/>
      <c r="Y9" s="541"/>
      <c r="Z9" s="541"/>
      <c r="AA9" s="542"/>
    </row>
    <row r="10" spans="1:27" ht="18.75" thickBot="1" x14ac:dyDescent="0.4">
      <c r="K10" s="106" t="s">
        <v>268</v>
      </c>
      <c r="L10" s="107">
        <v>998.2</v>
      </c>
      <c r="S10" s="101" t="s">
        <v>269</v>
      </c>
      <c r="T10" s="541" t="s">
        <v>270</v>
      </c>
      <c r="U10" s="541"/>
      <c r="V10" s="541"/>
      <c r="W10" s="541"/>
      <c r="X10" s="541"/>
      <c r="Y10" s="541"/>
      <c r="Z10" s="541"/>
      <c r="AA10" s="542"/>
    </row>
    <row r="11" spans="1:27" ht="18.75" thickBot="1" x14ac:dyDescent="0.4">
      <c r="S11" s="106" t="s">
        <v>271</v>
      </c>
      <c r="T11" s="537" t="s">
        <v>272</v>
      </c>
      <c r="U11" s="537"/>
      <c r="V11" s="537"/>
      <c r="W11" s="537"/>
      <c r="X11" s="537"/>
      <c r="Y11" s="537"/>
      <c r="Z11" s="537"/>
      <c r="AA11" s="538"/>
    </row>
    <row r="12" spans="1:27" ht="20.25" customHeight="1" x14ac:dyDescent="0.25">
      <c r="A12" s="108" t="s">
        <v>273</v>
      </c>
      <c r="B12" s="148" t="s">
        <v>274</v>
      </c>
      <c r="C12" s="334" t="s">
        <v>275</v>
      </c>
      <c r="D12" s="338" t="s">
        <v>6</v>
      </c>
      <c r="E12" s="109" t="s">
        <v>276</v>
      </c>
      <c r="F12" s="109" t="s">
        <v>277</v>
      </c>
      <c r="G12" s="109" t="s">
        <v>278</v>
      </c>
      <c r="H12" s="109" t="s">
        <v>276</v>
      </c>
      <c r="I12" s="109" t="s">
        <v>277</v>
      </c>
      <c r="J12" s="109" t="s">
        <v>278</v>
      </c>
      <c r="K12" s="109" t="s">
        <v>279</v>
      </c>
      <c r="L12" s="109" t="s">
        <v>280</v>
      </c>
      <c r="M12" s="109" t="s">
        <v>281</v>
      </c>
      <c r="N12" s="109" t="s">
        <v>282</v>
      </c>
      <c r="O12" s="109" t="s">
        <v>283</v>
      </c>
      <c r="P12" s="109" t="s">
        <v>284</v>
      </c>
      <c r="Q12" s="109" t="s">
        <v>285</v>
      </c>
      <c r="R12" s="110" t="s">
        <v>286</v>
      </c>
    </row>
    <row r="13" spans="1:27" ht="20.25" customHeight="1" thickBot="1" x14ac:dyDescent="0.3">
      <c r="A13" s="111"/>
      <c r="B13" s="149"/>
      <c r="C13" s="335"/>
      <c r="D13" s="339"/>
      <c r="E13" s="340" t="s">
        <v>120</v>
      </c>
      <c r="F13" s="340" t="s">
        <v>120</v>
      </c>
      <c r="G13" s="340" t="s">
        <v>120</v>
      </c>
      <c r="H13" s="340" t="s">
        <v>28</v>
      </c>
      <c r="I13" s="340" t="s">
        <v>28</v>
      </c>
      <c r="J13" s="340" t="s">
        <v>28</v>
      </c>
      <c r="K13" s="340" t="s">
        <v>287</v>
      </c>
      <c r="L13" s="340" t="s">
        <v>287</v>
      </c>
      <c r="M13" s="340" t="s">
        <v>288</v>
      </c>
      <c r="N13" s="340" t="s">
        <v>289</v>
      </c>
      <c r="O13" s="340" t="s">
        <v>289</v>
      </c>
      <c r="P13" s="340" t="s">
        <v>289</v>
      </c>
      <c r="Q13" s="340" t="s">
        <v>290</v>
      </c>
      <c r="R13" s="341" t="s">
        <v>291</v>
      </c>
    </row>
    <row r="14" spans="1:27" x14ac:dyDescent="0.25">
      <c r="A14" s="529" t="s">
        <v>292</v>
      </c>
      <c r="B14" s="532" t="s">
        <v>134</v>
      </c>
      <c r="C14" s="534" t="s">
        <v>1</v>
      </c>
      <c r="D14" s="113" t="s">
        <v>135</v>
      </c>
      <c r="E14" s="87">
        <f>'Water and Burning'!F9</f>
        <v>2.8395000000000001</v>
      </c>
      <c r="F14" s="87">
        <v>3.3639999999999999</v>
      </c>
      <c r="G14" s="87">
        <v>1.8029999999999999</v>
      </c>
      <c r="H14" s="22">
        <f t="shared" ref="H14:H31" si="0">E14*10^(-3)</f>
        <v>2.8395E-3</v>
      </c>
      <c r="I14" s="22">
        <f t="shared" ref="I14:I31" si="1">F14*10^(-3)</f>
        <v>3.3639999999999998E-3</v>
      </c>
      <c r="J14" s="22">
        <f t="shared" ref="J14:J31" si="2">G14*10^(-3)</f>
        <v>1.8029999999999999E-3</v>
      </c>
      <c r="K14" s="453">
        <f>(I14-J14)/$L$10</f>
        <v>1.5638148667601681E-6</v>
      </c>
      <c r="L14" s="453">
        <f>(I14-H14)/$L$10</f>
        <v>5.2544580244439965E-7</v>
      </c>
      <c r="M14" s="323">
        <f>(L14/K14)</f>
        <v>0.33600256245996141</v>
      </c>
      <c r="N14" s="326">
        <f>H14/K14</f>
        <v>1815.75201793722</v>
      </c>
      <c r="O14" s="326">
        <f>H14/(K14-L14)</f>
        <v>2734.5768451519534</v>
      </c>
      <c r="P14" s="326">
        <f>I14/K14</f>
        <v>2151.1497757847533</v>
      </c>
      <c r="Q14" s="385">
        <f>(I14-H14)/H14</f>
        <v>0.18471561894699765</v>
      </c>
      <c r="R14" s="382">
        <f>L14/K14</f>
        <v>0.33600256245996141</v>
      </c>
    </row>
    <row r="15" spans="1:27" x14ac:dyDescent="0.25">
      <c r="A15" s="530"/>
      <c r="B15" s="530"/>
      <c r="C15" s="535"/>
      <c r="D15" s="114" t="s">
        <v>136</v>
      </c>
      <c r="E15" s="151">
        <f>'Water and Burning'!F10</f>
        <v>2.9005999999999998</v>
      </c>
      <c r="F15" s="151">
        <v>3.4329999999999998</v>
      </c>
      <c r="G15" s="151">
        <v>1.841</v>
      </c>
      <c r="H15" s="25">
        <f t="shared" si="0"/>
        <v>2.9005999999999997E-3</v>
      </c>
      <c r="I15" s="25">
        <f t="shared" si="1"/>
        <v>3.4329999999999999E-3</v>
      </c>
      <c r="J15" s="25">
        <f t="shared" si="2"/>
        <v>1.841E-3</v>
      </c>
      <c r="K15" s="454">
        <f>(I15-J15)/$L$10</f>
        <v>1.5948707673812861E-6</v>
      </c>
      <c r="L15" s="454">
        <f>(I15-H15)/$L$10</f>
        <v>5.3336004808655594E-7</v>
      </c>
      <c r="M15" s="324">
        <f>(L15/K15)</f>
        <v>0.33442211055276394</v>
      </c>
      <c r="N15" s="327">
        <f>H15/K15</f>
        <v>1818.705351758794</v>
      </c>
      <c r="O15" s="327">
        <f>H15/(K15-L15)</f>
        <v>2732.5206870517181</v>
      </c>
      <c r="P15" s="327">
        <f>I15/K15</f>
        <v>2152.525502512563</v>
      </c>
      <c r="Q15" s="386">
        <f>(I15-H15)/H15</f>
        <v>0.1835482314004</v>
      </c>
      <c r="R15" s="383">
        <f>L15/K15</f>
        <v>0.33442211055276394</v>
      </c>
    </row>
    <row r="16" spans="1:27" ht="15.75" thickBot="1" x14ac:dyDescent="0.3">
      <c r="A16" s="530"/>
      <c r="B16" s="531"/>
      <c r="C16" s="535"/>
      <c r="D16" s="115" t="s">
        <v>137</v>
      </c>
      <c r="E16" s="152">
        <f>'Water and Burning'!F11</f>
        <v>2.8620999999999999</v>
      </c>
      <c r="F16" s="152">
        <v>3.3879999999999999</v>
      </c>
      <c r="G16" s="152">
        <v>1.819</v>
      </c>
      <c r="H16" s="58">
        <f t="shared" si="0"/>
        <v>2.8620999999999998E-3</v>
      </c>
      <c r="I16" s="58">
        <f t="shared" si="1"/>
        <v>3.388E-3</v>
      </c>
      <c r="J16" s="58">
        <f t="shared" si="2"/>
        <v>1.8190000000000001E-3</v>
      </c>
      <c r="K16" s="455">
        <f>(I16-J16)/$L$10</f>
        <v>1.5718292927269083E-6</v>
      </c>
      <c r="L16" s="455">
        <f>(I16-H16)/$L$10</f>
        <v>5.2684832698857962E-7</v>
      </c>
      <c r="M16" s="325">
        <f>(L16/K16)</f>
        <v>0.33518164435946474</v>
      </c>
      <c r="N16" s="328">
        <f>H16/K16</f>
        <v>1820.8720331421287</v>
      </c>
      <c r="O16" s="328">
        <f>H16/(K16-L16)</f>
        <v>2738.9015626497949</v>
      </c>
      <c r="P16" s="328">
        <f>I16/K16</f>
        <v>2155.4503505417465</v>
      </c>
      <c r="Q16" s="387">
        <f>(I16-H16)/H16</f>
        <v>0.18374620034240599</v>
      </c>
      <c r="R16" s="384">
        <f>L16/K16</f>
        <v>0.33518164435946474</v>
      </c>
    </row>
    <row r="17" spans="1:19" x14ac:dyDescent="0.25">
      <c r="A17" s="530"/>
      <c r="B17" s="532" t="s">
        <v>20</v>
      </c>
      <c r="C17" s="535"/>
      <c r="D17" s="113" t="s">
        <v>135</v>
      </c>
      <c r="E17" s="87">
        <f>'Water and Burning'!F16</f>
        <v>3.0929000000000002</v>
      </c>
      <c r="F17" s="87">
        <v>3.5590000000000002</v>
      </c>
      <c r="G17" s="87">
        <v>1.9259999999999999</v>
      </c>
      <c r="H17" s="22">
        <f t="shared" si="0"/>
        <v>3.0929000000000004E-3</v>
      </c>
      <c r="I17" s="22">
        <f t="shared" si="1"/>
        <v>3.5590000000000001E-3</v>
      </c>
      <c r="J17" s="22">
        <f t="shared" si="2"/>
        <v>1.926E-3</v>
      </c>
      <c r="K17" s="453">
        <f t="shared" ref="K17:K31" si="3">(I17-J17)/$L$10</f>
        <v>1.6359447004608296E-6</v>
      </c>
      <c r="L17" s="453">
        <f t="shared" ref="L17:L31" si="4">(I17-H17)/$L$10</f>
        <v>4.6694049288719661E-7</v>
      </c>
      <c r="M17" s="323">
        <f t="shared" ref="M17:M25" si="5">(L17/K17)</f>
        <v>0.28542559706062437</v>
      </c>
      <c r="N17" s="326">
        <f t="shared" ref="N17:N31" si="6">H17/K17</f>
        <v>1890.5895774647888</v>
      </c>
      <c r="O17" s="326">
        <f t="shared" ref="O17:O31" si="7">H17/(K17-L17)</f>
        <v>2645.7560887822428</v>
      </c>
      <c r="P17" s="326">
        <f t="shared" ref="P17:P31" si="8">I17/K17</f>
        <v>2175.5014084507043</v>
      </c>
      <c r="Q17" s="385">
        <f t="shared" ref="Q17:Q26" si="9">(I17-H17)/H17</f>
        <v>0.15069999030036524</v>
      </c>
      <c r="R17" s="382">
        <f t="shared" ref="R17:R31" si="10">L17/K17</f>
        <v>0.28542559706062437</v>
      </c>
    </row>
    <row r="18" spans="1:19" x14ac:dyDescent="0.25">
      <c r="A18" s="530"/>
      <c r="B18" s="530"/>
      <c r="C18" s="535"/>
      <c r="D18" s="114" t="s">
        <v>136</v>
      </c>
      <c r="E18" s="151">
        <f>'Water and Burning'!F17</f>
        <v>3.0729000000000002</v>
      </c>
      <c r="F18" s="151">
        <v>3.5379999999999998</v>
      </c>
      <c r="G18" s="151">
        <v>1.9139999999999999</v>
      </c>
      <c r="H18" s="25">
        <f t="shared" si="0"/>
        <v>3.0729000000000004E-3</v>
      </c>
      <c r="I18" s="25">
        <f t="shared" si="1"/>
        <v>3.5379999999999999E-3</v>
      </c>
      <c r="J18" s="25">
        <f t="shared" si="2"/>
        <v>1.9139999999999999E-3</v>
      </c>
      <c r="K18" s="454">
        <f t="shared" si="3"/>
        <v>1.6269284712482468E-6</v>
      </c>
      <c r="L18" s="454">
        <f t="shared" si="4"/>
        <v>4.6593868964135398E-7</v>
      </c>
      <c r="M18" s="324">
        <f t="shared" si="5"/>
        <v>0.28639162561576326</v>
      </c>
      <c r="N18" s="327">
        <f t="shared" si="6"/>
        <v>1888.7738793103451</v>
      </c>
      <c r="O18" s="327">
        <f t="shared" si="7"/>
        <v>2646.7933212529115</v>
      </c>
      <c r="P18" s="327">
        <f t="shared" si="8"/>
        <v>2174.65</v>
      </c>
      <c r="Q18" s="386">
        <f t="shared" si="9"/>
        <v>0.15135539718181507</v>
      </c>
      <c r="R18" s="383">
        <f t="shared" si="10"/>
        <v>0.28639162561576326</v>
      </c>
    </row>
    <row r="19" spans="1:19" ht="15.75" thickBot="1" x14ac:dyDescent="0.3">
      <c r="A19" s="533"/>
      <c r="B19" s="531"/>
      <c r="C19" s="535"/>
      <c r="D19" s="115" t="s">
        <v>137</v>
      </c>
      <c r="E19" s="152">
        <f>'Water and Burning'!F18</f>
        <v>3.1374</v>
      </c>
      <c r="F19" s="152">
        <v>3.6059999999999999</v>
      </c>
      <c r="G19" s="152">
        <v>1.954</v>
      </c>
      <c r="H19" s="58">
        <f t="shared" si="0"/>
        <v>3.1373999999999998E-3</v>
      </c>
      <c r="I19" s="58">
        <f t="shared" si="1"/>
        <v>3.6059999999999998E-3</v>
      </c>
      <c r="J19" s="58">
        <f t="shared" si="2"/>
        <v>1.954E-3</v>
      </c>
      <c r="K19" s="455">
        <f t="shared" si="3"/>
        <v>1.654978962131837E-6</v>
      </c>
      <c r="L19" s="455">
        <f t="shared" si="4"/>
        <v>4.6944500100180321E-7</v>
      </c>
      <c r="M19" s="325">
        <f t="shared" si="5"/>
        <v>0.28365617433414048</v>
      </c>
      <c r="N19" s="328">
        <f t="shared" si="6"/>
        <v>1895.7340677966104</v>
      </c>
      <c r="O19" s="328">
        <f t="shared" si="7"/>
        <v>2646.4024674666221</v>
      </c>
      <c r="P19" s="328">
        <f t="shared" si="8"/>
        <v>2178.8796610169493</v>
      </c>
      <c r="Q19" s="387">
        <f>(I19-H19)/H19</f>
        <v>0.14935934213042648</v>
      </c>
      <c r="R19" s="384">
        <f t="shared" si="10"/>
        <v>0.28365617433414048</v>
      </c>
      <c r="S19" s="116"/>
    </row>
    <row r="20" spans="1:19" x14ac:dyDescent="0.25">
      <c r="A20" s="529" t="s">
        <v>293</v>
      </c>
      <c r="B20" s="532" t="s">
        <v>134</v>
      </c>
      <c r="C20" s="535"/>
      <c r="D20" s="113" t="s">
        <v>135</v>
      </c>
      <c r="E20" s="87">
        <f>'Water and Burning'!F25</f>
        <v>2.8712</v>
      </c>
      <c r="F20" s="87">
        <v>3.3980000000000001</v>
      </c>
      <c r="G20" s="87">
        <v>1.821</v>
      </c>
      <c r="H20" s="22">
        <f t="shared" si="0"/>
        <v>2.8712E-3</v>
      </c>
      <c r="I20" s="22">
        <f t="shared" si="1"/>
        <v>3.3980000000000004E-3</v>
      </c>
      <c r="J20" s="22">
        <f t="shared" si="2"/>
        <v>1.8209999999999999E-3</v>
      </c>
      <c r="K20" s="453">
        <f t="shared" si="3"/>
        <v>1.5798437186936489E-6</v>
      </c>
      <c r="L20" s="453">
        <f t="shared" si="4"/>
        <v>5.2774994990983808E-7</v>
      </c>
      <c r="M20" s="323">
        <f t="shared" si="5"/>
        <v>0.33405199746353853</v>
      </c>
      <c r="N20" s="326">
        <f t="shared" si="6"/>
        <v>1817.394952441344</v>
      </c>
      <c r="O20" s="326">
        <f t="shared" si="7"/>
        <v>2729.0343172729008</v>
      </c>
      <c r="P20" s="326">
        <f t="shared" si="8"/>
        <v>2150.8456563094483</v>
      </c>
      <c r="Q20" s="385">
        <f t="shared" si="9"/>
        <v>0.18347729172471455</v>
      </c>
      <c r="R20" s="382">
        <f t="shared" si="10"/>
        <v>0.33405199746353853</v>
      </c>
      <c r="S20" s="116"/>
    </row>
    <row r="21" spans="1:19" x14ac:dyDescent="0.25">
      <c r="A21" s="530"/>
      <c r="B21" s="530"/>
      <c r="C21" s="535"/>
      <c r="D21" s="114" t="s">
        <v>136</v>
      </c>
      <c r="E21" s="151">
        <f>'Water and Burning'!F26</f>
        <v>2.8812000000000002</v>
      </c>
      <c r="F21" s="151">
        <v>3.407</v>
      </c>
      <c r="G21" s="151">
        <v>1.8260000000000001</v>
      </c>
      <c r="H21" s="25">
        <f t="shared" si="0"/>
        <v>2.8812000000000004E-3</v>
      </c>
      <c r="I21" s="25">
        <f t="shared" si="1"/>
        <v>3.4070000000000003E-3</v>
      </c>
      <c r="J21" s="25">
        <f t="shared" si="2"/>
        <v>1.8260000000000001E-3</v>
      </c>
      <c r="K21" s="454">
        <f t="shared" si="3"/>
        <v>1.5838509316770188E-6</v>
      </c>
      <c r="L21" s="454">
        <f t="shared" si="4"/>
        <v>5.2674814666399508E-7</v>
      </c>
      <c r="M21" s="324">
        <f t="shared" si="5"/>
        <v>0.33257432005060078</v>
      </c>
      <c r="N21" s="327">
        <f t="shared" si="6"/>
        <v>1819.1105882352942</v>
      </c>
      <c r="O21" s="327">
        <f t="shared" si="7"/>
        <v>2725.5627748294155</v>
      </c>
      <c r="P21" s="327">
        <f t="shared" si="8"/>
        <v>2151.0862745098038</v>
      </c>
      <c r="Q21" s="386">
        <f t="shared" si="9"/>
        <v>0.18249340552547544</v>
      </c>
      <c r="R21" s="383">
        <f t="shared" si="10"/>
        <v>0.33257432005060078</v>
      </c>
      <c r="S21" s="116"/>
    </row>
    <row r="22" spans="1:19" ht="15.75" thickBot="1" x14ac:dyDescent="0.3">
      <c r="A22" s="530"/>
      <c r="B22" s="531"/>
      <c r="C22" s="535"/>
      <c r="D22" s="115" t="s">
        <v>137</v>
      </c>
      <c r="E22" s="152">
        <f>'Water and Burning'!F27</f>
        <v>2.8210999999999999</v>
      </c>
      <c r="F22" s="152">
        <v>3.3380000000000001</v>
      </c>
      <c r="G22" s="152">
        <v>1.788</v>
      </c>
      <c r="H22" s="58">
        <f t="shared" si="0"/>
        <v>2.8211E-3</v>
      </c>
      <c r="I22" s="58">
        <f t="shared" si="1"/>
        <v>3.3380000000000003E-3</v>
      </c>
      <c r="J22" s="58">
        <f t="shared" si="2"/>
        <v>1.7880000000000001E-3</v>
      </c>
      <c r="K22" s="455">
        <f t="shared" si="3"/>
        <v>1.5527950310559006E-6</v>
      </c>
      <c r="L22" s="455">
        <f t="shared" si="4"/>
        <v>5.1783209777599707E-7</v>
      </c>
      <c r="M22" s="325">
        <f t="shared" si="5"/>
        <v>0.33348387096774212</v>
      </c>
      <c r="N22" s="328">
        <f t="shared" si="6"/>
        <v>1816.7883999999999</v>
      </c>
      <c r="O22" s="328">
        <f t="shared" si="7"/>
        <v>2725.798102797406</v>
      </c>
      <c r="P22" s="328">
        <f t="shared" si="8"/>
        <v>2149.672</v>
      </c>
      <c r="Q22" s="387">
        <f t="shared" si="9"/>
        <v>0.18322640104923621</v>
      </c>
      <c r="R22" s="384">
        <f t="shared" si="10"/>
        <v>0.33348387096774212</v>
      </c>
      <c r="S22" s="117"/>
    </row>
    <row r="23" spans="1:19" x14ac:dyDescent="0.25">
      <c r="A23" s="530"/>
      <c r="B23" s="532" t="s">
        <v>20</v>
      </c>
      <c r="C23" s="535"/>
      <c r="D23" s="113" t="s">
        <v>135</v>
      </c>
      <c r="E23" s="87">
        <f>'Water and Burning'!F32</f>
        <v>3.1271</v>
      </c>
      <c r="F23" s="87">
        <v>3.6019999999999999</v>
      </c>
      <c r="G23" s="87">
        <v>1.9430000000000001</v>
      </c>
      <c r="H23" s="22">
        <f t="shared" si="0"/>
        <v>3.1270999999999998E-3</v>
      </c>
      <c r="I23" s="22">
        <f t="shared" si="1"/>
        <v>3.6019999999999997E-3</v>
      </c>
      <c r="J23" s="22">
        <f t="shared" si="2"/>
        <v>1.9430000000000001E-3</v>
      </c>
      <c r="K23" s="453">
        <f t="shared" si="3"/>
        <v>1.6619915848527344E-6</v>
      </c>
      <c r="L23" s="453">
        <f t="shared" si="4"/>
        <v>4.7575636145061094E-7</v>
      </c>
      <c r="M23" s="323">
        <f t="shared" si="5"/>
        <v>0.28625678119349002</v>
      </c>
      <c r="N23" s="326">
        <f t="shared" si="6"/>
        <v>1881.5378059071734</v>
      </c>
      <c r="O23" s="326">
        <f t="shared" si="7"/>
        <v>2636.1550713622164</v>
      </c>
      <c r="P23" s="326">
        <f t="shared" si="8"/>
        <v>2167.2793248945154</v>
      </c>
      <c r="Q23" s="385">
        <f t="shared" si="9"/>
        <v>0.15186594608423137</v>
      </c>
      <c r="R23" s="382">
        <f t="shared" si="10"/>
        <v>0.28625678119349002</v>
      </c>
      <c r="S23" s="117"/>
    </row>
    <row r="24" spans="1:19" x14ac:dyDescent="0.25">
      <c r="A24" s="530"/>
      <c r="B24" s="530"/>
      <c r="C24" s="535"/>
      <c r="D24" s="114" t="s">
        <v>136</v>
      </c>
      <c r="E24" s="151">
        <f>'Water and Burning'!F33</f>
        <v>3.1320000000000001</v>
      </c>
      <c r="F24" s="151">
        <v>3.605</v>
      </c>
      <c r="G24" s="151">
        <v>1.946</v>
      </c>
      <c r="H24" s="25">
        <f t="shared" si="0"/>
        <v>3.1320000000000002E-3</v>
      </c>
      <c r="I24" s="25">
        <f t="shared" si="1"/>
        <v>3.6050000000000001E-3</v>
      </c>
      <c r="J24" s="25">
        <f t="shared" si="2"/>
        <v>1.946E-3</v>
      </c>
      <c r="K24" s="454">
        <f t="shared" si="3"/>
        <v>1.6619915848527349E-6</v>
      </c>
      <c r="L24" s="454">
        <f t="shared" si="4"/>
        <v>4.7385293528351022E-7</v>
      </c>
      <c r="M24" s="324">
        <f t="shared" si="5"/>
        <v>0.28511151295961418</v>
      </c>
      <c r="N24" s="327">
        <f t="shared" si="6"/>
        <v>1884.4860759493672</v>
      </c>
      <c r="O24" s="327">
        <f t="shared" si="7"/>
        <v>2636.055986509275</v>
      </c>
      <c r="P24" s="327">
        <f t="shared" si="8"/>
        <v>2169.084388185654</v>
      </c>
      <c r="Q24" s="386">
        <f>(I24-H24)/H24</f>
        <v>0.15102171136653891</v>
      </c>
      <c r="R24" s="383">
        <f t="shared" si="10"/>
        <v>0.28511151295961418</v>
      </c>
      <c r="S24" s="117"/>
    </row>
    <row r="25" spans="1:19" ht="15.75" thickBot="1" x14ac:dyDescent="0.3">
      <c r="A25" s="533"/>
      <c r="B25" s="531"/>
      <c r="C25" s="535"/>
      <c r="D25" s="115" t="s">
        <v>137</v>
      </c>
      <c r="E25" s="152">
        <f>'Water and Burning'!F34</f>
        <v>3.0438999999999998</v>
      </c>
      <c r="F25" s="152">
        <v>3.49</v>
      </c>
      <c r="G25" s="152">
        <v>1.8919999999999999</v>
      </c>
      <c r="H25" s="58">
        <f t="shared" si="0"/>
        <v>3.0439E-3</v>
      </c>
      <c r="I25" s="58">
        <f t="shared" si="1"/>
        <v>3.4900000000000005E-3</v>
      </c>
      <c r="J25" s="58">
        <f t="shared" si="2"/>
        <v>1.892E-3</v>
      </c>
      <c r="K25" s="455">
        <f t="shared" si="3"/>
        <v>1.6008815868563417E-6</v>
      </c>
      <c r="L25" s="455">
        <f t="shared" si="4"/>
        <v>4.469044279703471E-7</v>
      </c>
      <c r="M25" s="325">
        <f t="shared" si="5"/>
        <v>0.2791614518147687</v>
      </c>
      <c r="N25" s="328">
        <f t="shared" si="6"/>
        <v>1901.3898498122649</v>
      </c>
      <c r="O25" s="328">
        <f t="shared" si="7"/>
        <v>2637.7471829151841</v>
      </c>
      <c r="P25" s="328">
        <f t="shared" si="8"/>
        <v>2180.0488110137671</v>
      </c>
      <c r="Q25" s="387">
        <f t="shared" si="9"/>
        <v>0.14655540589375488</v>
      </c>
      <c r="R25" s="384">
        <f t="shared" si="10"/>
        <v>0.2791614518147687</v>
      </c>
    </row>
    <row r="26" spans="1:19" x14ac:dyDescent="0.25">
      <c r="A26" s="529" t="s">
        <v>294</v>
      </c>
      <c r="B26" s="532" t="s">
        <v>134</v>
      </c>
      <c r="C26" s="535"/>
      <c r="D26" s="113" t="s">
        <v>135</v>
      </c>
      <c r="E26" s="87">
        <f>'Water and Burning'!F41</f>
        <v>2.8365</v>
      </c>
      <c r="F26" s="87">
        <v>3.3319999999999999</v>
      </c>
      <c r="G26" s="87">
        <v>1.7989999999999999</v>
      </c>
      <c r="H26" s="22">
        <f t="shared" si="0"/>
        <v>2.8365E-3</v>
      </c>
      <c r="I26" s="22">
        <f t="shared" si="1"/>
        <v>3.3319999999999999E-3</v>
      </c>
      <c r="J26" s="22">
        <f t="shared" si="2"/>
        <v>1.799E-3</v>
      </c>
      <c r="K26" s="453">
        <f t="shared" si="3"/>
        <v>1.5357643758765777E-6</v>
      </c>
      <c r="L26" s="453">
        <f t="shared" si="4"/>
        <v>4.9639350831496675E-7</v>
      </c>
      <c r="M26" s="323">
        <f>(L26/K26)</f>
        <v>0.32322243966079572</v>
      </c>
      <c r="N26" s="326">
        <f t="shared" si="6"/>
        <v>1846.9630136986304</v>
      </c>
      <c r="O26" s="326">
        <f t="shared" si="7"/>
        <v>2729.0547469879521</v>
      </c>
      <c r="P26" s="326">
        <f t="shared" si="8"/>
        <v>2169.6036529680368</v>
      </c>
      <c r="Q26" s="385">
        <f t="shared" si="9"/>
        <v>0.17468711440155116</v>
      </c>
      <c r="R26" s="382">
        <f t="shared" si="10"/>
        <v>0.32322243966079572</v>
      </c>
    </row>
    <row r="27" spans="1:19" x14ac:dyDescent="0.25">
      <c r="A27" s="530"/>
      <c r="B27" s="530"/>
      <c r="C27" s="535"/>
      <c r="D27" s="114" t="s">
        <v>136</v>
      </c>
      <c r="E27" s="151">
        <f>'Water and Burning'!F42</f>
        <v>2.8012999999999999</v>
      </c>
      <c r="F27" s="151">
        <v>3.2890000000000001</v>
      </c>
      <c r="G27" s="151">
        <v>1.776</v>
      </c>
      <c r="H27" s="25">
        <f t="shared" si="0"/>
        <v>2.8013000000000001E-3</v>
      </c>
      <c r="I27" s="25">
        <f t="shared" si="1"/>
        <v>3.2890000000000003E-3</v>
      </c>
      <c r="J27" s="25">
        <f t="shared" si="2"/>
        <v>1.776E-3</v>
      </c>
      <c r="K27" s="454">
        <f t="shared" si="3"/>
        <v>1.5157283109597277E-6</v>
      </c>
      <c r="L27" s="454">
        <f t="shared" si="4"/>
        <v>4.8857944299739552E-7</v>
      </c>
      <c r="M27" s="324">
        <f t="shared" ref="M27:M31" si="11">(L27/K27)</f>
        <v>0.32233972240581638</v>
      </c>
      <c r="N27" s="327">
        <f t="shared" si="6"/>
        <v>1848.1544348975544</v>
      </c>
      <c r="O27" s="327">
        <f t="shared" si="7"/>
        <v>2727.2580317955722</v>
      </c>
      <c r="P27" s="327">
        <f t="shared" si="8"/>
        <v>2169.9139458030404</v>
      </c>
      <c r="Q27" s="386">
        <f t="shared" ref="Q27:Q31" si="12">(I27-H27)/H27</f>
        <v>0.1740977403348446</v>
      </c>
      <c r="R27" s="383">
        <f t="shared" si="10"/>
        <v>0.32233972240581638</v>
      </c>
    </row>
    <row r="28" spans="1:19" ht="15.75" thickBot="1" x14ac:dyDescent="0.3">
      <c r="A28" s="530"/>
      <c r="B28" s="531"/>
      <c r="C28" s="535"/>
      <c r="D28" s="115" t="s">
        <v>137</v>
      </c>
      <c r="E28" s="152">
        <f>'Water and Burning'!F43</f>
        <v>2.8843000000000001</v>
      </c>
      <c r="F28" s="152">
        <v>3.3820000000000001</v>
      </c>
      <c r="G28" s="152">
        <v>1.8320000000000001</v>
      </c>
      <c r="H28" s="58">
        <f t="shared" si="0"/>
        <v>2.8843000000000002E-3</v>
      </c>
      <c r="I28" s="58">
        <f t="shared" si="1"/>
        <v>3.382E-3</v>
      </c>
      <c r="J28" s="58">
        <f t="shared" si="2"/>
        <v>1.8320000000000001E-3</v>
      </c>
      <c r="K28" s="455">
        <f t="shared" si="3"/>
        <v>1.5527950310559004E-6</v>
      </c>
      <c r="L28" s="455">
        <f t="shared" si="4"/>
        <v>4.9859747545582022E-7</v>
      </c>
      <c r="M28" s="325">
        <f t="shared" si="11"/>
        <v>0.32109677419354826</v>
      </c>
      <c r="N28" s="328">
        <f t="shared" si="6"/>
        <v>1857.4892000000004</v>
      </c>
      <c r="O28" s="328">
        <f t="shared" si="7"/>
        <v>2736.0146916278627</v>
      </c>
      <c r="P28" s="328">
        <f t="shared" si="8"/>
        <v>2178.0080000000003</v>
      </c>
      <c r="Q28" s="387">
        <f t="shared" si="12"/>
        <v>0.17255486599868244</v>
      </c>
      <c r="R28" s="384">
        <f t="shared" si="10"/>
        <v>0.32109677419354826</v>
      </c>
    </row>
    <row r="29" spans="1:19" x14ac:dyDescent="0.25">
      <c r="A29" s="530"/>
      <c r="B29" s="532" t="s">
        <v>20</v>
      </c>
      <c r="C29" s="535"/>
      <c r="D29" s="113" t="s">
        <v>135</v>
      </c>
      <c r="E29" s="87">
        <f>'Water and Burning'!F48</f>
        <v>3.0356000000000001</v>
      </c>
      <c r="F29" s="87">
        <v>3.4569999999999999</v>
      </c>
      <c r="G29" s="87">
        <v>1.8839999999999999</v>
      </c>
      <c r="H29" s="22">
        <f t="shared" si="0"/>
        <v>3.0356000000000003E-3</v>
      </c>
      <c r="I29" s="22">
        <f t="shared" si="1"/>
        <v>3.457E-3</v>
      </c>
      <c r="J29" s="22">
        <f t="shared" si="2"/>
        <v>1.884E-3</v>
      </c>
      <c r="K29" s="453">
        <f t="shared" si="3"/>
        <v>1.5758365057102784E-6</v>
      </c>
      <c r="L29" s="453">
        <f t="shared" si="4"/>
        <v>4.221598877980362E-7</v>
      </c>
      <c r="M29" s="323">
        <f t="shared" si="11"/>
        <v>0.26789574062301319</v>
      </c>
      <c r="N29" s="326">
        <f t="shared" si="6"/>
        <v>1926.3419707565165</v>
      </c>
      <c r="O29" s="326">
        <f t="shared" si="7"/>
        <v>2631.2399444251473</v>
      </c>
      <c r="P29" s="326">
        <f t="shared" si="8"/>
        <v>2193.7554990464082</v>
      </c>
      <c r="Q29" s="385">
        <f t="shared" si="12"/>
        <v>0.13881934378706012</v>
      </c>
      <c r="R29" s="382">
        <f t="shared" si="10"/>
        <v>0.26789574062301319</v>
      </c>
    </row>
    <row r="30" spans="1:19" x14ac:dyDescent="0.25">
      <c r="A30" s="530"/>
      <c r="B30" s="530"/>
      <c r="C30" s="535"/>
      <c r="D30" s="114" t="s">
        <v>136</v>
      </c>
      <c r="E30" s="151">
        <f>'Water and Burning'!F49</f>
        <v>3.0116000000000001</v>
      </c>
      <c r="F30" s="151">
        <v>3.4239999999999999</v>
      </c>
      <c r="G30" s="151">
        <v>1.867</v>
      </c>
      <c r="H30" s="25">
        <f t="shared" si="0"/>
        <v>3.0116000000000001E-3</v>
      </c>
      <c r="I30" s="25">
        <f t="shared" si="1"/>
        <v>3.424E-3</v>
      </c>
      <c r="J30" s="25">
        <f t="shared" si="2"/>
        <v>1.867E-3</v>
      </c>
      <c r="K30" s="454">
        <f t="shared" si="3"/>
        <v>1.5598076537767982E-6</v>
      </c>
      <c r="L30" s="454">
        <f t="shared" si="4"/>
        <v>4.1314365858545365E-7</v>
      </c>
      <c r="M30" s="324">
        <f t="shared" si="11"/>
        <v>0.26486833654463704</v>
      </c>
      <c r="N30" s="327">
        <f t="shared" si="6"/>
        <v>1930.7508798972383</v>
      </c>
      <c r="O30" s="327">
        <f t="shared" si="7"/>
        <v>2626.4014677616628</v>
      </c>
      <c r="P30" s="327">
        <f t="shared" si="8"/>
        <v>2195.1424534360949</v>
      </c>
      <c r="Q30" s="386">
        <f t="shared" si="12"/>
        <v>0.13693717625182622</v>
      </c>
      <c r="R30" s="383">
        <f t="shared" si="10"/>
        <v>0.26486833654463704</v>
      </c>
    </row>
    <row r="31" spans="1:19" ht="15.75" thickBot="1" x14ac:dyDescent="0.3">
      <c r="A31" s="531"/>
      <c r="B31" s="531"/>
      <c r="C31" s="536"/>
      <c r="D31" s="115" t="s">
        <v>137</v>
      </c>
      <c r="E31" s="152">
        <f>'Water and Burning'!F50</f>
        <v>3.0651000000000002</v>
      </c>
      <c r="F31" s="152">
        <v>3.4860000000000002</v>
      </c>
      <c r="G31" s="152">
        <v>1.901</v>
      </c>
      <c r="H31" s="58">
        <f t="shared" si="0"/>
        <v>3.0651000000000003E-3</v>
      </c>
      <c r="I31" s="58">
        <f t="shared" si="1"/>
        <v>3.4860000000000004E-3</v>
      </c>
      <c r="J31" s="58">
        <f t="shared" si="2"/>
        <v>1.9010000000000001E-3</v>
      </c>
      <c r="K31" s="455">
        <f t="shared" si="3"/>
        <v>1.5878581446603889E-6</v>
      </c>
      <c r="L31" s="455">
        <f t="shared" si="4"/>
        <v>4.2165898617511528E-7</v>
      </c>
      <c r="M31" s="325">
        <f t="shared" si="11"/>
        <v>0.26555205047318614</v>
      </c>
      <c r="N31" s="328">
        <f t="shared" si="6"/>
        <v>1930.3361640378548</v>
      </c>
      <c r="O31" s="328">
        <f t="shared" si="7"/>
        <v>2628.2817799158147</v>
      </c>
      <c r="P31" s="328">
        <f t="shared" si="8"/>
        <v>2195.4102208201894</v>
      </c>
      <c r="Q31" s="387">
        <f t="shared" si="12"/>
        <v>0.13732015268669864</v>
      </c>
      <c r="R31" s="384">
        <f t="shared" si="10"/>
        <v>0.26555205047318614</v>
      </c>
      <c r="S31" s="116"/>
    </row>
    <row r="32" spans="1:19" x14ac:dyDescent="0.25">
      <c r="A32" s="155"/>
      <c r="B32" s="155"/>
      <c r="C32" s="153"/>
      <c r="D32" s="75"/>
      <c r="E32" s="75"/>
      <c r="F32" s="75"/>
      <c r="G32" s="75"/>
      <c r="H32" s="68"/>
      <c r="I32" s="75"/>
      <c r="J32" s="75"/>
      <c r="K32" s="154"/>
      <c r="L32" s="154"/>
      <c r="M32" s="154"/>
      <c r="N32" s="154"/>
      <c r="O32" s="154"/>
      <c r="P32" s="154"/>
      <c r="Q32" s="154"/>
      <c r="S32" s="116"/>
    </row>
    <row r="33" spans="1:19" ht="15.75" thickBot="1" x14ac:dyDescent="0.3">
      <c r="A33" s="117"/>
      <c r="B33" s="117"/>
      <c r="C33" s="153"/>
      <c r="D33" s="75"/>
      <c r="E33" s="75"/>
      <c r="F33" s="75"/>
      <c r="G33" s="75"/>
      <c r="H33" s="68"/>
      <c r="I33" s="75"/>
      <c r="J33" s="75"/>
      <c r="K33" s="154"/>
      <c r="L33" s="154"/>
      <c r="M33" s="154"/>
      <c r="N33" s="154"/>
      <c r="O33" s="154"/>
      <c r="P33" s="154"/>
      <c r="Q33" s="154"/>
      <c r="S33" s="116"/>
    </row>
    <row r="34" spans="1:19" x14ac:dyDescent="0.25">
      <c r="A34" s="108" t="s">
        <v>273</v>
      </c>
      <c r="B34" s="148" t="s">
        <v>274</v>
      </c>
      <c r="C34" s="148" t="s">
        <v>275</v>
      </c>
      <c r="D34" s="109" t="s">
        <v>6</v>
      </c>
      <c r="E34" s="150" t="s">
        <v>276</v>
      </c>
      <c r="F34" s="150" t="s">
        <v>277</v>
      </c>
      <c r="G34" s="150" t="s">
        <v>278</v>
      </c>
      <c r="H34" s="150" t="s">
        <v>276</v>
      </c>
      <c r="I34" s="109" t="s">
        <v>277</v>
      </c>
      <c r="J34" s="109" t="s">
        <v>278</v>
      </c>
      <c r="K34" s="109" t="s">
        <v>279</v>
      </c>
      <c r="L34" s="109" t="s">
        <v>280</v>
      </c>
      <c r="M34" s="109" t="s">
        <v>281</v>
      </c>
      <c r="N34" s="109" t="s">
        <v>282</v>
      </c>
      <c r="O34" s="109" t="s">
        <v>283</v>
      </c>
      <c r="P34" s="109" t="s">
        <v>284</v>
      </c>
      <c r="Q34" s="109" t="s">
        <v>285</v>
      </c>
      <c r="R34" s="110" t="s">
        <v>286</v>
      </c>
      <c r="S34" s="117"/>
    </row>
    <row r="35" spans="1:19" ht="15.75" thickBot="1" x14ac:dyDescent="0.3">
      <c r="A35" s="111"/>
      <c r="B35" s="149"/>
      <c r="C35" s="149"/>
      <c r="D35" s="112"/>
      <c r="E35" s="112" t="s">
        <v>120</v>
      </c>
      <c r="F35" s="112" t="s">
        <v>120</v>
      </c>
      <c r="G35" s="112" t="s">
        <v>120</v>
      </c>
      <c r="H35" s="112" t="s">
        <v>28</v>
      </c>
      <c r="I35" s="112" t="s">
        <v>28</v>
      </c>
      <c r="J35" s="112" t="s">
        <v>28</v>
      </c>
      <c r="K35" s="112" t="s">
        <v>287</v>
      </c>
      <c r="L35" s="112" t="s">
        <v>291</v>
      </c>
      <c r="M35" s="340" t="s">
        <v>288</v>
      </c>
      <c r="N35" s="112" t="s">
        <v>289</v>
      </c>
      <c r="O35" s="112" t="s">
        <v>289</v>
      </c>
      <c r="P35" s="112" t="s">
        <v>289</v>
      </c>
      <c r="Q35" s="340" t="s">
        <v>290</v>
      </c>
      <c r="R35" s="341" t="s">
        <v>291</v>
      </c>
      <c r="S35" s="117"/>
    </row>
    <row r="36" spans="1:19" x14ac:dyDescent="0.25">
      <c r="A36" s="529" t="s">
        <v>295</v>
      </c>
      <c r="B36" s="532" t="s">
        <v>134</v>
      </c>
      <c r="C36" s="532" t="s">
        <v>122</v>
      </c>
      <c r="D36" s="113" t="s">
        <v>135</v>
      </c>
      <c r="E36" s="87">
        <f>'Water and Burning'!F59</f>
        <v>3.0182000000000002</v>
      </c>
      <c r="F36" s="87">
        <v>3.6589999999999998</v>
      </c>
      <c r="G36" s="87">
        <v>1.9279999999999999</v>
      </c>
      <c r="H36" s="22">
        <f t="shared" ref="H36:H53" si="13">E36*10^(-3)</f>
        <v>3.0182000000000004E-3</v>
      </c>
      <c r="I36" s="22">
        <f t="shared" ref="I36:I53" si="14">F36*10^(-3)</f>
        <v>3.6589999999999999E-3</v>
      </c>
      <c r="J36" s="22">
        <f t="shared" ref="J36:J53" si="15">G36*10^(-3)</f>
        <v>1.928E-3</v>
      </c>
      <c r="K36" s="449">
        <f t="shared" ref="K36:K53" si="16">(I36-J36)/$L$10</f>
        <v>1.7341214185533959E-6</v>
      </c>
      <c r="L36" s="449">
        <f t="shared" ref="L36:L53" si="17">(I36-H36)/$L$10</f>
        <v>6.4195551993588412E-7</v>
      </c>
      <c r="M36" s="323">
        <f>(L36/K36)</f>
        <v>0.37019064124783341</v>
      </c>
      <c r="N36" s="326">
        <f t="shared" ref="N36:N53" si="18">H36/K36</f>
        <v>1740.4778971692667</v>
      </c>
      <c r="O36" s="326">
        <f t="shared" ref="O36:O53" si="19">H36/(K36-L36)</f>
        <v>2763.4995780590716</v>
      </c>
      <c r="P36" s="326">
        <f t="shared" ref="P36:P53" si="20">I36/K36</f>
        <v>2110.002195262854</v>
      </c>
      <c r="Q36" s="385">
        <f>(I36-H36)/H36</f>
        <v>0.21231197402425267</v>
      </c>
      <c r="R36" s="382">
        <f>L36/K36</f>
        <v>0.37019064124783341</v>
      </c>
      <c r="S36" s="117"/>
    </row>
    <row r="37" spans="1:19" x14ac:dyDescent="0.25">
      <c r="A37" s="530"/>
      <c r="B37" s="530"/>
      <c r="C37" s="530"/>
      <c r="D37" s="114" t="s">
        <v>136</v>
      </c>
      <c r="E37" s="151">
        <f>'Water and Burning'!F60</f>
        <v>3.0026000000000002</v>
      </c>
      <c r="F37" s="151">
        <v>3.6429999999999998</v>
      </c>
      <c r="G37" s="151">
        <v>1.919</v>
      </c>
      <c r="H37" s="25">
        <f t="shared" si="13"/>
        <v>3.0026000000000002E-3</v>
      </c>
      <c r="I37" s="25">
        <f t="shared" si="14"/>
        <v>3.643E-3</v>
      </c>
      <c r="J37" s="25">
        <f t="shared" si="15"/>
        <v>1.9190000000000001E-3</v>
      </c>
      <c r="K37" s="450">
        <f t="shared" si="16"/>
        <v>1.7271087958324983E-6</v>
      </c>
      <c r="L37" s="450">
        <f t="shared" si="17"/>
        <v>6.4155479863754726E-7</v>
      </c>
      <c r="M37" s="324">
        <f t="shared" ref="M37:M47" si="21">(L37/K37)</f>
        <v>0.37146171693735486</v>
      </c>
      <c r="N37" s="327">
        <f t="shared" si="18"/>
        <v>1738.5123665893275</v>
      </c>
      <c r="O37" s="327">
        <f t="shared" si="19"/>
        <v>2765.9609819121442</v>
      </c>
      <c r="P37" s="327">
        <f t="shared" si="20"/>
        <v>2109.3054524361951</v>
      </c>
      <c r="Q37" s="386">
        <f>(I37-H37)/H37</f>
        <v>0.21328182242056873</v>
      </c>
      <c r="R37" s="383">
        <f>L37/K37</f>
        <v>0.37146171693735486</v>
      </c>
    </row>
    <row r="38" spans="1:19" ht="15.75" thickBot="1" x14ac:dyDescent="0.3">
      <c r="A38" s="530"/>
      <c r="B38" s="531"/>
      <c r="C38" s="530"/>
      <c r="D38" s="115" t="s">
        <v>137</v>
      </c>
      <c r="E38" s="152">
        <f>'Water and Burning'!F61</f>
        <v>2.9174000000000002</v>
      </c>
      <c r="F38" s="152">
        <v>3.536</v>
      </c>
      <c r="G38" s="152">
        <v>1.863</v>
      </c>
      <c r="H38" s="58">
        <f t="shared" si="13"/>
        <v>2.9174000000000001E-3</v>
      </c>
      <c r="I38" s="58">
        <f t="shared" si="14"/>
        <v>3.5360000000000001E-3</v>
      </c>
      <c r="J38" s="58">
        <f t="shared" si="15"/>
        <v>1.8630000000000001E-3</v>
      </c>
      <c r="K38" s="451">
        <f t="shared" si="16"/>
        <v>1.6760168302945301E-6</v>
      </c>
      <c r="L38" s="451">
        <f t="shared" si="17"/>
        <v>6.1971548787818071E-7</v>
      </c>
      <c r="M38" s="325">
        <f t="shared" si="21"/>
        <v>0.3697549312612074</v>
      </c>
      <c r="N38" s="328">
        <f t="shared" si="18"/>
        <v>1740.6746443514646</v>
      </c>
      <c r="O38" s="328">
        <f t="shared" si="19"/>
        <v>2761.9012518968138</v>
      </c>
      <c r="P38" s="328">
        <f t="shared" si="20"/>
        <v>2109.764016736402</v>
      </c>
      <c r="Q38" s="387">
        <f>(I38-H38)/H38</f>
        <v>0.21203811613080137</v>
      </c>
      <c r="R38" s="384">
        <f>L38/K38</f>
        <v>0.3697549312612074</v>
      </c>
    </row>
    <row r="39" spans="1:19" x14ac:dyDescent="0.25">
      <c r="A39" s="530"/>
      <c r="B39" s="532" t="s">
        <v>20</v>
      </c>
      <c r="C39" s="530"/>
      <c r="D39" s="113" t="s">
        <v>135</v>
      </c>
      <c r="E39" s="87">
        <f>'Water and Burning'!F66</f>
        <v>3.1326999999999998</v>
      </c>
      <c r="F39" s="87">
        <v>3.589</v>
      </c>
      <c r="G39" s="87">
        <v>1.9690000000000001</v>
      </c>
      <c r="H39" s="22">
        <f t="shared" si="13"/>
        <v>3.1327E-3</v>
      </c>
      <c r="I39" s="22">
        <f t="shared" si="14"/>
        <v>3.5890000000000002E-3</v>
      </c>
      <c r="J39" s="22">
        <f t="shared" si="15"/>
        <v>1.9690000000000003E-3</v>
      </c>
      <c r="K39" s="449">
        <f t="shared" si="16"/>
        <v>1.6229212582648767E-6</v>
      </c>
      <c r="L39" s="449">
        <f t="shared" si="17"/>
        <v>4.5712282107794045E-7</v>
      </c>
      <c r="M39" s="323">
        <f t="shared" si="21"/>
        <v>0.28166666666666679</v>
      </c>
      <c r="N39" s="326">
        <f t="shared" si="18"/>
        <v>1930.2846543209878</v>
      </c>
      <c r="O39" s="326">
        <f t="shared" si="19"/>
        <v>2687.1712125118165</v>
      </c>
      <c r="P39" s="326">
        <f t="shared" si="20"/>
        <v>2211.4443209876545</v>
      </c>
      <c r="Q39" s="385">
        <f t="shared" ref="Q39:Q45" si="22">(I39-H39)/H39</f>
        <v>0.14565710090337414</v>
      </c>
      <c r="R39" s="382">
        <f t="shared" ref="R39:R53" si="23">L39/K39</f>
        <v>0.28166666666666679</v>
      </c>
    </row>
    <row r="40" spans="1:19" x14ac:dyDescent="0.25">
      <c r="A40" s="530"/>
      <c r="B40" s="530"/>
      <c r="C40" s="530"/>
      <c r="D40" s="114" t="s">
        <v>136</v>
      </c>
      <c r="E40" s="151">
        <f>'Water and Burning'!F67</f>
        <v>3.0644999999999998</v>
      </c>
      <c r="F40" s="151">
        <v>3.4980000000000002</v>
      </c>
      <c r="G40" s="151">
        <v>1.9259999999999999</v>
      </c>
      <c r="H40" s="25">
        <f t="shared" si="13"/>
        <v>3.0644999999999999E-3</v>
      </c>
      <c r="I40" s="25">
        <f t="shared" si="14"/>
        <v>3.4980000000000002E-3</v>
      </c>
      <c r="J40" s="25">
        <f t="shared" si="15"/>
        <v>1.926E-3</v>
      </c>
      <c r="K40" s="450">
        <f t="shared" si="16"/>
        <v>1.5748347024644362E-6</v>
      </c>
      <c r="L40" s="450">
        <f t="shared" si="17"/>
        <v>4.3428170707273117E-7</v>
      </c>
      <c r="M40" s="324">
        <f t="shared" si="21"/>
        <v>0.27576335877862607</v>
      </c>
      <c r="N40" s="327">
        <f t="shared" si="18"/>
        <v>1945.9185114503814</v>
      </c>
      <c r="O40" s="327">
        <f>H40/(K40-L40)</f>
        <v>2686.8545454545456</v>
      </c>
      <c r="P40" s="327">
        <f t="shared" si="20"/>
        <v>2221.1854961832059</v>
      </c>
      <c r="Q40" s="386">
        <f t="shared" si="22"/>
        <v>0.14145863925599619</v>
      </c>
      <c r="R40" s="383">
        <f t="shared" si="23"/>
        <v>0.27576335877862607</v>
      </c>
    </row>
    <row r="41" spans="1:19" ht="15.75" thickBot="1" x14ac:dyDescent="0.3">
      <c r="A41" s="533"/>
      <c r="B41" s="531"/>
      <c r="C41" s="530"/>
      <c r="D41" s="115" t="s">
        <v>137</v>
      </c>
      <c r="E41" s="152">
        <f>'Water and Burning'!F68</f>
        <v>3.1137000000000001</v>
      </c>
      <c r="F41" s="152">
        <v>3.55</v>
      </c>
      <c r="G41" s="152">
        <v>1.9530000000000001</v>
      </c>
      <c r="H41" s="58">
        <f t="shared" si="13"/>
        <v>3.1137000000000001E-3</v>
      </c>
      <c r="I41" s="58">
        <f t="shared" si="14"/>
        <v>3.5499999999999998E-3</v>
      </c>
      <c r="J41" s="58">
        <f t="shared" si="15"/>
        <v>1.9530000000000001E-3</v>
      </c>
      <c r="K41" s="451">
        <f t="shared" si="16"/>
        <v>1.5998797836104985E-6</v>
      </c>
      <c r="L41" s="451">
        <f t="shared" si="17"/>
        <v>4.3708675616108967E-7</v>
      </c>
      <c r="M41" s="325">
        <f t="shared" si="21"/>
        <v>0.2731997495303693</v>
      </c>
      <c r="N41" s="328">
        <f t="shared" si="18"/>
        <v>1946.2087288666255</v>
      </c>
      <c r="O41" s="328">
        <f t="shared" si="19"/>
        <v>2677.7766347893512</v>
      </c>
      <c r="P41" s="328">
        <f t="shared" si="20"/>
        <v>2218.91671884784</v>
      </c>
      <c r="Q41" s="387">
        <f t="shared" si="22"/>
        <v>0.14012268362398422</v>
      </c>
      <c r="R41" s="384">
        <f t="shared" si="23"/>
        <v>0.2731997495303693</v>
      </c>
    </row>
    <row r="42" spans="1:19" x14ac:dyDescent="0.25">
      <c r="A42" s="529" t="s">
        <v>296</v>
      </c>
      <c r="B42" s="532" t="s">
        <v>134</v>
      </c>
      <c r="C42" s="530"/>
      <c r="D42" s="113" t="s">
        <v>135</v>
      </c>
      <c r="E42" s="87">
        <f>'Water and Burning'!F75</f>
        <v>2.8807999999999998</v>
      </c>
      <c r="F42" s="87">
        <v>3.4950000000000001</v>
      </c>
      <c r="G42" s="87">
        <v>1.8380000000000001</v>
      </c>
      <c r="H42" s="22">
        <f t="shared" si="13"/>
        <v>2.8807999999999998E-3</v>
      </c>
      <c r="I42" s="22">
        <f t="shared" si="14"/>
        <v>3.4950000000000003E-3</v>
      </c>
      <c r="J42" s="22">
        <f t="shared" si="15"/>
        <v>1.8380000000000002E-3</v>
      </c>
      <c r="K42" s="449">
        <f t="shared" si="16"/>
        <v>1.6599879783610499E-6</v>
      </c>
      <c r="L42" s="449">
        <f t="shared" si="17"/>
        <v>6.1530755359647418E-7</v>
      </c>
      <c r="M42" s="323">
        <f t="shared" si="21"/>
        <v>0.37066988533494299</v>
      </c>
      <c r="N42" s="326">
        <f t="shared" si="18"/>
        <v>1735.4342546771272</v>
      </c>
      <c r="O42" s="326">
        <f t="shared" si="19"/>
        <v>2757.5897199846581</v>
      </c>
      <c r="P42" s="326">
        <f t="shared" si="20"/>
        <v>2105.4369342184673</v>
      </c>
      <c r="Q42" s="385">
        <f t="shared" si="22"/>
        <v>0.21320466537073055</v>
      </c>
      <c r="R42" s="382">
        <f t="shared" si="23"/>
        <v>0.37066988533494299</v>
      </c>
    </row>
    <row r="43" spans="1:19" x14ac:dyDescent="0.25">
      <c r="A43" s="530"/>
      <c r="B43" s="530"/>
      <c r="C43" s="530"/>
      <c r="D43" s="114" t="s">
        <v>136</v>
      </c>
      <c r="E43" s="151">
        <f>'Water and Burning'!F76</f>
        <v>2.9188999999999998</v>
      </c>
      <c r="F43" s="151">
        <v>3.5409999999999999</v>
      </c>
      <c r="G43" s="151">
        <v>1.865</v>
      </c>
      <c r="H43" s="25">
        <f t="shared" si="13"/>
        <v>2.9188999999999999E-3</v>
      </c>
      <c r="I43" s="25">
        <f t="shared" si="14"/>
        <v>3.5409999999999999E-3</v>
      </c>
      <c r="J43" s="25">
        <f t="shared" si="15"/>
        <v>1.8650000000000001E-3</v>
      </c>
      <c r="K43" s="450">
        <f t="shared" si="16"/>
        <v>1.6790222400320574E-6</v>
      </c>
      <c r="L43" s="450">
        <f t="shared" si="17"/>
        <v>6.2322179923862952E-7</v>
      </c>
      <c r="M43" s="324">
        <f t="shared" si="21"/>
        <v>0.37118138424821007</v>
      </c>
      <c r="N43" s="327">
        <f t="shared" si="18"/>
        <v>1738.4522553699287</v>
      </c>
      <c r="O43" s="327">
        <f t="shared" si="19"/>
        <v>2764.6322990796098</v>
      </c>
      <c r="P43" s="327">
        <f t="shared" si="20"/>
        <v>2108.9655131264922</v>
      </c>
      <c r="Q43" s="386">
        <f t="shared" si="22"/>
        <v>0.21312823323854876</v>
      </c>
      <c r="R43" s="383">
        <f t="shared" si="23"/>
        <v>0.37118138424821007</v>
      </c>
      <c r="S43" s="116"/>
    </row>
    <row r="44" spans="1:19" ht="15.75" thickBot="1" x14ac:dyDescent="0.3">
      <c r="A44" s="530"/>
      <c r="B44" s="531"/>
      <c r="C44" s="530"/>
      <c r="D44" s="115" t="s">
        <v>137</v>
      </c>
      <c r="E44" s="152">
        <f>'Water and Burning'!F77</f>
        <v>2.8647</v>
      </c>
      <c r="F44" s="152">
        <v>3.4569999999999999</v>
      </c>
      <c r="G44" s="152">
        <v>1.8280000000000001</v>
      </c>
      <c r="H44" s="58">
        <f t="shared" si="13"/>
        <v>2.8647E-3</v>
      </c>
      <c r="I44" s="58">
        <f t="shared" si="14"/>
        <v>3.457E-3</v>
      </c>
      <c r="J44" s="58">
        <f t="shared" si="15"/>
        <v>1.8280000000000002E-3</v>
      </c>
      <c r="K44" s="451">
        <f t="shared" si="16"/>
        <v>1.6319374874774591E-6</v>
      </c>
      <c r="L44" s="451">
        <f t="shared" si="17"/>
        <v>5.9336806251252257E-7</v>
      </c>
      <c r="M44" s="325">
        <f t="shared" si="21"/>
        <v>0.36359729895641507</v>
      </c>
      <c r="N44" s="328">
        <f t="shared" si="18"/>
        <v>1755.3981215469616</v>
      </c>
      <c r="O44" s="328">
        <f t="shared" si="19"/>
        <v>2758.313436866983</v>
      </c>
      <c r="P44" s="328">
        <f t="shared" si="20"/>
        <v>2118.3409453652553</v>
      </c>
      <c r="Q44" s="387">
        <f t="shared" si="22"/>
        <v>0.20675812476000979</v>
      </c>
      <c r="R44" s="384">
        <f t="shared" si="23"/>
        <v>0.36359729895641507</v>
      </c>
      <c r="S44" s="116"/>
    </row>
    <row r="45" spans="1:19" x14ac:dyDescent="0.25">
      <c r="A45" s="530"/>
      <c r="B45" s="532" t="s">
        <v>20</v>
      </c>
      <c r="C45" s="530"/>
      <c r="D45" s="113" t="s">
        <v>135</v>
      </c>
      <c r="E45" s="87">
        <f>'Water and Burning'!F82</f>
        <v>3.1000999999999999</v>
      </c>
      <c r="F45" s="87">
        <v>3.52</v>
      </c>
      <c r="G45" s="87">
        <v>1.9450000000000001</v>
      </c>
      <c r="H45" s="22">
        <f t="shared" si="13"/>
        <v>3.1000999999999997E-3</v>
      </c>
      <c r="I45" s="22">
        <f t="shared" si="14"/>
        <v>3.5200000000000001E-3</v>
      </c>
      <c r="J45" s="22">
        <f t="shared" si="15"/>
        <v>1.9450000000000001E-3</v>
      </c>
      <c r="K45" s="449">
        <f t="shared" si="16"/>
        <v>1.5778401122019636E-6</v>
      </c>
      <c r="L45" s="449">
        <f t="shared" si="17"/>
        <v>4.2065718292927307E-7</v>
      </c>
      <c r="M45" s="323">
        <f t="shared" si="21"/>
        <v>0.26660317460317484</v>
      </c>
      <c r="N45" s="326">
        <f t="shared" si="18"/>
        <v>1964.7744888888888</v>
      </c>
      <c r="O45" s="326">
        <f t="shared" si="19"/>
        <v>2679.0059908233056</v>
      </c>
      <c r="P45" s="326">
        <f t="shared" si="20"/>
        <v>2230.8977777777777</v>
      </c>
      <c r="Q45" s="385">
        <f t="shared" si="22"/>
        <v>0.13544724363730215</v>
      </c>
      <c r="R45" s="382">
        <f t="shared" si="23"/>
        <v>0.26660317460317484</v>
      </c>
      <c r="S45" s="116"/>
    </row>
    <row r="46" spans="1:19" x14ac:dyDescent="0.25">
      <c r="A46" s="530"/>
      <c r="B46" s="530"/>
      <c r="C46" s="530"/>
      <c r="D46" s="114" t="s">
        <v>136</v>
      </c>
      <c r="E46" s="151">
        <f>'Water and Burning'!F83</f>
        <v>3.012</v>
      </c>
      <c r="F46" s="151">
        <v>3.419</v>
      </c>
      <c r="G46" s="151">
        <v>1.885</v>
      </c>
      <c r="H46" s="25">
        <f t="shared" si="13"/>
        <v>3.0119999999999999E-3</v>
      </c>
      <c r="I46" s="25">
        <f t="shared" si="14"/>
        <v>3.4190000000000002E-3</v>
      </c>
      <c r="J46" s="25">
        <f t="shared" si="15"/>
        <v>1.885E-3</v>
      </c>
      <c r="K46" s="450">
        <f t="shared" si="16"/>
        <v>1.5367661791224205E-6</v>
      </c>
      <c r="L46" s="450">
        <f t="shared" si="17"/>
        <v>4.0773392105790444E-7</v>
      </c>
      <c r="M46" s="324">
        <f t="shared" si="21"/>
        <v>0.26531942633637562</v>
      </c>
      <c r="N46" s="327">
        <f t="shared" si="18"/>
        <v>1959.959843546284</v>
      </c>
      <c r="O46" s="327">
        <f t="shared" si="19"/>
        <v>2667.7714285714287</v>
      </c>
      <c r="P46" s="327">
        <f t="shared" si="20"/>
        <v>2224.8016949152543</v>
      </c>
      <c r="Q46" s="386">
        <f>(I46-H46)/H46</f>
        <v>0.13512616201859237</v>
      </c>
      <c r="R46" s="383">
        <f t="shared" si="23"/>
        <v>0.26531942633637562</v>
      </c>
      <c r="S46" s="117"/>
    </row>
    <row r="47" spans="1:19" ht="15.75" thickBot="1" x14ac:dyDescent="0.3">
      <c r="A47" s="533"/>
      <c r="B47" s="531"/>
      <c r="C47" s="530"/>
      <c r="D47" s="115" t="s">
        <v>137</v>
      </c>
      <c r="E47" s="152">
        <f>'Water and Burning'!F84</f>
        <v>3.0828000000000002</v>
      </c>
      <c r="F47" s="152">
        <v>3.4790000000000001</v>
      </c>
      <c r="G47" s="152">
        <v>1.931</v>
      </c>
      <c r="H47" s="58">
        <f t="shared" si="13"/>
        <v>3.0828000000000001E-3</v>
      </c>
      <c r="I47" s="58">
        <f t="shared" si="14"/>
        <v>3.4790000000000003E-3</v>
      </c>
      <c r="J47" s="58">
        <f t="shared" si="15"/>
        <v>1.931E-3</v>
      </c>
      <c r="K47" s="451">
        <f t="shared" si="16"/>
        <v>1.5507914245642159E-6</v>
      </c>
      <c r="L47" s="451">
        <f t="shared" si="17"/>
        <v>3.9691444600280522E-7</v>
      </c>
      <c r="M47" s="325">
        <f t="shared" si="21"/>
        <v>0.25594315245478044</v>
      </c>
      <c r="N47" s="328">
        <f t="shared" si="18"/>
        <v>1987.8882170542631</v>
      </c>
      <c r="O47" s="328">
        <f t="shared" si="19"/>
        <v>2671.6886264976556</v>
      </c>
      <c r="P47" s="328">
        <f t="shared" si="20"/>
        <v>2243.3706718346252</v>
      </c>
      <c r="Q47" s="387">
        <f t="shared" ref="Q47:Q53" si="24">(I47-H47)/H47</f>
        <v>0.12851952770208908</v>
      </c>
      <c r="R47" s="384">
        <f t="shared" si="23"/>
        <v>0.25594315245478044</v>
      </c>
      <c r="S47" s="117"/>
    </row>
    <row r="48" spans="1:19" x14ac:dyDescent="0.25">
      <c r="A48" s="529" t="s">
        <v>297</v>
      </c>
      <c r="B48" s="532" t="s">
        <v>134</v>
      </c>
      <c r="C48" s="530"/>
      <c r="D48" s="113" t="s">
        <v>135</v>
      </c>
      <c r="E48" s="87">
        <f>'Water and Burning'!F91</f>
        <v>2.8786999999999998</v>
      </c>
      <c r="F48" s="87">
        <v>3.3580000000000001</v>
      </c>
      <c r="G48" s="87">
        <v>1.8340000000000001</v>
      </c>
      <c r="H48" s="22">
        <f t="shared" si="13"/>
        <v>2.8786999999999997E-3</v>
      </c>
      <c r="I48" s="22">
        <f t="shared" si="14"/>
        <v>3.3580000000000003E-3</v>
      </c>
      <c r="J48" s="22">
        <f t="shared" si="15"/>
        <v>1.8340000000000001E-3</v>
      </c>
      <c r="K48" s="449">
        <f t="shared" si="16"/>
        <v>1.5267481466639954E-6</v>
      </c>
      <c r="L48" s="449">
        <f t="shared" si="17"/>
        <v>4.8016429573231879E-7</v>
      </c>
      <c r="M48" s="323">
        <f>(L48/K48)</f>
        <v>0.31450131233595841</v>
      </c>
      <c r="N48" s="326">
        <f t="shared" si="18"/>
        <v>1885.5107217847765</v>
      </c>
      <c r="O48" s="326">
        <f t="shared" si="19"/>
        <v>2750.5679525222563</v>
      </c>
      <c r="P48" s="326">
        <f t="shared" si="20"/>
        <v>2199.4459317585302</v>
      </c>
      <c r="Q48" s="385">
        <f t="shared" si="24"/>
        <v>0.1664987668044606</v>
      </c>
      <c r="R48" s="382">
        <f t="shared" si="23"/>
        <v>0.31450131233595841</v>
      </c>
      <c r="S48" s="117"/>
    </row>
    <row r="49" spans="1:19" x14ac:dyDescent="0.25">
      <c r="A49" s="530"/>
      <c r="B49" s="530"/>
      <c r="C49" s="530"/>
      <c r="D49" s="114" t="s">
        <v>136</v>
      </c>
      <c r="E49" s="151">
        <f>'Water and Burning'!F92</f>
        <v>2.8959999999999999</v>
      </c>
      <c r="F49" s="151">
        <v>3.3540000000000001</v>
      </c>
      <c r="G49" s="151">
        <v>1.8420000000000001</v>
      </c>
      <c r="H49" s="25">
        <f t="shared" si="13"/>
        <v>2.8960000000000001E-3</v>
      </c>
      <c r="I49" s="25">
        <f t="shared" si="14"/>
        <v>3.3540000000000002E-3</v>
      </c>
      <c r="J49" s="25">
        <f t="shared" si="15"/>
        <v>1.8420000000000001E-3</v>
      </c>
      <c r="K49" s="450">
        <f t="shared" si="16"/>
        <v>1.5147265077138851E-6</v>
      </c>
      <c r="L49" s="450">
        <f t="shared" si="17"/>
        <v>4.5882588659587264E-7</v>
      </c>
      <c r="M49" s="324">
        <f t="shared" ref="M49:M53" si="25">(L49/K49)</f>
        <v>0.30291005291005296</v>
      </c>
      <c r="N49" s="327">
        <f t="shared" si="18"/>
        <v>1911.8962962962962</v>
      </c>
      <c r="O49" s="327">
        <f t="shared" si="19"/>
        <v>2742.6823529411768</v>
      </c>
      <c r="P49" s="327">
        <f t="shared" si="20"/>
        <v>2214.2611111111109</v>
      </c>
      <c r="Q49" s="386">
        <f t="shared" si="24"/>
        <v>0.15814917127071826</v>
      </c>
      <c r="R49" s="383">
        <f t="shared" si="23"/>
        <v>0.30291005291005296</v>
      </c>
    </row>
    <row r="50" spans="1:19" ht="15.75" thickBot="1" x14ac:dyDescent="0.3">
      <c r="A50" s="530"/>
      <c r="B50" s="531"/>
      <c r="C50" s="530"/>
      <c r="D50" s="115" t="s">
        <v>137</v>
      </c>
      <c r="E50" s="152">
        <f>'Water and Burning'!F93</f>
        <v>2.9144999999999999</v>
      </c>
      <c r="F50" s="152">
        <v>3.3879999999999999</v>
      </c>
      <c r="G50" s="152">
        <v>1.8560000000000001</v>
      </c>
      <c r="H50" s="58">
        <f t="shared" si="13"/>
        <v>2.9145E-3</v>
      </c>
      <c r="I50" s="58">
        <f t="shared" si="14"/>
        <v>3.388E-3</v>
      </c>
      <c r="J50" s="58">
        <f t="shared" si="15"/>
        <v>1.8560000000000002E-3</v>
      </c>
      <c r="K50" s="451">
        <f t="shared" si="16"/>
        <v>1.5347625726307349E-6</v>
      </c>
      <c r="L50" s="451">
        <f t="shared" si="17"/>
        <v>4.743538369064315E-7</v>
      </c>
      <c r="M50" s="325">
        <f t="shared" si="25"/>
        <v>0.30907310704960839</v>
      </c>
      <c r="N50" s="328">
        <f t="shared" si="18"/>
        <v>1898.9907963446481</v>
      </c>
      <c r="O50" s="328">
        <f t="shared" si="19"/>
        <v>2748.4684931506858</v>
      </c>
      <c r="P50" s="328">
        <f t="shared" si="20"/>
        <v>2207.5075718015673</v>
      </c>
      <c r="Q50" s="387">
        <f t="shared" si="24"/>
        <v>0.16246354434722937</v>
      </c>
      <c r="R50" s="384">
        <f t="shared" si="23"/>
        <v>0.30907310704960839</v>
      </c>
    </row>
    <row r="51" spans="1:19" x14ac:dyDescent="0.25">
      <c r="A51" s="530"/>
      <c r="B51" s="532" t="s">
        <v>20</v>
      </c>
      <c r="C51" s="530"/>
      <c r="D51" s="113" t="s">
        <v>135</v>
      </c>
      <c r="E51" s="87">
        <f>'Water and Burning'!F98</f>
        <v>3.0331999999999999</v>
      </c>
      <c r="F51" s="87">
        <v>3.2909999999999999</v>
      </c>
      <c r="G51" s="87">
        <v>1.893</v>
      </c>
      <c r="H51" s="22">
        <f t="shared" si="13"/>
        <v>3.0331999999999998E-3</v>
      </c>
      <c r="I51" s="22">
        <f t="shared" si="14"/>
        <v>3.2910000000000001E-3</v>
      </c>
      <c r="J51" s="22">
        <f t="shared" si="15"/>
        <v>1.8930000000000002E-3</v>
      </c>
      <c r="K51" s="449">
        <f t="shared" si="16"/>
        <v>1.400520937687838E-6</v>
      </c>
      <c r="L51" s="449">
        <f t="shared" si="17"/>
        <v>2.5826487677820103E-7</v>
      </c>
      <c r="M51" s="323">
        <f t="shared" si="25"/>
        <v>0.18440629470672409</v>
      </c>
      <c r="N51" s="326">
        <f t="shared" si="18"/>
        <v>2165.7655507868385</v>
      </c>
      <c r="O51" s="326">
        <f t="shared" si="19"/>
        <v>2655.446623399404</v>
      </c>
      <c r="P51" s="326">
        <f t="shared" si="20"/>
        <v>2349.8399141630903</v>
      </c>
      <c r="Q51" s="385">
        <f t="shared" si="24"/>
        <v>8.4992746933931274E-2</v>
      </c>
      <c r="R51" s="382">
        <f t="shared" si="23"/>
        <v>0.18440629470672409</v>
      </c>
    </row>
    <row r="52" spans="1:19" x14ac:dyDescent="0.25">
      <c r="A52" s="530"/>
      <c r="B52" s="530"/>
      <c r="C52" s="530"/>
      <c r="D52" s="114" t="s">
        <v>136</v>
      </c>
      <c r="E52" s="151">
        <f>'Water and Burning'!F99</f>
        <v>3.0825999999999998</v>
      </c>
      <c r="F52" s="151">
        <v>3.3439999999999999</v>
      </c>
      <c r="G52" s="151">
        <v>1.9219999999999999</v>
      </c>
      <c r="H52" s="25">
        <f t="shared" si="13"/>
        <v>3.0826E-3</v>
      </c>
      <c r="I52" s="25">
        <f t="shared" si="14"/>
        <v>3.3439999999999998E-3</v>
      </c>
      <c r="J52" s="25">
        <f t="shared" si="15"/>
        <v>1.9219999999999999E-3</v>
      </c>
      <c r="K52" s="450">
        <f t="shared" si="16"/>
        <v>1.4245642155880583E-6</v>
      </c>
      <c r="L52" s="450">
        <f t="shared" si="17"/>
        <v>2.6187136846323357E-7</v>
      </c>
      <c r="M52" s="324">
        <f t="shared" si="25"/>
        <v>0.18382559774964824</v>
      </c>
      <c r="N52" s="327">
        <f t="shared" si="18"/>
        <v>2163.8898171589312</v>
      </c>
      <c r="O52" s="327">
        <f t="shared" si="19"/>
        <v>2651.2591073582626</v>
      </c>
      <c r="P52" s="327">
        <f t="shared" si="20"/>
        <v>2347.3845288326302</v>
      </c>
      <c r="Q52" s="386">
        <f t="shared" si="24"/>
        <v>8.479854668137278E-2</v>
      </c>
      <c r="R52" s="383">
        <f t="shared" si="23"/>
        <v>0.18382559774964824</v>
      </c>
    </row>
    <row r="53" spans="1:19" ht="15.75" thickBot="1" x14ac:dyDescent="0.3">
      <c r="A53" s="531"/>
      <c r="B53" s="531"/>
      <c r="C53" s="531"/>
      <c r="D53" s="115" t="s">
        <v>137</v>
      </c>
      <c r="E53" s="152">
        <f>'Water and Burning'!F100</f>
        <v>3.0823999999999998</v>
      </c>
      <c r="F53" s="152">
        <v>3.3359999999999999</v>
      </c>
      <c r="G53" s="152">
        <v>1.921</v>
      </c>
      <c r="H53" s="58">
        <f t="shared" si="13"/>
        <v>3.0823999999999999E-3</v>
      </c>
      <c r="I53" s="58">
        <f t="shared" si="14"/>
        <v>3.336E-3</v>
      </c>
      <c r="J53" s="58">
        <f t="shared" si="15"/>
        <v>1.9210000000000002E-3</v>
      </c>
      <c r="K53" s="451">
        <f t="shared" si="16"/>
        <v>1.4175515928671607E-6</v>
      </c>
      <c r="L53" s="451">
        <f t="shared" si="17"/>
        <v>2.5405730314566229E-7</v>
      </c>
      <c r="M53" s="325">
        <f t="shared" si="25"/>
        <v>0.1792226148409895</v>
      </c>
      <c r="N53" s="328">
        <f t="shared" si="18"/>
        <v>2174.45348409894</v>
      </c>
      <c r="O53" s="328">
        <f t="shared" si="19"/>
        <v>2649.2609609092483</v>
      </c>
      <c r="P53" s="328">
        <f t="shared" si="20"/>
        <v>2353.3534982332158</v>
      </c>
      <c r="Q53" s="387">
        <f t="shared" si="24"/>
        <v>8.2273553075525599E-2</v>
      </c>
      <c r="R53" s="384">
        <f t="shared" si="23"/>
        <v>0.1792226148409895</v>
      </c>
    </row>
    <row r="54" spans="1:19" x14ac:dyDescent="0.25">
      <c r="A54" s="108" t="s">
        <v>273</v>
      </c>
      <c r="B54" s="148" t="s">
        <v>274</v>
      </c>
      <c r="C54" s="148" t="s">
        <v>275</v>
      </c>
      <c r="D54" s="109" t="s">
        <v>6</v>
      </c>
      <c r="E54" s="150" t="s">
        <v>276</v>
      </c>
      <c r="F54" s="150" t="s">
        <v>277</v>
      </c>
      <c r="G54" s="150" t="s">
        <v>278</v>
      </c>
      <c r="H54" s="150" t="s">
        <v>276</v>
      </c>
      <c r="I54" s="109" t="s">
        <v>277</v>
      </c>
      <c r="J54" s="109" t="s">
        <v>278</v>
      </c>
      <c r="K54" s="109" t="s">
        <v>279</v>
      </c>
      <c r="L54" s="109" t="s">
        <v>280</v>
      </c>
      <c r="M54" s="109" t="s">
        <v>281</v>
      </c>
      <c r="N54" s="109" t="s">
        <v>282</v>
      </c>
      <c r="O54" s="109" t="s">
        <v>283</v>
      </c>
      <c r="P54" s="109" t="s">
        <v>284</v>
      </c>
      <c r="Q54" s="109" t="s">
        <v>285</v>
      </c>
      <c r="R54" s="110" t="s">
        <v>286</v>
      </c>
      <c r="S54" s="117"/>
    </row>
    <row r="55" spans="1:19" ht="15.75" thickBot="1" x14ac:dyDescent="0.3">
      <c r="A55" s="111"/>
      <c r="B55" s="149"/>
      <c r="C55" s="149"/>
      <c r="D55" s="112"/>
      <c r="E55" s="112" t="s">
        <v>120</v>
      </c>
      <c r="F55" s="112" t="s">
        <v>120</v>
      </c>
      <c r="G55" s="112" t="s">
        <v>120</v>
      </c>
      <c r="H55" s="112" t="s">
        <v>28</v>
      </c>
      <c r="I55" s="112" t="s">
        <v>28</v>
      </c>
      <c r="J55" s="112" t="s">
        <v>28</v>
      </c>
      <c r="K55" s="112" t="s">
        <v>287</v>
      </c>
      <c r="L55" s="112" t="s">
        <v>291</v>
      </c>
      <c r="M55" s="340" t="s">
        <v>288</v>
      </c>
      <c r="N55" s="112" t="s">
        <v>289</v>
      </c>
      <c r="O55" s="112" t="s">
        <v>289</v>
      </c>
      <c r="P55" s="112" t="s">
        <v>289</v>
      </c>
      <c r="Q55" s="340" t="s">
        <v>290</v>
      </c>
      <c r="R55" s="341" t="s">
        <v>291</v>
      </c>
      <c r="S55" s="117"/>
    </row>
    <row r="56" spans="1:19" x14ac:dyDescent="0.25">
      <c r="A56" s="529" t="s">
        <v>295</v>
      </c>
      <c r="B56" s="532" t="s">
        <v>134</v>
      </c>
      <c r="C56" s="532" t="s">
        <v>123</v>
      </c>
      <c r="D56" s="113" t="s">
        <v>135</v>
      </c>
      <c r="E56" s="87">
        <f>'Water and Burning'!K59</f>
        <v>3.0070000000000001</v>
      </c>
      <c r="F56" s="87">
        <v>3.661</v>
      </c>
      <c r="G56" s="87">
        <v>1.929</v>
      </c>
      <c r="H56" s="22">
        <f t="shared" ref="H56:H73" si="26">E56*10^(-3)</f>
        <v>3.0070000000000001E-3</v>
      </c>
      <c r="I56" s="22">
        <f t="shared" ref="I56:I73" si="27">F56*10^(-3)</f>
        <v>3.6610000000000002E-3</v>
      </c>
      <c r="J56" s="22">
        <f t="shared" ref="J56:J73" si="28">G56*10^(-3)</f>
        <v>1.9290000000000002E-3</v>
      </c>
      <c r="K56" s="449">
        <f t="shared" ref="K56:K73" si="29">(I56-J56)/$L$10</f>
        <v>1.7351232217992387E-6</v>
      </c>
      <c r="L56" s="449">
        <f t="shared" ref="L56:L73" si="30">(I56-H56)/$L$10</f>
        <v>6.5517932278100583E-7</v>
      </c>
      <c r="M56" s="323">
        <f>(L56/K56)</f>
        <v>0.37759815242494227</v>
      </c>
      <c r="N56" s="326">
        <f t="shared" ref="N56:N73" si="31">H56/K56</f>
        <v>1733.0181293302542</v>
      </c>
      <c r="O56" s="326">
        <f t="shared" ref="O56:O73" si="32">H56/(K56-L56)</f>
        <v>2784.4038961038959</v>
      </c>
      <c r="P56" s="326">
        <f t="shared" ref="P56:P73" si="33">I56/K56</f>
        <v>2109.9366050808317</v>
      </c>
      <c r="Q56" s="385">
        <f>(I56-H56)/H56</f>
        <v>0.21749251745926174</v>
      </c>
      <c r="R56" s="382">
        <f>L56/K56</f>
        <v>0.37759815242494227</v>
      </c>
      <c r="S56" s="117"/>
    </row>
    <row r="57" spans="1:19" x14ac:dyDescent="0.25">
      <c r="A57" s="530"/>
      <c r="B57" s="530"/>
      <c r="C57" s="530"/>
      <c r="D57" s="114" t="s">
        <v>136</v>
      </c>
      <c r="E57" s="151">
        <f>'Water and Burning'!K60</f>
        <v>2.8893</v>
      </c>
      <c r="F57" s="151">
        <v>3.504</v>
      </c>
      <c r="G57" s="151">
        <v>1.851</v>
      </c>
      <c r="H57" s="25">
        <f t="shared" si="26"/>
        <v>2.8893E-3</v>
      </c>
      <c r="I57" s="25">
        <f t="shared" si="27"/>
        <v>3.5040000000000002E-3</v>
      </c>
      <c r="J57" s="25">
        <f t="shared" si="28"/>
        <v>1.851E-3</v>
      </c>
      <c r="K57" s="450">
        <f t="shared" si="29"/>
        <v>1.6559807653776798E-6</v>
      </c>
      <c r="L57" s="450">
        <f t="shared" si="30"/>
        <v>6.1580845521939505E-7</v>
      </c>
      <c r="M57" s="324">
        <f t="shared" ref="M57:M67" si="34">(L57/K57)</f>
        <v>0.37186932849364801</v>
      </c>
      <c r="N57" s="327">
        <f t="shared" si="31"/>
        <v>1744.7666424682395</v>
      </c>
      <c r="O57" s="327">
        <f t="shared" si="32"/>
        <v>2777.7128575556203</v>
      </c>
      <c r="P57" s="327">
        <f t="shared" si="33"/>
        <v>2115.9666061705989</v>
      </c>
      <c r="Q57" s="386">
        <f>(I57-H57)/H57</f>
        <v>0.21275049319904479</v>
      </c>
      <c r="R57" s="383">
        <f>L57/K57</f>
        <v>0.37186932849364801</v>
      </c>
    </row>
    <row r="58" spans="1:19" ht="15.75" thickBot="1" x14ac:dyDescent="0.3">
      <c r="A58" s="530"/>
      <c r="B58" s="531"/>
      <c r="C58" s="530"/>
      <c r="D58" s="115" t="s">
        <v>137</v>
      </c>
      <c r="E58" s="152">
        <f>'Water and Burning'!K61</f>
        <v>2.9674999999999998</v>
      </c>
      <c r="F58" s="152">
        <v>3.5979999999999999</v>
      </c>
      <c r="G58" s="152">
        <v>1.901</v>
      </c>
      <c r="H58" s="58">
        <f t="shared" si="26"/>
        <v>2.9674999999999997E-3</v>
      </c>
      <c r="I58" s="58">
        <f t="shared" si="27"/>
        <v>3.5980000000000001E-3</v>
      </c>
      <c r="J58" s="58">
        <f t="shared" si="28"/>
        <v>1.9010000000000001E-3</v>
      </c>
      <c r="K58" s="451">
        <f t="shared" si="29"/>
        <v>1.7000601081947504E-6</v>
      </c>
      <c r="L58" s="451">
        <f t="shared" si="30"/>
        <v>6.3163694650370709E-7</v>
      </c>
      <c r="M58" s="325">
        <f t="shared" si="34"/>
        <v>0.37153800824985295</v>
      </c>
      <c r="N58" s="328">
        <f t="shared" si="31"/>
        <v>1745.5265173836181</v>
      </c>
      <c r="O58" s="328">
        <f t="shared" si="32"/>
        <v>2777.4575714955477</v>
      </c>
      <c r="P58" s="328">
        <f t="shared" si="33"/>
        <v>2116.3957572186214</v>
      </c>
      <c r="Q58" s="387">
        <f>(I58-H58)/H58</f>
        <v>0.212468407750632</v>
      </c>
      <c r="R58" s="384">
        <f>L58/K58</f>
        <v>0.37153800824985295</v>
      </c>
    </row>
    <row r="59" spans="1:19" x14ac:dyDescent="0.25">
      <c r="A59" s="530"/>
      <c r="B59" s="532" t="s">
        <v>20</v>
      </c>
      <c r="C59" s="530"/>
      <c r="D59" s="113" t="s">
        <v>135</v>
      </c>
      <c r="E59" s="87">
        <f>'Water and Burning'!K66</f>
        <v>3.0438000000000001</v>
      </c>
      <c r="F59" s="87">
        <v>3.516</v>
      </c>
      <c r="G59" s="87">
        <v>1.9079999999999999</v>
      </c>
      <c r="H59" s="22">
        <f t="shared" si="26"/>
        <v>3.0438000000000002E-3</v>
      </c>
      <c r="I59" s="22">
        <f t="shared" si="27"/>
        <v>3.516E-3</v>
      </c>
      <c r="J59" s="22">
        <f t="shared" si="28"/>
        <v>1.908E-3</v>
      </c>
      <c r="K59" s="449">
        <f t="shared" si="29"/>
        <v>1.6108996193147667E-6</v>
      </c>
      <c r="L59" s="449">
        <f t="shared" si="30"/>
        <v>4.7305149268683618E-7</v>
      </c>
      <c r="M59" s="323">
        <f t="shared" si="34"/>
        <v>0.29365671641791036</v>
      </c>
      <c r="N59" s="326">
        <f t="shared" si="31"/>
        <v>1889.503208955224</v>
      </c>
      <c r="O59" s="326">
        <f t="shared" si="32"/>
        <v>2675.0494453248807</v>
      </c>
      <c r="P59" s="326">
        <f t="shared" si="33"/>
        <v>2182.6313432835818</v>
      </c>
      <c r="Q59" s="385">
        <f t="shared" ref="Q59:Q65" si="35">(I59-H59)/H59</f>
        <v>0.15513502858269265</v>
      </c>
      <c r="R59" s="382">
        <f t="shared" ref="R59:R73" si="36">L59/K59</f>
        <v>0.29365671641791036</v>
      </c>
    </row>
    <row r="60" spans="1:19" x14ac:dyDescent="0.25">
      <c r="A60" s="530"/>
      <c r="B60" s="530"/>
      <c r="C60" s="530"/>
      <c r="D60" s="114" t="s">
        <v>136</v>
      </c>
      <c r="E60" s="151">
        <f>'Water and Burning'!K67</f>
        <v>3.0409999999999999</v>
      </c>
      <c r="F60" s="151">
        <v>3.5030000000000001</v>
      </c>
      <c r="G60" s="151">
        <v>1.9079999999999999</v>
      </c>
      <c r="H60" s="25">
        <f t="shared" si="26"/>
        <v>3.0409999999999999E-3</v>
      </c>
      <c r="I60" s="25">
        <f t="shared" si="27"/>
        <v>3.503E-3</v>
      </c>
      <c r="J60" s="25">
        <f t="shared" si="28"/>
        <v>1.908E-3</v>
      </c>
      <c r="K60" s="450">
        <f t="shared" si="29"/>
        <v>1.5978761771188138E-6</v>
      </c>
      <c r="L60" s="450">
        <f t="shared" si="30"/>
        <v>4.6283309957924278E-7</v>
      </c>
      <c r="M60" s="324">
        <f t="shared" si="34"/>
        <v>0.28965517241379318</v>
      </c>
      <c r="N60" s="327">
        <f t="shared" si="31"/>
        <v>1903.1512225705328</v>
      </c>
      <c r="O60" s="327">
        <f t="shared" si="32"/>
        <v>2679.1934686672553</v>
      </c>
      <c r="P60" s="327">
        <f t="shared" si="33"/>
        <v>2192.2850156739814</v>
      </c>
      <c r="Q60" s="386">
        <f t="shared" si="35"/>
        <v>0.15192370930614935</v>
      </c>
      <c r="R60" s="383">
        <f t="shared" si="36"/>
        <v>0.28965517241379318</v>
      </c>
    </row>
    <row r="61" spans="1:19" ht="15.75" thickBot="1" x14ac:dyDescent="0.3">
      <c r="A61" s="533"/>
      <c r="B61" s="531"/>
      <c r="C61" s="530"/>
      <c r="D61" s="115" t="s">
        <v>137</v>
      </c>
      <c r="E61" s="152">
        <f>'Water and Burning'!K68</f>
        <v>2.9792000000000001</v>
      </c>
      <c r="F61" s="152">
        <v>3.4359999999999999</v>
      </c>
      <c r="G61" s="152">
        <v>1.869</v>
      </c>
      <c r="H61" s="58">
        <f t="shared" si="26"/>
        <v>2.9792E-3</v>
      </c>
      <c r="I61" s="58">
        <f t="shared" si="27"/>
        <v>3.4359999999999998E-3</v>
      </c>
      <c r="J61" s="58">
        <f t="shared" si="28"/>
        <v>1.869E-3</v>
      </c>
      <c r="K61" s="451">
        <f t="shared" si="29"/>
        <v>1.5698256862352232E-6</v>
      </c>
      <c r="L61" s="451">
        <f t="shared" si="30"/>
        <v>4.5762372270086136E-7</v>
      </c>
      <c r="M61" s="325">
        <f t="shared" si="34"/>
        <v>0.29151244416081679</v>
      </c>
      <c r="N61" s="328">
        <f t="shared" si="31"/>
        <v>1897.7903254626679</v>
      </c>
      <c r="O61" s="328">
        <f t="shared" si="32"/>
        <v>2678.650189155107</v>
      </c>
      <c r="P61" s="328">
        <f t="shared" si="33"/>
        <v>2188.7780472239951</v>
      </c>
      <c r="Q61" s="387">
        <f t="shared" si="35"/>
        <v>0.15332975295381304</v>
      </c>
      <c r="R61" s="384">
        <f t="shared" si="36"/>
        <v>0.29151244416081679</v>
      </c>
    </row>
    <row r="62" spans="1:19" x14ac:dyDescent="0.25">
      <c r="A62" s="529" t="s">
        <v>296</v>
      </c>
      <c r="B62" s="532" t="s">
        <v>134</v>
      </c>
      <c r="C62" s="530"/>
      <c r="D62" s="113" t="s">
        <v>135</v>
      </c>
      <c r="E62" s="87">
        <f>'Water and Burning'!K75</f>
        <v>2.8651</v>
      </c>
      <c r="F62" s="87">
        <v>3.45</v>
      </c>
      <c r="G62" s="87">
        <v>1.835</v>
      </c>
      <c r="H62" s="22">
        <f t="shared" si="26"/>
        <v>2.8651000000000002E-3</v>
      </c>
      <c r="I62" s="22">
        <f t="shared" si="27"/>
        <v>3.4500000000000004E-3</v>
      </c>
      <c r="J62" s="22">
        <f t="shared" si="28"/>
        <v>1.835E-3</v>
      </c>
      <c r="K62" s="449">
        <f t="shared" si="29"/>
        <v>1.6179122420356645E-6</v>
      </c>
      <c r="L62" s="449">
        <f t="shared" si="30"/>
        <v>5.859547184932881E-7</v>
      </c>
      <c r="M62" s="323">
        <f t="shared" si="34"/>
        <v>0.36216718266253878</v>
      </c>
      <c r="N62" s="326">
        <f t="shared" si="31"/>
        <v>1770.8624272445818</v>
      </c>
      <c r="O62" s="326">
        <f t="shared" si="32"/>
        <v>2776.3739636928453</v>
      </c>
      <c r="P62" s="326">
        <f t="shared" si="33"/>
        <v>2132.377708978328</v>
      </c>
      <c r="Q62" s="385">
        <f t="shared" si="35"/>
        <v>0.20414645213081573</v>
      </c>
      <c r="R62" s="382">
        <f t="shared" si="36"/>
        <v>0.36216718266253878</v>
      </c>
    </row>
    <row r="63" spans="1:19" x14ac:dyDescent="0.25">
      <c r="A63" s="530"/>
      <c r="B63" s="530"/>
      <c r="C63" s="530"/>
      <c r="D63" s="114" t="s">
        <v>136</v>
      </c>
      <c r="E63" s="151">
        <f>'Water and Burning'!K76</f>
        <v>2.8910999999999998</v>
      </c>
      <c r="F63" s="151">
        <v>3.4689999999999999</v>
      </c>
      <c r="G63" s="151">
        <v>1.851</v>
      </c>
      <c r="H63" s="25">
        <f t="shared" si="26"/>
        <v>2.8910999999999997E-3</v>
      </c>
      <c r="I63" s="25">
        <f t="shared" si="27"/>
        <v>3.4689999999999999E-3</v>
      </c>
      <c r="J63" s="25">
        <f t="shared" si="28"/>
        <v>1.851E-3</v>
      </c>
      <c r="K63" s="450">
        <f t="shared" si="29"/>
        <v>1.6209176517731916E-6</v>
      </c>
      <c r="L63" s="450">
        <f t="shared" si="30"/>
        <v>5.7894209577239039E-7</v>
      </c>
      <c r="M63" s="324">
        <f t="shared" si="34"/>
        <v>0.35716934487021024</v>
      </c>
      <c r="N63" s="327">
        <f t="shared" si="31"/>
        <v>1783.6192954264525</v>
      </c>
      <c r="O63" s="327">
        <f t="shared" si="32"/>
        <v>2774.6332275742725</v>
      </c>
      <c r="P63" s="327">
        <f t="shared" si="33"/>
        <v>2140.1457354758963</v>
      </c>
      <c r="Q63" s="386">
        <f t="shared" si="35"/>
        <v>0.19988931548545541</v>
      </c>
      <c r="R63" s="383">
        <f t="shared" si="36"/>
        <v>0.35716934487021024</v>
      </c>
      <c r="S63" s="116"/>
    </row>
    <row r="64" spans="1:19" ht="15.75" thickBot="1" x14ac:dyDescent="0.3">
      <c r="A64" s="530"/>
      <c r="B64" s="531"/>
      <c r="C64" s="530"/>
      <c r="D64" s="115" t="s">
        <v>137</v>
      </c>
      <c r="E64" s="152">
        <f>'Water and Burning'!K77</f>
        <v>2.9567999999999999</v>
      </c>
      <c r="F64" s="152">
        <v>3.544</v>
      </c>
      <c r="G64" s="152">
        <v>1.893</v>
      </c>
      <c r="H64" s="58">
        <f t="shared" si="26"/>
        <v>2.9567999999999999E-3</v>
      </c>
      <c r="I64" s="58">
        <f t="shared" si="27"/>
        <v>3.5440000000000003E-3</v>
      </c>
      <c r="J64" s="58">
        <f t="shared" si="28"/>
        <v>1.8930000000000002E-3</v>
      </c>
      <c r="K64" s="451">
        <f t="shared" si="29"/>
        <v>1.6539771588859949E-6</v>
      </c>
      <c r="L64" s="451">
        <f t="shared" si="30"/>
        <v>5.8825886595872611E-7</v>
      </c>
      <c r="M64" s="325">
        <f t="shared" si="34"/>
        <v>0.35566323440339209</v>
      </c>
      <c r="N64" s="328">
        <f t="shared" si="31"/>
        <v>1787.6909509388247</v>
      </c>
      <c r="O64" s="328">
        <f t="shared" si="32"/>
        <v>2774.4667794698262</v>
      </c>
      <c r="P64" s="328">
        <f t="shared" si="33"/>
        <v>2142.7139915202906</v>
      </c>
      <c r="Q64" s="387">
        <f t="shared" si="35"/>
        <v>0.19859307359307374</v>
      </c>
      <c r="R64" s="384">
        <f t="shared" si="36"/>
        <v>0.35566323440339209</v>
      </c>
      <c r="S64" s="116"/>
    </row>
    <row r="65" spans="1:19" x14ac:dyDescent="0.25">
      <c r="A65" s="530"/>
      <c r="B65" s="532" t="s">
        <v>20</v>
      </c>
      <c r="C65" s="530"/>
      <c r="D65" s="113" t="s">
        <v>135</v>
      </c>
      <c r="E65" s="87">
        <f>'Water and Burning'!K82</f>
        <v>2.9792999999999998</v>
      </c>
      <c r="F65" s="87">
        <v>3.4039999999999999</v>
      </c>
      <c r="G65" s="87">
        <v>1.8660000000000001</v>
      </c>
      <c r="H65" s="22">
        <f t="shared" si="26"/>
        <v>2.9792999999999998E-3</v>
      </c>
      <c r="I65" s="22">
        <f t="shared" si="27"/>
        <v>3.4039999999999999E-3</v>
      </c>
      <c r="J65" s="22">
        <f t="shared" si="28"/>
        <v>1.866E-3</v>
      </c>
      <c r="K65" s="449">
        <f t="shared" si="29"/>
        <v>1.5407733921057901E-6</v>
      </c>
      <c r="L65" s="449">
        <f t="shared" si="30"/>
        <v>4.2546583850931684E-7</v>
      </c>
      <c r="M65" s="323">
        <f t="shared" si="34"/>
        <v>0.27613784135240582</v>
      </c>
      <c r="N65" s="326">
        <f t="shared" si="31"/>
        <v>1933.6393107932381</v>
      </c>
      <c r="O65" s="326">
        <f t="shared" si="32"/>
        <v>2671.2811102128812</v>
      </c>
      <c r="P65" s="326">
        <f t="shared" si="33"/>
        <v>2209.2801040312097</v>
      </c>
      <c r="Q65" s="385">
        <f t="shared" si="35"/>
        <v>0.1425502634847112</v>
      </c>
      <c r="R65" s="382">
        <f t="shared" si="36"/>
        <v>0.27613784135240582</v>
      </c>
      <c r="S65" s="116"/>
    </row>
    <row r="66" spans="1:19" x14ac:dyDescent="0.25">
      <c r="A66" s="530"/>
      <c r="B66" s="530"/>
      <c r="C66" s="530"/>
      <c r="D66" s="114" t="s">
        <v>136</v>
      </c>
      <c r="E66" s="151">
        <f>'Water and Burning'!K83</f>
        <v>2.9842</v>
      </c>
      <c r="F66" s="151">
        <v>3.3980000000000001</v>
      </c>
      <c r="G66" s="151">
        <v>1.86</v>
      </c>
      <c r="H66" s="25">
        <f t="shared" si="26"/>
        <v>2.9842000000000002E-3</v>
      </c>
      <c r="I66" s="25">
        <f t="shared" si="27"/>
        <v>3.3980000000000004E-3</v>
      </c>
      <c r="J66" s="25">
        <f t="shared" si="28"/>
        <v>1.8600000000000001E-3</v>
      </c>
      <c r="K66" s="450">
        <f t="shared" si="29"/>
        <v>1.5407733921057906E-6</v>
      </c>
      <c r="L66" s="450">
        <f t="shared" si="30"/>
        <v>4.1454618312963351E-7</v>
      </c>
      <c r="M66" s="324">
        <f t="shared" si="34"/>
        <v>0.26905071521456447</v>
      </c>
      <c r="N66" s="327">
        <f t="shared" si="31"/>
        <v>1936.8195318595579</v>
      </c>
      <c r="O66" s="327">
        <f t="shared" si="32"/>
        <v>2649.7317559153175</v>
      </c>
      <c r="P66" s="327">
        <f t="shared" si="33"/>
        <v>2205.3859557867358</v>
      </c>
      <c r="Q66" s="386">
        <f>(I66-H66)/H66</f>
        <v>0.1386636284431339</v>
      </c>
      <c r="R66" s="383">
        <f t="shared" si="36"/>
        <v>0.26905071521456447</v>
      </c>
      <c r="S66" s="117"/>
    </row>
    <row r="67" spans="1:19" ht="15.75" thickBot="1" x14ac:dyDescent="0.3">
      <c r="A67" s="533"/>
      <c r="B67" s="531"/>
      <c r="C67" s="530"/>
      <c r="D67" s="115" t="s">
        <v>137</v>
      </c>
      <c r="E67" s="152">
        <f>'Water and Burning'!K84</f>
        <v>3.0301</v>
      </c>
      <c r="F67" s="152">
        <v>3.431</v>
      </c>
      <c r="G67" s="152">
        <v>1.891</v>
      </c>
      <c r="H67" s="58">
        <f t="shared" si="26"/>
        <v>3.0301E-3</v>
      </c>
      <c r="I67" s="58">
        <f t="shared" si="27"/>
        <v>3.431E-3</v>
      </c>
      <c r="J67" s="58">
        <f t="shared" si="28"/>
        <v>1.8910000000000001E-3</v>
      </c>
      <c r="K67" s="451">
        <f t="shared" si="29"/>
        <v>1.5427769985974753E-6</v>
      </c>
      <c r="L67" s="451">
        <f t="shared" si="30"/>
        <v>4.0162292125826493E-7</v>
      </c>
      <c r="M67" s="325">
        <f t="shared" si="34"/>
        <v>0.2603246753246754</v>
      </c>
      <c r="N67" s="328">
        <f t="shared" si="31"/>
        <v>1964.0557272727274</v>
      </c>
      <c r="O67" s="328">
        <f t="shared" si="32"/>
        <v>2655.2943727504176</v>
      </c>
      <c r="P67" s="328">
        <f t="shared" si="33"/>
        <v>2223.9118181818185</v>
      </c>
      <c r="Q67" s="387">
        <f t="shared" ref="Q67:Q73" si="37">(I67-H67)/H67</f>
        <v>0.13230586449292103</v>
      </c>
      <c r="R67" s="384">
        <f t="shared" si="36"/>
        <v>0.2603246753246754</v>
      </c>
      <c r="S67" s="117"/>
    </row>
    <row r="68" spans="1:19" x14ac:dyDescent="0.25">
      <c r="A68" s="529" t="s">
        <v>297</v>
      </c>
      <c r="B68" s="532" t="s">
        <v>134</v>
      </c>
      <c r="C68" s="530"/>
      <c r="D68" s="113" t="s">
        <v>135</v>
      </c>
      <c r="E68" s="87">
        <f>'Water and Burning'!K91</f>
        <v>2.9416000000000002</v>
      </c>
      <c r="F68" s="87">
        <v>3.3610000000000002</v>
      </c>
      <c r="G68" s="87">
        <v>1.875</v>
      </c>
      <c r="H68" s="22">
        <f t="shared" si="26"/>
        <v>2.9416000000000004E-3</v>
      </c>
      <c r="I68" s="22">
        <f t="shared" si="27"/>
        <v>3.3610000000000003E-3</v>
      </c>
      <c r="J68" s="22">
        <f t="shared" si="28"/>
        <v>1.8749999999999999E-3</v>
      </c>
      <c r="K68" s="449">
        <f t="shared" si="29"/>
        <v>1.4886796233219798E-6</v>
      </c>
      <c r="L68" s="449">
        <f t="shared" si="30"/>
        <v>4.2015628130635131E-7</v>
      </c>
      <c r="M68" s="323">
        <f>(L68/K68)</f>
        <v>0.28223418573351267</v>
      </c>
      <c r="N68" s="326">
        <f t="shared" si="31"/>
        <v>1975.9792193808883</v>
      </c>
      <c r="O68" s="326">
        <f t="shared" si="32"/>
        <v>2752.9581098818671</v>
      </c>
      <c r="P68" s="326">
        <f t="shared" si="33"/>
        <v>2257.7053835800807</v>
      </c>
      <c r="Q68" s="385">
        <f t="shared" si="37"/>
        <v>0.14257546913244487</v>
      </c>
      <c r="R68" s="382">
        <f t="shared" si="36"/>
        <v>0.28223418573351267</v>
      </c>
      <c r="S68" s="117"/>
    </row>
    <row r="69" spans="1:19" x14ac:dyDescent="0.25">
      <c r="A69" s="530"/>
      <c r="B69" s="530"/>
      <c r="C69" s="530"/>
      <c r="D69" s="114" t="s">
        <v>136</v>
      </c>
      <c r="E69" s="151">
        <f>'Water and Burning'!K92</f>
        <v>2.8702999999999999</v>
      </c>
      <c r="F69" s="151">
        <v>3.2749999999999999</v>
      </c>
      <c r="G69" s="151">
        <v>1.833</v>
      </c>
      <c r="H69" s="25">
        <f t="shared" si="26"/>
        <v>2.8703000000000001E-3</v>
      </c>
      <c r="I69" s="25">
        <f t="shared" si="27"/>
        <v>3.2750000000000001E-3</v>
      </c>
      <c r="J69" s="25">
        <f t="shared" si="28"/>
        <v>1.833E-3</v>
      </c>
      <c r="K69" s="450">
        <f t="shared" si="29"/>
        <v>1.444600280504909E-6</v>
      </c>
      <c r="L69" s="450">
        <f t="shared" si="30"/>
        <v>4.0542977359246643E-7</v>
      </c>
      <c r="M69" s="324">
        <f t="shared" ref="M69:M73" si="38">(L69/K69)</f>
        <v>0.28065187239944517</v>
      </c>
      <c r="N69" s="327">
        <f t="shared" si="31"/>
        <v>1986.9164077669902</v>
      </c>
      <c r="O69" s="327">
        <f t="shared" si="32"/>
        <v>2762.1068736141901</v>
      </c>
      <c r="P69" s="327">
        <f t="shared" si="33"/>
        <v>2267.0631067961162</v>
      </c>
      <c r="Q69" s="386">
        <f t="shared" si="37"/>
        <v>0.14099571473365155</v>
      </c>
      <c r="R69" s="383">
        <f t="shared" si="36"/>
        <v>0.28065187239944517</v>
      </c>
    </row>
    <row r="70" spans="1:19" ht="15.75" thickBot="1" x14ac:dyDescent="0.3">
      <c r="A70" s="530"/>
      <c r="B70" s="531"/>
      <c r="C70" s="530"/>
      <c r="D70" s="115" t="s">
        <v>137</v>
      </c>
      <c r="E70" s="152">
        <f>'Water and Burning'!K93</f>
        <v>2.9841000000000002</v>
      </c>
      <c r="F70" s="152">
        <v>3.387</v>
      </c>
      <c r="G70" s="152">
        <v>1.905</v>
      </c>
      <c r="H70" s="58">
        <f t="shared" si="26"/>
        <v>2.9841000000000004E-3</v>
      </c>
      <c r="I70" s="58">
        <f t="shared" si="27"/>
        <v>3.3870000000000003E-3</v>
      </c>
      <c r="J70" s="58">
        <f t="shared" si="28"/>
        <v>1.905E-3</v>
      </c>
      <c r="K70" s="451">
        <f t="shared" si="29"/>
        <v>1.4846724103386097E-6</v>
      </c>
      <c r="L70" s="451">
        <f t="shared" si="30"/>
        <v>4.0362652774994976E-7</v>
      </c>
      <c r="M70" s="325">
        <f t="shared" si="38"/>
        <v>0.27186234817813754</v>
      </c>
      <c r="N70" s="328">
        <f t="shared" si="31"/>
        <v>2009.9383400809716</v>
      </c>
      <c r="O70" s="328">
        <f t="shared" si="32"/>
        <v>2760.3823742007221</v>
      </c>
      <c r="P70" s="328">
        <f t="shared" si="33"/>
        <v>2281.3113360323887</v>
      </c>
      <c r="Q70" s="387">
        <f t="shared" si="37"/>
        <v>0.13501558258771482</v>
      </c>
      <c r="R70" s="384">
        <f t="shared" si="36"/>
        <v>0.27186234817813754</v>
      </c>
    </row>
    <row r="71" spans="1:19" x14ac:dyDescent="0.25">
      <c r="A71" s="530"/>
      <c r="B71" s="532" t="s">
        <v>20</v>
      </c>
      <c r="C71" s="530"/>
      <c r="D71" s="113" t="s">
        <v>135</v>
      </c>
      <c r="E71" s="87">
        <f>'Water and Burning'!K98</f>
        <v>3.0831</v>
      </c>
      <c r="F71" s="87">
        <v>3.43</v>
      </c>
      <c r="G71" s="87">
        <v>1.91</v>
      </c>
      <c r="H71" s="22">
        <f t="shared" si="26"/>
        <v>3.0831000000000001E-3</v>
      </c>
      <c r="I71" s="22">
        <f t="shared" si="27"/>
        <v>3.4300000000000003E-3</v>
      </c>
      <c r="J71" s="22">
        <f t="shared" si="28"/>
        <v>1.91E-3</v>
      </c>
      <c r="K71" s="449">
        <f t="shared" si="29"/>
        <v>1.5227409336806253E-6</v>
      </c>
      <c r="L71" s="449">
        <f t="shared" si="30"/>
        <v>3.4752554598276921E-7</v>
      </c>
      <c r="M71" s="323">
        <f t="shared" si="38"/>
        <v>0.22822368421052644</v>
      </c>
      <c r="N71" s="326">
        <f t="shared" si="31"/>
        <v>2024.7042236842103</v>
      </c>
      <c r="O71" s="326">
        <f t="shared" si="32"/>
        <v>2623.433995396812</v>
      </c>
      <c r="P71" s="326">
        <f t="shared" si="33"/>
        <v>2252.5171052631581</v>
      </c>
      <c r="Q71" s="385">
        <f t="shared" si="37"/>
        <v>0.11251662287956934</v>
      </c>
      <c r="R71" s="382">
        <f t="shared" si="36"/>
        <v>0.22822368421052644</v>
      </c>
    </row>
    <row r="72" spans="1:19" x14ac:dyDescent="0.25">
      <c r="A72" s="530"/>
      <c r="B72" s="530"/>
      <c r="C72" s="530"/>
      <c r="D72" s="114" t="s">
        <v>136</v>
      </c>
      <c r="E72" s="151">
        <f>'Water and Burning'!K99</f>
        <v>3.0554999999999999</v>
      </c>
      <c r="F72" s="151">
        <v>3.4</v>
      </c>
      <c r="G72" s="151">
        <v>1.893</v>
      </c>
      <c r="H72" s="25">
        <f t="shared" si="26"/>
        <v>3.0555000000000001E-3</v>
      </c>
      <c r="I72" s="25">
        <f t="shared" si="27"/>
        <v>3.3999999999999998E-3</v>
      </c>
      <c r="J72" s="25">
        <f t="shared" si="28"/>
        <v>1.8930000000000002E-3</v>
      </c>
      <c r="K72" s="450">
        <f t="shared" si="29"/>
        <v>1.509717491484672E-6</v>
      </c>
      <c r="L72" s="450">
        <f t="shared" si="30"/>
        <v>3.4512121819274667E-7</v>
      </c>
      <c r="M72" s="324">
        <f t="shared" si="38"/>
        <v>0.22859986728599854</v>
      </c>
      <c r="N72" s="327">
        <f t="shared" si="31"/>
        <v>2023.8885865958864</v>
      </c>
      <c r="O72" s="327">
        <f t="shared" si="32"/>
        <v>2623.6559999999999</v>
      </c>
      <c r="P72" s="327">
        <f t="shared" si="33"/>
        <v>2252.07697412077</v>
      </c>
      <c r="Q72" s="386">
        <f t="shared" si="37"/>
        <v>0.11274750450008174</v>
      </c>
      <c r="R72" s="383">
        <f t="shared" si="36"/>
        <v>0.22859986728599854</v>
      </c>
    </row>
    <row r="73" spans="1:19" ht="15.75" thickBot="1" x14ac:dyDescent="0.3">
      <c r="A73" s="531"/>
      <c r="B73" s="531"/>
      <c r="C73" s="531"/>
      <c r="D73" s="115" t="s">
        <v>137</v>
      </c>
      <c r="E73" s="152">
        <f>'Water and Burning'!K100</f>
        <v>3.0434999999999999</v>
      </c>
      <c r="F73" s="152">
        <v>3.387</v>
      </c>
      <c r="G73" s="152">
        <v>1.8839999999999999</v>
      </c>
      <c r="H73" s="58">
        <f t="shared" si="26"/>
        <v>3.0434999999999998E-3</v>
      </c>
      <c r="I73" s="58">
        <f t="shared" si="27"/>
        <v>3.3870000000000003E-3</v>
      </c>
      <c r="J73" s="58">
        <f t="shared" si="28"/>
        <v>1.884E-3</v>
      </c>
      <c r="K73" s="451">
        <f t="shared" si="29"/>
        <v>1.5057102785013025E-6</v>
      </c>
      <c r="L73" s="451">
        <f t="shared" si="30"/>
        <v>3.4411941494690489E-7</v>
      </c>
      <c r="M73" s="325">
        <f t="shared" si="38"/>
        <v>0.22854291417165695</v>
      </c>
      <c r="N73" s="328">
        <f t="shared" si="31"/>
        <v>2021.305189620758</v>
      </c>
      <c r="O73" s="328">
        <f t="shared" si="32"/>
        <v>2620.1135834411389</v>
      </c>
      <c r="P73" s="328">
        <f t="shared" si="33"/>
        <v>2249.4367265469059</v>
      </c>
      <c r="Q73" s="387">
        <f t="shared" si="37"/>
        <v>0.11286347954657484</v>
      </c>
      <c r="R73" s="384">
        <f t="shared" si="36"/>
        <v>0.22854291417165695</v>
      </c>
    </row>
    <row r="74" spans="1:19" x14ac:dyDescent="0.25">
      <c r="N74" s="92"/>
      <c r="O74" s="92"/>
      <c r="P74" s="92"/>
      <c r="S74" s="117"/>
    </row>
    <row r="75" spans="1:19" ht="15.75" thickBot="1" x14ac:dyDescent="0.3"/>
    <row r="76" spans="1:19" x14ac:dyDescent="0.25">
      <c r="A76" s="108" t="s">
        <v>273</v>
      </c>
      <c r="B76" s="148" t="s">
        <v>274</v>
      </c>
      <c r="C76" s="148" t="s">
        <v>275</v>
      </c>
      <c r="D76" s="109" t="s">
        <v>6</v>
      </c>
      <c r="E76" s="150" t="s">
        <v>276</v>
      </c>
      <c r="F76" s="150" t="s">
        <v>277</v>
      </c>
      <c r="G76" s="150" t="s">
        <v>278</v>
      </c>
      <c r="H76" s="150" t="s">
        <v>276</v>
      </c>
      <c r="I76" s="109" t="s">
        <v>277</v>
      </c>
      <c r="J76" s="109" t="s">
        <v>278</v>
      </c>
      <c r="K76" s="109" t="s">
        <v>279</v>
      </c>
      <c r="L76" s="109" t="s">
        <v>280</v>
      </c>
      <c r="M76" s="109" t="s">
        <v>281</v>
      </c>
      <c r="N76" s="109" t="s">
        <v>282</v>
      </c>
      <c r="O76" s="109" t="s">
        <v>283</v>
      </c>
      <c r="P76" s="109" t="s">
        <v>284</v>
      </c>
      <c r="Q76" s="109" t="s">
        <v>285</v>
      </c>
      <c r="R76" s="110" t="s">
        <v>286</v>
      </c>
      <c r="S76" s="117"/>
    </row>
    <row r="77" spans="1:19" ht="15.75" thickBot="1" x14ac:dyDescent="0.3">
      <c r="A77" s="111"/>
      <c r="B77" s="149"/>
      <c r="C77" s="149"/>
      <c r="D77" s="112"/>
      <c r="E77" s="112" t="s">
        <v>120</v>
      </c>
      <c r="F77" s="112" t="s">
        <v>120</v>
      </c>
      <c r="G77" s="112" t="s">
        <v>120</v>
      </c>
      <c r="H77" s="112" t="s">
        <v>28</v>
      </c>
      <c r="I77" s="112" t="s">
        <v>28</v>
      </c>
      <c r="J77" s="112" t="s">
        <v>28</v>
      </c>
      <c r="K77" s="112" t="s">
        <v>287</v>
      </c>
      <c r="L77" s="112" t="s">
        <v>291</v>
      </c>
      <c r="M77" s="340" t="s">
        <v>288</v>
      </c>
      <c r="N77" s="112" t="s">
        <v>289</v>
      </c>
      <c r="O77" s="112" t="s">
        <v>289</v>
      </c>
      <c r="P77" s="112" t="s">
        <v>289</v>
      </c>
      <c r="Q77" s="340" t="s">
        <v>290</v>
      </c>
      <c r="R77" s="341" t="s">
        <v>291</v>
      </c>
      <c r="S77" s="117"/>
    </row>
    <row r="78" spans="1:19" x14ac:dyDescent="0.25">
      <c r="A78" s="529" t="s">
        <v>298</v>
      </c>
      <c r="B78" s="532" t="s">
        <v>134</v>
      </c>
      <c r="C78" s="532" t="s">
        <v>124</v>
      </c>
      <c r="D78" s="113" t="s">
        <v>135</v>
      </c>
      <c r="E78" s="87">
        <f>'Water and Burning'!F110</f>
        <v>3.0055000000000001</v>
      </c>
      <c r="F78" s="87">
        <v>3.625</v>
      </c>
      <c r="G78" s="87">
        <v>1.9319999999999999</v>
      </c>
      <c r="H78" s="22">
        <f t="shared" ref="H78:H95" si="39">E78*10^(-3)</f>
        <v>3.0054999999999999E-3</v>
      </c>
      <c r="I78" s="22">
        <f t="shared" ref="I78:I95" si="40">F78*10^(-3)</f>
        <v>3.6250000000000002E-3</v>
      </c>
      <c r="J78" s="22">
        <f t="shared" ref="J78:J95" si="41">G78*10^(-3)</f>
        <v>1.9319999999999999E-3</v>
      </c>
      <c r="K78" s="449">
        <f t="shared" ref="K78:K95" si="42">(I78-J78)/$L$10</f>
        <v>1.6960528952113807E-6</v>
      </c>
      <c r="L78" s="449">
        <f t="shared" ref="L78:L95" si="43">(I78-H78)/$L$10</f>
        <v>6.2061711079943918E-7</v>
      </c>
      <c r="M78" s="323">
        <f>(L78/K78)</f>
        <v>0.36591848789131726</v>
      </c>
      <c r="N78" s="326">
        <f t="shared" ref="N78:N94" si="44">H78/K78</f>
        <v>1772.0555818074422</v>
      </c>
      <c r="O78" s="326">
        <f t="shared" ref="O78:O95" si="45">H78/(K78-L78)</f>
        <v>2794.6810433162555</v>
      </c>
      <c r="P78" s="326">
        <f t="shared" ref="P78:P95" si="46">I78/K78</f>
        <v>2137.3154164205548</v>
      </c>
      <c r="Q78" s="385">
        <f>(I78-H78)/H78</f>
        <v>0.20612210946597914</v>
      </c>
      <c r="R78" s="382">
        <f>L78/K78</f>
        <v>0.36591848789131726</v>
      </c>
      <c r="S78" s="117"/>
    </row>
    <row r="79" spans="1:19" x14ac:dyDescent="0.25">
      <c r="A79" s="530"/>
      <c r="B79" s="530"/>
      <c r="C79" s="530"/>
      <c r="D79" s="114" t="s">
        <v>136</v>
      </c>
      <c r="E79" s="151">
        <f>'Water and Burning'!F111</f>
        <v>2.8841999999999999</v>
      </c>
      <c r="F79" s="151">
        <v>3.48</v>
      </c>
      <c r="G79" s="151">
        <v>1.8540000000000001</v>
      </c>
      <c r="H79" s="25">
        <f t="shared" si="39"/>
        <v>2.8842E-3</v>
      </c>
      <c r="I79" s="25">
        <f t="shared" si="40"/>
        <v>3.48E-3</v>
      </c>
      <c r="J79" s="25">
        <f t="shared" si="41"/>
        <v>1.8540000000000002E-3</v>
      </c>
      <c r="K79" s="450">
        <f t="shared" si="42"/>
        <v>1.6289320777399315E-6</v>
      </c>
      <c r="L79" s="450">
        <f t="shared" si="43"/>
        <v>5.9687437387297138E-7</v>
      </c>
      <c r="M79" s="324">
        <f t="shared" ref="M79:M89" si="47">(L79/K79)</f>
        <v>0.36642066420664215</v>
      </c>
      <c r="N79" s="327">
        <f t="shared" si="44"/>
        <v>1770.6078966789671</v>
      </c>
      <c r="O79" s="327">
        <f t="shared" si="45"/>
        <v>2794.6111822947014</v>
      </c>
      <c r="P79" s="327">
        <f t="shared" si="46"/>
        <v>2136.3690036900375</v>
      </c>
      <c r="Q79" s="386">
        <f>(I79-H79)/H79</f>
        <v>0.20657374661951322</v>
      </c>
      <c r="R79" s="383">
        <f>L79/K79</f>
        <v>0.36642066420664215</v>
      </c>
    </row>
    <row r="80" spans="1:19" ht="15.75" thickBot="1" x14ac:dyDescent="0.3">
      <c r="A80" s="530"/>
      <c r="B80" s="531"/>
      <c r="C80" s="530"/>
      <c r="D80" s="115" t="s">
        <v>137</v>
      </c>
      <c r="E80" s="152">
        <f>'Water and Burning'!F112</f>
        <v>2.9447000000000001</v>
      </c>
      <c r="F80" s="152">
        <v>3.5510000000000002</v>
      </c>
      <c r="G80" s="152">
        <v>1.891</v>
      </c>
      <c r="H80" s="58">
        <f t="shared" si="39"/>
        <v>2.9447000000000002E-3</v>
      </c>
      <c r="I80" s="58">
        <f t="shared" si="40"/>
        <v>3.5510000000000003E-3</v>
      </c>
      <c r="J80" s="58">
        <f t="shared" si="41"/>
        <v>1.8910000000000001E-3</v>
      </c>
      <c r="K80" s="451">
        <f t="shared" si="42"/>
        <v>1.6629933880985776E-6</v>
      </c>
      <c r="L80" s="451">
        <f t="shared" si="43"/>
        <v>6.073933079543179E-7</v>
      </c>
      <c r="M80" s="325">
        <f t="shared" si="47"/>
        <v>0.36524096385542171</v>
      </c>
      <c r="N80" s="328">
        <f t="shared" si="44"/>
        <v>1770.7226144578312</v>
      </c>
      <c r="O80" s="328">
        <f t="shared" si="45"/>
        <v>2789.5981209072788</v>
      </c>
      <c r="P80" s="328">
        <f t="shared" si="46"/>
        <v>2135.3061445783133</v>
      </c>
      <c r="Q80" s="387">
        <f>(I80-H80)/H80</f>
        <v>0.20589533738581184</v>
      </c>
      <c r="R80" s="384">
        <f>L80/K80</f>
        <v>0.36524096385542171</v>
      </c>
    </row>
    <row r="81" spans="1:19" x14ac:dyDescent="0.25">
      <c r="A81" s="530"/>
      <c r="B81" s="532" t="s">
        <v>20</v>
      </c>
      <c r="C81" s="530"/>
      <c r="D81" s="113" t="s">
        <v>135</v>
      </c>
      <c r="E81" s="87">
        <f>'Water and Burning'!F117</f>
        <v>3.0798000000000001</v>
      </c>
      <c r="F81" s="87">
        <v>3.484</v>
      </c>
      <c r="G81" s="87">
        <v>1.946</v>
      </c>
      <c r="H81" s="22">
        <f t="shared" si="39"/>
        <v>3.0798000000000002E-3</v>
      </c>
      <c r="I81" s="22">
        <f t="shared" si="40"/>
        <v>3.4840000000000001E-3</v>
      </c>
      <c r="J81" s="22">
        <f t="shared" si="41"/>
        <v>1.946E-3</v>
      </c>
      <c r="K81" s="449">
        <f t="shared" si="42"/>
        <v>1.5407733921057904E-6</v>
      </c>
      <c r="L81" s="449">
        <f t="shared" si="43"/>
        <v>4.0492887196954514E-7</v>
      </c>
      <c r="M81" s="323">
        <f t="shared" si="47"/>
        <v>0.2628088426527958</v>
      </c>
      <c r="N81" s="326">
        <f t="shared" si="44"/>
        <v>1998.8662938881666</v>
      </c>
      <c r="O81" s="326">
        <f t="shared" si="45"/>
        <v>2711.4626565531844</v>
      </c>
      <c r="P81" s="326">
        <f t="shared" si="46"/>
        <v>2261.2020806241876</v>
      </c>
      <c r="Q81" s="385">
        <f t="shared" ref="Q81:Q87" si="48">(I81-H81)/H81</f>
        <v>0.1312422884602896</v>
      </c>
      <c r="R81" s="382">
        <f t="shared" ref="R81:R95" si="49">L81/K81</f>
        <v>0.2628088426527958</v>
      </c>
    </row>
    <row r="82" spans="1:19" x14ac:dyDescent="0.25">
      <c r="A82" s="530"/>
      <c r="B82" s="530"/>
      <c r="C82" s="530"/>
      <c r="D82" s="114" t="s">
        <v>136</v>
      </c>
      <c r="E82" s="151">
        <f>'Water and Burning'!F118</f>
        <v>3.0324</v>
      </c>
      <c r="F82" s="151">
        <v>3.431</v>
      </c>
      <c r="G82" s="151">
        <v>1.915</v>
      </c>
      <c r="H82" s="25">
        <f t="shared" si="39"/>
        <v>3.0324000000000002E-3</v>
      </c>
      <c r="I82" s="25">
        <f t="shared" si="40"/>
        <v>3.431E-3</v>
      </c>
      <c r="J82" s="25">
        <f t="shared" si="41"/>
        <v>1.915E-3</v>
      </c>
      <c r="K82" s="450">
        <f t="shared" si="42"/>
        <v>1.518733720697255E-6</v>
      </c>
      <c r="L82" s="450">
        <f t="shared" si="43"/>
        <v>3.9931877379282692E-7</v>
      </c>
      <c r="M82" s="324">
        <f t="shared" si="47"/>
        <v>0.26292875989445902</v>
      </c>
      <c r="N82" s="327">
        <f t="shared" si="44"/>
        <v>1996.6633773087074</v>
      </c>
      <c r="O82" s="327">
        <f t="shared" si="45"/>
        <v>2708.915052801146</v>
      </c>
      <c r="P82" s="327">
        <f t="shared" si="46"/>
        <v>2259.1188654353564</v>
      </c>
      <c r="Q82" s="386">
        <f t="shared" si="48"/>
        <v>0.13144703864925464</v>
      </c>
      <c r="R82" s="383">
        <f t="shared" si="49"/>
        <v>0.26292875989445902</v>
      </c>
    </row>
    <row r="83" spans="1:19" ht="15.75" thickBot="1" x14ac:dyDescent="0.3">
      <c r="A83" s="533"/>
      <c r="B83" s="531"/>
      <c r="C83" s="530"/>
      <c r="D83" s="115" t="s">
        <v>137</v>
      </c>
      <c r="E83" s="152">
        <f>'Water and Burning'!F119</f>
        <v>3.0457999999999998</v>
      </c>
      <c r="F83" s="152">
        <v>3.4319999999999999</v>
      </c>
      <c r="G83" s="152">
        <v>1.9259999999999999</v>
      </c>
      <c r="H83" s="58">
        <f t="shared" si="39"/>
        <v>3.0458E-3</v>
      </c>
      <c r="I83" s="58">
        <f t="shared" si="40"/>
        <v>3.4320000000000002E-3</v>
      </c>
      <c r="J83" s="58">
        <f t="shared" si="41"/>
        <v>1.926E-3</v>
      </c>
      <c r="K83" s="451">
        <f t="shared" si="42"/>
        <v>1.50871568823883E-6</v>
      </c>
      <c r="L83" s="451">
        <f t="shared" si="43"/>
        <v>3.8689641354438004E-7</v>
      </c>
      <c r="M83" s="325">
        <f t="shared" si="47"/>
        <v>0.25644090305444894</v>
      </c>
      <c r="N83" s="328">
        <f t="shared" si="44"/>
        <v>2018.8031606905708</v>
      </c>
      <c r="O83" s="328">
        <f t="shared" si="45"/>
        <v>2715.0540810859084</v>
      </c>
      <c r="P83" s="328">
        <f t="shared" si="46"/>
        <v>2274.7824701195218</v>
      </c>
      <c r="Q83" s="387">
        <f t="shared" si="48"/>
        <v>0.12679755729200873</v>
      </c>
      <c r="R83" s="384">
        <f t="shared" si="49"/>
        <v>0.25644090305444894</v>
      </c>
    </row>
    <row r="84" spans="1:19" x14ac:dyDescent="0.25">
      <c r="A84" s="529" t="s">
        <v>299</v>
      </c>
      <c r="B84" s="532" t="s">
        <v>134</v>
      </c>
      <c r="C84" s="530"/>
      <c r="D84" s="113" t="s">
        <v>135</v>
      </c>
      <c r="E84" s="87">
        <f>'Water and Burning'!F126</f>
        <v>2.9723999999999999</v>
      </c>
      <c r="F84" s="87">
        <v>3.5339999999999998</v>
      </c>
      <c r="G84" s="87">
        <v>1.91</v>
      </c>
      <c r="H84" s="22">
        <f t="shared" si="39"/>
        <v>2.9724E-3</v>
      </c>
      <c r="I84" s="22">
        <f t="shared" si="40"/>
        <v>3.5339999999999998E-3</v>
      </c>
      <c r="J84" s="22">
        <f t="shared" si="41"/>
        <v>1.91E-3</v>
      </c>
      <c r="K84" s="449">
        <f t="shared" si="42"/>
        <v>1.6269284712482466E-6</v>
      </c>
      <c r="L84" s="449">
        <f t="shared" si="43"/>
        <v>5.6261270286515706E-7</v>
      </c>
      <c r="M84" s="323">
        <f t="shared" si="47"/>
        <v>0.34581280788177332</v>
      </c>
      <c r="N84" s="326">
        <f t="shared" si="44"/>
        <v>1827.001034482759</v>
      </c>
      <c r="O84" s="326">
        <f t="shared" si="45"/>
        <v>2792.780195783133</v>
      </c>
      <c r="P84" s="326">
        <f t="shared" si="46"/>
        <v>2172.1913793103449</v>
      </c>
      <c r="Q84" s="385">
        <f t="shared" si="48"/>
        <v>0.18893823173193372</v>
      </c>
      <c r="R84" s="382">
        <f t="shared" si="49"/>
        <v>0.34581280788177332</v>
      </c>
    </row>
    <row r="85" spans="1:19" x14ac:dyDescent="0.25">
      <c r="A85" s="530"/>
      <c r="B85" s="530"/>
      <c r="C85" s="530"/>
      <c r="D85" s="114" t="s">
        <v>136</v>
      </c>
      <c r="E85" s="151">
        <f>'Water and Burning'!F127</f>
        <v>2.984</v>
      </c>
      <c r="F85" s="151">
        <v>3.55</v>
      </c>
      <c r="G85" s="151">
        <v>1.915</v>
      </c>
      <c r="H85" s="25">
        <f t="shared" si="39"/>
        <v>2.9840000000000001E-3</v>
      </c>
      <c r="I85" s="25">
        <f t="shared" si="40"/>
        <v>3.5499999999999998E-3</v>
      </c>
      <c r="J85" s="25">
        <f t="shared" si="41"/>
        <v>1.915E-3</v>
      </c>
      <c r="K85" s="450">
        <f t="shared" si="42"/>
        <v>1.6379483069525141E-6</v>
      </c>
      <c r="L85" s="450">
        <f t="shared" si="43"/>
        <v>5.6702063714686401E-7</v>
      </c>
      <c r="M85" s="324">
        <f t="shared" si="47"/>
        <v>0.34617737003058091</v>
      </c>
      <c r="N85" s="327">
        <f t="shared" si="44"/>
        <v>1821.79131498471</v>
      </c>
      <c r="O85" s="327">
        <f t="shared" si="45"/>
        <v>2786.3693171188033</v>
      </c>
      <c r="P85" s="327">
        <f t="shared" si="46"/>
        <v>2167.3455657492359</v>
      </c>
      <c r="Q85" s="386">
        <f t="shared" si="48"/>
        <v>0.18967828418230551</v>
      </c>
      <c r="R85" s="383">
        <f t="shared" si="49"/>
        <v>0.34617737003058091</v>
      </c>
      <c r="S85" s="116"/>
    </row>
    <row r="86" spans="1:19" ht="15.75" thickBot="1" x14ac:dyDescent="0.3">
      <c r="A86" s="530"/>
      <c r="B86" s="531"/>
      <c r="C86" s="530"/>
      <c r="D86" s="115" t="s">
        <v>137</v>
      </c>
      <c r="E86" s="152">
        <f>'Water and Burning'!F128</f>
        <v>3.0127999999999999</v>
      </c>
      <c r="F86" s="152">
        <v>3.5760000000000001</v>
      </c>
      <c r="G86" s="152">
        <v>1.9339999999999999</v>
      </c>
      <c r="H86" s="58">
        <f t="shared" si="39"/>
        <v>3.0127999999999999E-3</v>
      </c>
      <c r="I86" s="58">
        <f t="shared" si="40"/>
        <v>3.5760000000000002E-3</v>
      </c>
      <c r="J86" s="58">
        <f t="shared" si="41"/>
        <v>1.934E-3</v>
      </c>
      <c r="K86" s="451">
        <f t="shared" si="42"/>
        <v>1.6449609296734123E-6</v>
      </c>
      <c r="L86" s="451">
        <f t="shared" si="43"/>
        <v>5.6421558805850556E-7</v>
      </c>
      <c r="M86" s="325">
        <f t="shared" si="47"/>
        <v>0.34299634591961037</v>
      </c>
      <c r="N86" s="328">
        <f t="shared" si="44"/>
        <v>1831.5328623629716</v>
      </c>
      <c r="O86" s="328">
        <f t="shared" si="45"/>
        <v>2787.705747126437</v>
      </c>
      <c r="P86" s="328">
        <f t="shared" si="46"/>
        <v>2173.9118148599268</v>
      </c>
      <c r="Q86" s="387">
        <f t="shared" si="48"/>
        <v>0.18693574083908665</v>
      </c>
      <c r="R86" s="384">
        <f t="shared" si="49"/>
        <v>0.34299634591961037</v>
      </c>
      <c r="S86" s="116"/>
    </row>
    <row r="87" spans="1:19" x14ac:dyDescent="0.25">
      <c r="A87" s="530"/>
      <c r="B87" s="532" t="s">
        <v>20</v>
      </c>
      <c r="C87" s="530"/>
      <c r="D87" s="113" t="s">
        <v>135</v>
      </c>
      <c r="E87" s="87">
        <f>'Water and Burning'!F133</f>
        <v>2.9914000000000001</v>
      </c>
      <c r="F87" s="87">
        <v>3.2989999999999999</v>
      </c>
      <c r="G87" s="87">
        <v>1.8819999999999999</v>
      </c>
      <c r="H87" s="22">
        <f t="shared" si="39"/>
        <v>2.9914E-3</v>
      </c>
      <c r="I87" s="22">
        <f t="shared" si="40"/>
        <v>3.2989999999999998E-3</v>
      </c>
      <c r="J87" s="22">
        <f t="shared" si="41"/>
        <v>1.882E-3</v>
      </c>
      <c r="K87" s="449">
        <f t="shared" si="42"/>
        <v>1.4195551993588457E-6</v>
      </c>
      <c r="L87" s="449">
        <f t="shared" si="43"/>
        <v>3.0815467842115796E-7</v>
      </c>
      <c r="M87" s="323">
        <f t="shared" si="47"/>
        <v>0.21707833450952713</v>
      </c>
      <c r="N87" s="326">
        <f t="shared" si="44"/>
        <v>2107.279802399436</v>
      </c>
      <c r="O87" s="326">
        <f t="shared" si="45"/>
        <v>2691.5589327564453</v>
      </c>
      <c r="P87" s="326">
        <f t="shared" si="46"/>
        <v>2323.9673959068459</v>
      </c>
      <c r="Q87" s="385">
        <f t="shared" si="48"/>
        <v>0.10282810724075681</v>
      </c>
      <c r="R87" s="382">
        <f t="shared" si="49"/>
        <v>0.21707833450952713</v>
      </c>
      <c r="S87" s="116"/>
    </row>
    <row r="88" spans="1:19" x14ac:dyDescent="0.25">
      <c r="A88" s="530"/>
      <c r="B88" s="530"/>
      <c r="C88" s="530"/>
      <c r="D88" s="114" t="s">
        <v>136</v>
      </c>
      <c r="E88" s="151">
        <f>'Water and Burning'!F134</f>
        <v>3.1103000000000001</v>
      </c>
      <c r="F88" s="151">
        <v>3.4289999999999998</v>
      </c>
      <c r="G88" s="151">
        <v>1.954</v>
      </c>
      <c r="H88" s="25">
        <f t="shared" si="39"/>
        <v>3.1103000000000003E-3</v>
      </c>
      <c r="I88" s="25">
        <f t="shared" si="40"/>
        <v>3.4289999999999998E-3</v>
      </c>
      <c r="J88" s="25">
        <f t="shared" si="41"/>
        <v>1.954E-3</v>
      </c>
      <c r="K88" s="450">
        <f t="shared" si="42"/>
        <v>1.4776597876177115E-6</v>
      </c>
      <c r="L88" s="450">
        <f t="shared" si="43"/>
        <v>3.1927469445000945E-7</v>
      </c>
      <c r="M88" s="324">
        <f t="shared" si="47"/>
        <v>0.21606779661016917</v>
      </c>
      <c r="N88" s="327">
        <f t="shared" si="44"/>
        <v>2104.8823457627127</v>
      </c>
      <c r="O88" s="327">
        <f t="shared" si="45"/>
        <v>2685.0310991957103</v>
      </c>
      <c r="P88" s="327">
        <f t="shared" si="46"/>
        <v>2320.5612203389837</v>
      </c>
      <c r="Q88" s="386">
        <f>(I88-H88)/H88</f>
        <v>0.10246600006430229</v>
      </c>
      <c r="R88" s="383">
        <f t="shared" si="49"/>
        <v>0.21606779661016917</v>
      </c>
      <c r="S88" s="117"/>
    </row>
    <row r="89" spans="1:19" ht="15.75" thickBot="1" x14ac:dyDescent="0.3">
      <c r="A89" s="533"/>
      <c r="B89" s="531"/>
      <c r="C89" s="530"/>
      <c r="D89" s="115" t="s">
        <v>137</v>
      </c>
      <c r="E89" s="152">
        <f>'Water and Burning'!F135</f>
        <v>3.0082</v>
      </c>
      <c r="F89" s="152">
        <v>3.3130000000000002</v>
      </c>
      <c r="G89" s="152">
        <v>1.8919999999999999</v>
      </c>
      <c r="H89" s="58">
        <f t="shared" si="39"/>
        <v>3.0081999999999999E-3</v>
      </c>
      <c r="I89" s="58">
        <f t="shared" si="40"/>
        <v>3.3130000000000004E-3</v>
      </c>
      <c r="J89" s="58">
        <f t="shared" si="41"/>
        <v>1.892E-3</v>
      </c>
      <c r="K89" s="451">
        <f t="shared" si="42"/>
        <v>1.4235624123422164E-6</v>
      </c>
      <c r="L89" s="451">
        <f t="shared" si="43"/>
        <v>3.0534962933279951E-7</v>
      </c>
      <c r="M89" s="325">
        <f t="shared" si="47"/>
        <v>0.21449683321604532</v>
      </c>
      <c r="N89" s="328">
        <f t="shared" si="44"/>
        <v>2113.1493596059108</v>
      </c>
      <c r="O89" s="328">
        <f t="shared" si="45"/>
        <v>2690.1856656513169</v>
      </c>
      <c r="P89" s="328">
        <f t="shared" si="46"/>
        <v>2327.260098522167</v>
      </c>
      <c r="Q89" s="387">
        <f t="shared" ref="Q89:Q95" si="50">(I89-H89)/H89</f>
        <v>0.10132305032910062</v>
      </c>
      <c r="R89" s="384">
        <f t="shared" si="49"/>
        <v>0.21449683321604532</v>
      </c>
      <c r="S89" s="117"/>
    </row>
    <row r="90" spans="1:19" x14ac:dyDescent="0.25">
      <c r="A90" s="529" t="s">
        <v>300</v>
      </c>
      <c r="B90" s="532" t="s">
        <v>134</v>
      </c>
      <c r="C90" s="530"/>
      <c r="D90" s="113" t="s">
        <v>135</v>
      </c>
      <c r="E90" s="87">
        <f>'Water and Burning'!F142</f>
        <v>2.9643000000000002</v>
      </c>
      <c r="F90" s="87">
        <v>3.3769999999999998</v>
      </c>
      <c r="G90" s="87">
        <v>1.8919999999999999</v>
      </c>
      <c r="H90" s="22">
        <f t="shared" si="39"/>
        <v>2.9643E-3</v>
      </c>
      <c r="I90" s="22">
        <f t="shared" si="40"/>
        <v>3.3769999999999998E-3</v>
      </c>
      <c r="J90" s="22">
        <f t="shared" si="41"/>
        <v>1.892E-3</v>
      </c>
      <c r="K90" s="449">
        <f t="shared" si="42"/>
        <v>1.4876778200761368E-6</v>
      </c>
      <c r="L90" s="449">
        <f t="shared" si="43"/>
        <v>4.1344419955920635E-7</v>
      </c>
      <c r="M90" s="323">
        <f>(L90/K90)</f>
        <v>0.27791245791245783</v>
      </c>
      <c r="N90" s="326">
        <f t="shared" si="44"/>
        <v>1992.5685252525257</v>
      </c>
      <c r="O90" s="326">
        <f t="shared" si="45"/>
        <v>2759.4556187634057</v>
      </c>
      <c r="P90" s="326">
        <f t="shared" si="46"/>
        <v>2269.9807407407411</v>
      </c>
      <c r="Q90" s="385">
        <f t="shared" si="50"/>
        <v>0.13922342542927496</v>
      </c>
      <c r="R90" s="382">
        <f t="shared" si="49"/>
        <v>0.27791245791245783</v>
      </c>
      <c r="S90" s="117"/>
    </row>
    <row r="91" spans="1:19" x14ac:dyDescent="0.25">
      <c r="A91" s="530"/>
      <c r="B91" s="530"/>
      <c r="C91" s="530"/>
      <c r="D91" s="114" t="s">
        <v>136</v>
      </c>
      <c r="E91" s="151">
        <f>'Water and Burning'!F143</f>
        <v>2.9409000000000001</v>
      </c>
      <c r="F91" s="151">
        <v>3.34</v>
      </c>
      <c r="G91" s="151">
        <v>1.881</v>
      </c>
      <c r="H91" s="25">
        <f t="shared" si="39"/>
        <v>2.9409000000000002E-3</v>
      </c>
      <c r="I91" s="25">
        <f t="shared" si="40"/>
        <v>3.3400000000000001E-3</v>
      </c>
      <c r="J91" s="25">
        <f t="shared" si="41"/>
        <v>1.8810000000000001E-3</v>
      </c>
      <c r="K91" s="450">
        <f t="shared" si="42"/>
        <v>1.4616309356842315E-6</v>
      </c>
      <c r="L91" s="450">
        <f t="shared" si="43"/>
        <v>3.998196754157482E-7</v>
      </c>
      <c r="M91" s="324">
        <f t="shared" ref="M91:M95" si="51">(L91/K91)</f>
        <v>0.27354352296093204</v>
      </c>
      <c r="N91" s="327">
        <f t="shared" si="44"/>
        <v>2012.067429746402</v>
      </c>
      <c r="O91" s="327">
        <f t="shared" si="45"/>
        <v>2769.7012737050668</v>
      </c>
      <c r="P91" s="327">
        <f t="shared" si="46"/>
        <v>2285.1185743660044</v>
      </c>
      <c r="Q91" s="386">
        <f t="shared" si="50"/>
        <v>0.13570675643510485</v>
      </c>
      <c r="R91" s="383">
        <f t="shared" si="49"/>
        <v>0.27354352296093204</v>
      </c>
    </row>
    <row r="92" spans="1:19" ht="15.75" thickBot="1" x14ac:dyDescent="0.3">
      <c r="A92" s="530"/>
      <c r="B92" s="531"/>
      <c r="C92" s="530"/>
      <c r="D92" s="115" t="s">
        <v>137</v>
      </c>
      <c r="E92" s="152">
        <f>'Water and Burning'!F144</f>
        <v>2.9445000000000001</v>
      </c>
      <c r="F92" s="152">
        <v>3.343</v>
      </c>
      <c r="G92" s="152">
        <v>1.883</v>
      </c>
      <c r="H92" s="58">
        <f t="shared" si="39"/>
        <v>2.9445000000000001E-3</v>
      </c>
      <c r="I92" s="58">
        <f t="shared" si="40"/>
        <v>3.3430000000000001E-3</v>
      </c>
      <c r="J92" s="58">
        <f t="shared" si="41"/>
        <v>1.8830000000000001E-3</v>
      </c>
      <c r="K92" s="451">
        <f t="shared" si="42"/>
        <v>1.4626327389300741E-6</v>
      </c>
      <c r="L92" s="451">
        <f t="shared" si="43"/>
        <v>3.9921859346824281E-7</v>
      </c>
      <c r="M92" s="325">
        <f t="shared" si="51"/>
        <v>0.27294520547945206</v>
      </c>
      <c r="N92" s="328">
        <f t="shared" si="44"/>
        <v>2013.1506164383563</v>
      </c>
      <c r="O92" s="328">
        <f t="shared" si="45"/>
        <v>2768.9118228921334</v>
      </c>
      <c r="P92" s="328">
        <f t="shared" si="46"/>
        <v>2285.6045205479454</v>
      </c>
      <c r="Q92" s="387">
        <f t="shared" si="50"/>
        <v>0.13533706911190355</v>
      </c>
      <c r="R92" s="384">
        <f t="shared" si="49"/>
        <v>0.27294520547945206</v>
      </c>
    </row>
    <row r="93" spans="1:19" x14ac:dyDescent="0.25">
      <c r="A93" s="530"/>
      <c r="B93" s="532" t="s">
        <v>20</v>
      </c>
      <c r="C93" s="530"/>
      <c r="D93" s="113" t="s">
        <v>135</v>
      </c>
      <c r="E93" s="87">
        <f>'Water and Burning'!F149</f>
        <v>3.0381999999999998</v>
      </c>
      <c r="F93" s="87">
        <v>3.2280000000000002</v>
      </c>
      <c r="G93" s="87">
        <v>1.903</v>
      </c>
      <c r="H93" s="22">
        <f t="shared" si="39"/>
        <v>3.0382E-3</v>
      </c>
      <c r="I93" s="22">
        <f t="shared" si="40"/>
        <v>3.2280000000000004E-3</v>
      </c>
      <c r="J93" s="22">
        <f t="shared" si="41"/>
        <v>1.903E-3</v>
      </c>
      <c r="K93" s="449">
        <f t="shared" si="42"/>
        <v>1.3273893007413348E-6</v>
      </c>
      <c r="L93" s="449">
        <f t="shared" si="43"/>
        <v>1.9014225606091002E-7</v>
      </c>
      <c r="M93" s="323">
        <f t="shared" si="51"/>
        <v>0.14324528301886816</v>
      </c>
      <c r="N93" s="326">
        <f t="shared" si="44"/>
        <v>2288.8537660377351</v>
      </c>
      <c r="O93" s="326">
        <f t="shared" si="45"/>
        <v>2671.5391472868214</v>
      </c>
      <c r="P93" s="326">
        <f t="shared" si="46"/>
        <v>2431.8412075471692</v>
      </c>
      <c r="Q93" s="385">
        <f t="shared" si="50"/>
        <v>6.2471200052662886E-2</v>
      </c>
      <c r="R93" s="382">
        <f t="shared" si="49"/>
        <v>0.14324528301886816</v>
      </c>
    </row>
    <row r="94" spans="1:19" x14ac:dyDescent="0.25">
      <c r="A94" s="530"/>
      <c r="B94" s="530"/>
      <c r="C94" s="530"/>
      <c r="D94" s="114" t="s">
        <v>136</v>
      </c>
      <c r="E94" s="151">
        <f>'Water and Burning'!F150</f>
        <v>3.0383</v>
      </c>
      <c r="F94" s="151">
        <v>3.2320000000000002</v>
      </c>
      <c r="G94" s="151">
        <v>1.903</v>
      </c>
      <c r="H94" s="25">
        <f t="shared" si="39"/>
        <v>3.0382999999999999E-3</v>
      </c>
      <c r="I94" s="25">
        <f t="shared" si="40"/>
        <v>3.2320000000000001E-3</v>
      </c>
      <c r="J94" s="25">
        <f t="shared" si="41"/>
        <v>1.903E-3</v>
      </c>
      <c r="K94" s="450">
        <f t="shared" si="42"/>
        <v>1.3313965137247045E-6</v>
      </c>
      <c r="L94" s="450">
        <f t="shared" si="43"/>
        <v>1.9404928871969566E-7</v>
      </c>
      <c r="M94" s="324">
        <f t="shared" si="51"/>
        <v>0.14574868322046666</v>
      </c>
      <c r="N94" s="327">
        <f t="shared" si="44"/>
        <v>2282.0399247554551</v>
      </c>
      <c r="O94" s="327">
        <f t="shared" si="45"/>
        <v>2671.3917554831328</v>
      </c>
      <c r="P94" s="327">
        <f t="shared" si="46"/>
        <v>2427.5262603461251</v>
      </c>
      <c r="Q94" s="386">
        <f t="shared" si="50"/>
        <v>6.3752756475660796E-2</v>
      </c>
      <c r="R94" s="383">
        <f t="shared" si="49"/>
        <v>0.14574868322046666</v>
      </c>
    </row>
    <row r="95" spans="1:19" ht="15.75" thickBot="1" x14ac:dyDescent="0.3">
      <c r="A95" s="531"/>
      <c r="B95" s="531"/>
      <c r="C95" s="531"/>
      <c r="D95" s="115" t="s">
        <v>137</v>
      </c>
      <c r="E95" s="152">
        <f>'Water and Burning'!F151</f>
        <v>3.0489000000000002</v>
      </c>
      <c r="F95" s="152">
        <v>3.2360000000000002</v>
      </c>
      <c r="G95" s="152">
        <v>1.91</v>
      </c>
      <c r="H95" s="58">
        <f t="shared" si="39"/>
        <v>3.0489000000000002E-3</v>
      </c>
      <c r="I95" s="58">
        <f t="shared" si="40"/>
        <v>3.2360000000000002E-3</v>
      </c>
      <c r="J95" s="58">
        <f t="shared" si="41"/>
        <v>1.91E-3</v>
      </c>
      <c r="K95" s="451">
        <f t="shared" si="42"/>
        <v>1.328391103987177E-6</v>
      </c>
      <c r="L95" s="451">
        <f t="shared" si="43"/>
        <v>1.8743738729713478E-7</v>
      </c>
      <c r="M95" s="325">
        <f t="shared" si="51"/>
        <v>0.1411010558069381</v>
      </c>
      <c r="N95" s="328">
        <f>H95/K95</f>
        <v>2295.182488687783</v>
      </c>
      <c r="O95" s="328">
        <f t="shared" si="45"/>
        <v>2672.2381069452981</v>
      </c>
      <c r="P95" s="328">
        <f t="shared" si="46"/>
        <v>2436.0295625942686</v>
      </c>
      <c r="Q95" s="387">
        <f t="shared" si="50"/>
        <v>6.1366394437338032E-2</v>
      </c>
      <c r="R95" s="384">
        <f t="shared" si="49"/>
        <v>0.1411010558069381</v>
      </c>
    </row>
    <row r="96" spans="1:19" x14ac:dyDescent="0.25">
      <c r="A96" s="108" t="s">
        <v>273</v>
      </c>
      <c r="B96" s="148" t="s">
        <v>274</v>
      </c>
      <c r="C96" s="148" t="s">
        <v>275</v>
      </c>
      <c r="D96" s="109" t="s">
        <v>6</v>
      </c>
      <c r="E96" s="150" t="s">
        <v>276</v>
      </c>
      <c r="F96" s="150" t="s">
        <v>277</v>
      </c>
      <c r="G96" s="150" t="s">
        <v>278</v>
      </c>
      <c r="H96" s="150" t="s">
        <v>276</v>
      </c>
      <c r="I96" s="109" t="s">
        <v>277</v>
      </c>
      <c r="J96" s="109" t="s">
        <v>278</v>
      </c>
      <c r="K96" s="109" t="s">
        <v>279</v>
      </c>
      <c r="L96" s="109" t="s">
        <v>280</v>
      </c>
      <c r="M96" s="109" t="s">
        <v>281</v>
      </c>
      <c r="N96" s="109" t="s">
        <v>282</v>
      </c>
      <c r="O96" s="109" t="s">
        <v>283</v>
      </c>
      <c r="P96" s="109" t="s">
        <v>284</v>
      </c>
      <c r="Q96" s="109" t="s">
        <v>285</v>
      </c>
      <c r="R96" s="110" t="s">
        <v>286</v>
      </c>
      <c r="S96" s="117"/>
    </row>
    <row r="97" spans="1:19" ht="15.75" thickBot="1" x14ac:dyDescent="0.3">
      <c r="A97" s="111"/>
      <c r="B97" s="149"/>
      <c r="C97" s="149"/>
      <c r="D97" s="112"/>
      <c r="E97" s="112" t="s">
        <v>120</v>
      </c>
      <c r="F97" s="112" t="s">
        <v>120</v>
      </c>
      <c r="G97" s="112" t="s">
        <v>120</v>
      </c>
      <c r="H97" s="112" t="s">
        <v>28</v>
      </c>
      <c r="I97" s="112" t="s">
        <v>28</v>
      </c>
      <c r="J97" s="112" t="s">
        <v>28</v>
      </c>
      <c r="K97" s="112" t="s">
        <v>287</v>
      </c>
      <c r="L97" s="112" t="s">
        <v>291</v>
      </c>
      <c r="M97" s="340" t="s">
        <v>288</v>
      </c>
      <c r="N97" s="112" t="s">
        <v>289</v>
      </c>
      <c r="O97" s="112" t="s">
        <v>289</v>
      </c>
      <c r="P97" s="112" t="s">
        <v>289</v>
      </c>
      <c r="Q97" s="340" t="s">
        <v>290</v>
      </c>
      <c r="R97" s="341" t="s">
        <v>291</v>
      </c>
      <c r="S97" s="117"/>
    </row>
    <row r="98" spans="1:19" x14ac:dyDescent="0.25">
      <c r="A98" s="529" t="s">
        <v>298</v>
      </c>
      <c r="B98" s="532" t="s">
        <v>134</v>
      </c>
      <c r="C98" s="532" t="s">
        <v>125</v>
      </c>
      <c r="D98" s="113" t="s">
        <v>135</v>
      </c>
      <c r="E98" s="87">
        <f>'Water and Burning'!K110</f>
        <v>2.8774999999999999</v>
      </c>
      <c r="F98" s="87">
        <v>3.4550000000000001</v>
      </c>
      <c r="G98" s="87">
        <v>1.847</v>
      </c>
      <c r="H98" s="22">
        <f t="shared" ref="H98:H115" si="52">E98*10^(-3)</f>
        <v>2.8774999999999998E-3</v>
      </c>
      <c r="I98" s="22">
        <f t="shared" ref="I98:I115" si="53">F98*10^(-3)</f>
        <v>3.4550000000000002E-3</v>
      </c>
      <c r="J98" s="22">
        <f t="shared" ref="J98:J115" si="54">G98*10^(-3)</f>
        <v>1.8470000000000001E-3</v>
      </c>
      <c r="K98" s="449">
        <f t="shared" ref="K98:K115" si="55">(I98-J98)/$L$10</f>
        <v>1.6108996193147667E-6</v>
      </c>
      <c r="L98" s="449">
        <f t="shared" ref="L98:L115" si="56">(I98-H98)/$L$10</f>
        <v>5.7854137447405363E-7</v>
      </c>
      <c r="M98" s="323">
        <f>(L98/K98)</f>
        <v>0.35914179104477634</v>
      </c>
      <c r="N98" s="326">
        <f t="shared" ref="N98:N115" si="57">H98/K98</f>
        <v>1786.2689676616915</v>
      </c>
      <c r="O98" s="326">
        <f t="shared" ref="O98:O115" si="58">H98/(K98-L98)</f>
        <v>2787.3076176613299</v>
      </c>
      <c r="P98" s="326">
        <f t="shared" ref="P98:P115" si="59">I98/K98</f>
        <v>2144.7643034825869</v>
      </c>
      <c r="Q98" s="385">
        <f>(I98-H98)/H98</f>
        <v>0.20069504778453531</v>
      </c>
      <c r="R98" s="382">
        <f>L98/K98</f>
        <v>0.35914179104477634</v>
      </c>
      <c r="S98" s="117"/>
    </row>
    <row r="99" spans="1:19" x14ac:dyDescent="0.25">
      <c r="A99" s="530"/>
      <c r="B99" s="530"/>
      <c r="C99" s="530"/>
      <c r="D99" s="114" t="s">
        <v>136</v>
      </c>
      <c r="E99" s="151">
        <f>'Water and Burning'!K111</f>
        <v>2.9725999999999999</v>
      </c>
      <c r="F99" s="151">
        <v>3.5569999999999999</v>
      </c>
      <c r="G99" s="151">
        <v>1.91</v>
      </c>
      <c r="H99" s="25">
        <f t="shared" si="52"/>
        <v>2.9726000000000002E-3</v>
      </c>
      <c r="I99" s="25">
        <f t="shared" si="53"/>
        <v>3.5569999999999998E-3</v>
      </c>
      <c r="J99" s="25">
        <f t="shared" si="54"/>
        <v>1.91E-3</v>
      </c>
      <c r="K99" s="450">
        <f t="shared" si="55"/>
        <v>1.6499699459026244E-6</v>
      </c>
      <c r="L99" s="450">
        <f t="shared" si="56"/>
        <v>5.8545381687036629E-7</v>
      </c>
      <c r="M99" s="324">
        <f t="shared" ref="M99:M109" si="60">(L99/K99)</f>
        <v>0.35482695810564646</v>
      </c>
      <c r="N99" s="327">
        <f t="shared" si="57"/>
        <v>1801.6085731633277</v>
      </c>
      <c r="O99" s="327">
        <f t="shared" si="58"/>
        <v>2792.4424242424243</v>
      </c>
      <c r="P99" s="327">
        <f t="shared" si="59"/>
        <v>2155.7968427443843</v>
      </c>
      <c r="Q99" s="386">
        <f>(I99-H99)/H99</f>
        <v>0.19659557289914542</v>
      </c>
      <c r="R99" s="383">
        <f>L99/K99</f>
        <v>0.35482695810564646</v>
      </c>
    </row>
    <row r="100" spans="1:19" ht="15.75" thickBot="1" x14ac:dyDescent="0.3">
      <c r="A100" s="530"/>
      <c r="B100" s="531"/>
      <c r="C100" s="530"/>
      <c r="D100" s="115" t="s">
        <v>137</v>
      </c>
      <c r="E100" s="152">
        <f>'Water and Burning'!K112</f>
        <v>2.9249000000000001</v>
      </c>
      <c r="F100" s="152">
        <v>3.4889999999999999</v>
      </c>
      <c r="G100" s="152">
        <v>1.8759999999999999</v>
      </c>
      <c r="H100" s="58">
        <f t="shared" si="52"/>
        <v>2.9249000000000002E-3</v>
      </c>
      <c r="I100" s="58">
        <f t="shared" si="53"/>
        <v>3.4889999999999999E-3</v>
      </c>
      <c r="J100" s="58">
        <f t="shared" si="54"/>
        <v>1.8759999999999998E-3</v>
      </c>
      <c r="K100" s="451">
        <f t="shared" si="55"/>
        <v>1.6159086355439791E-6</v>
      </c>
      <c r="L100" s="451">
        <f t="shared" si="56"/>
        <v>5.6511721097976318E-7</v>
      </c>
      <c r="M100" s="325">
        <f t="shared" si="60"/>
        <v>0.34972101673899542</v>
      </c>
      <c r="N100" s="328">
        <f t="shared" si="57"/>
        <v>1810.065207687539</v>
      </c>
      <c r="O100" s="328">
        <f t="shared" si="58"/>
        <v>2783.5210029554769</v>
      </c>
      <c r="P100" s="328">
        <f t="shared" si="59"/>
        <v>2159.156726596404</v>
      </c>
      <c r="Q100" s="387">
        <f>(I100-H100)/H100</f>
        <v>0.19286129440322733</v>
      </c>
      <c r="R100" s="384">
        <f>L100/K100</f>
        <v>0.34972101673899542</v>
      </c>
    </row>
    <row r="101" spans="1:19" x14ac:dyDescent="0.25">
      <c r="A101" s="530"/>
      <c r="B101" s="532" t="s">
        <v>20</v>
      </c>
      <c r="C101" s="530"/>
      <c r="D101" s="113" t="s">
        <v>135</v>
      </c>
      <c r="E101" s="87">
        <f>'Water and Burning'!K117</f>
        <v>3.0095999999999998</v>
      </c>
      <c r="F101" s="87">
        <v>3.4039999999999999</v>
      </c>
      <c r="G101" s="87">
        <v>1.899</v>
      </c>
      <c r="H101" s="22">
        <f t="shared" si="52"/>
        <v>3.0095999999999999E-3</v>
      </c>
      <c r="I101" s="22">
        <f t="shared" si="53"/>
        <v>3.4039999999999999E-3</v>
      </c>
      <c r="J101" s="22">
        <f t="shared" si="54"/>
        <v>1.8990000000000001E-3</v>
      </c>
      <c r="K101" s="449">
        <f t="shared" si="55"/>
        <v>1.507713884992987E-6</v>
      </c>
      <c r="L101" s="449">
        <f t="shared" si="56"/>
        <v>3.9511120016028855E-7</v>
      </c>
      <c r="M101" s="323">
        <f t="shared" si="60"/>
        <v>0.26205980066445189</v>
      </c>
      <c r="N101" s="326">
        <f t="shared" si="57"/>
        <v>1996.1346976744189</v>
      </c>
      <c r="O101" s="326">
        <f t="shared" si="58"/>
        <v>2705.0087520259326</v>
      </c>
      <c r="P101" s="326">
        <f t="shared" si="59"/>
        <v>2257.722790697675</v>
      </c>
      <c r="Q101" s="385">
        <f t="shared" ref="Q101:Q107" si="61">(I101-H101)/H101</f>
        <v>0.13104731525784161</v>
      </c>
      <c r="R101" s="382">
        <f t="shared" ref="R101:R115" si="62">L101/K101</f>
        <v>0.26205980066445189</v>
      </c>
    </row>
    <row r="102" spans="1:19" x14ac:dyDescent="0.25">
      <c r="A102" s="530"/>
      <c r="B102" s="530"/>
      <c r="C102" s="530"/>
      <c r="D102" s="114" t="s">
        <v>136</v>
      </c>
      <c r="E102" s="151">
        <f>'Water and Burning'!K118</f>
        <v>3.0687000000000002</v>
      </c>
      <c r="F102" s="151">
        <v>3.464</v>
      </c>
      <c r="G102" s="151">
        <v>1.9390000000000001</v>
      </c>
      <c r="H102" s="25">
        <f t="shared" si="52"/>
        <v>3.0687000000000002E-3</v>
      </c>
      <c r="I102" s="25">
        <f t="shared" si="53"/>
        <v>3.4640000000000001E-3</v>
      </c>
      <c r="J102" s="25">
        <f t="shared" si="54"/>
        <v>1.9390000000000002E-3</v>
      </c>
      <c r="K102" s="450">
        <f t="shared" si="55"/>
        <v>1.5277499499098375E-6</v>
      </c>
      <c r="L102" s="450">
        <f t="shared" si="56"/>
        <v>3.9601282308154665E-7</v>
      </c>
      <c r="M102" s="324">
        <f t="shared" si="60"/>
        <v>0.25921311475409831</v>
      </c>
      <c r="N102" s="327">
        <f t="shared" si="57"/>
        <v>2008.6402229508201</v>
      </c>
      <c r="O102" s="327">
        <f t="shared" si="58"/>
        <v>2711.4953881561478</v>
      </c>
      <c r="P102" s="327">
        <f t="shared" si="59"/>
        <v>2267.3867540983611</v>
      </c>
      <c r="Q102" s="386">
        <f t="shared" si="61"/>
        <v>0.12881676279857918</v>
      </c>
      <c r="R102" s="383">
        <f t="shared" si="62"/>
        <v>0.25921311475409831</v>
      </c>
    </row>
    <row r="103" spans="1:19" ht="15.75" thickBot="1" x14ac:dyDescent="0.3">
      <c r="A103" s="533"/>
      <c r="B103" s="531"/>
      <c r="C103" s="530"/>
      <c r="D103" s="115" t="s">
        <v>137</v>
      </c>
      <c r="E103" s="152">
        <f>'Water and Burning'!K119</f>
        <v>3.0339</v>
      </c>
      <c r="F103" s="152">
        <v>3.415</v>
      </c>
      <c r="G103" s="152">
        <v>1.9079999999999999</v>
      </c>
      <c r="H103" s="58">
        <f t="shared" si="52"/>
        <v>3.0339E-3</v>
      </c>
      <c r="I103" s="58">
        <f t="shared" si="53"/>
        <v>3.4150000000000001E-3</v>
      </c>
      <c r="J103" s="58">
        <f t="shared" si="54"/>
        <v>1.908E-3</v>
      </c>
      <c r="K103" s="451">
        <f t="shared" si="55"/>
        <v>1.5097174914846724E-6</v>
      </c>
      <c r="L103" s="451">
        <f t="shared" si="56"/>
        <v>3.8178721699058316E-7</v>
      </c>
      <c r="M103" s="325">
        <f t="shared" si="60"/>
        <v>0.25288652952886537</v>
      </c>
      <c r="N103" s="328">
        <f t="shared" si="57"/>
        <v>2009.5812740544127</v>
      </c>
      <c r="O103" s="328">
        <f t="shared" si="58"/>
        <v>2689.7939248601119</v>
      </c>
      <c r="P103" s="328">
        <f t="shared" si="59"/>
        <v>2262.0126078301259</v>
      </c>
      <c r="Q103" s="387">
        <f t="shared" si="61"/>
        <v>0.1256138963050859</v>
      </c>
      <c r="R103" s="384">
        <f t="shared" si="62"/>
        <v>0.25288652952886537</v>
      </c>
    </row>
    <row r="104" spans="1:19" x14ac:dyDescent="0.25">
      <c r="A104" s="529" t="s">
        <v>299</v>
      </c>
      <c r="B104" s="532" t="s">
        <v>134</v>
      </c>
      <c r="C104" s="530"/>
      <c r="D104" s="113" t="s">
        <v>135</v>
      </c>
      <c r="E104" s="87">
        <f>'Water and Burning'!K126</f>
        <v>2.8437999999999999</v>
      </c>
      <c r="F104" s="87">
        <v>3.35</v>
      </c>
      <c r="G104" s="87">
        <v>1.8280000000000001</v>
      </c>
      <c r="H104" s="22">
        <f t="shared" si="52"/>
        <v>2.8438000000000001E-3</v>
      </c>
      <c r="I104" s="22">
        <f t="shared" si="53"/>
        <v>3.3500000000000001E-3</v>
      </c>
      <c r="J104" s="22">
        <f t="shared" si="54"/>
        <v>1.8280000000000002E-3</v>
      </c>
      <c r="K104" s="449">
        <f t="shared" si="55"/>
        <v>1.52474454017231E-6</v>
      </c>
      <c r="L104" s="449">
        <f t="shared" si="56"/>
        <v>5.0711280304548191E-7</v>
      </c>
      <c r="M104" s="323">
        <f t="shared" si="60"/>
        <v>0.33258869908015776</v>
      </c>
      <c r="N104" s="326">
        <f t="shared" si="57"/>
        <v>1865.099316688568</v>
      </c>
      <c r="O104" s="326">
        <f t="shared" si="58"/>
        <v>2794.5276235479432</v>
      </c>
      <c r="P104" s="326">
        <f t="shared" si="59"/>
        <v>2197.0893561103812</v>
      </c>
      <c r="Q104" s="385">
        <f t="shared" si="61"/>
        <v>0.17800126591180815</v>
      </c>
      <c r="R104" s="382">
        <f t="shared" si="62"/>
        <v>0.33258869908015776</v>
      </c>
    </row>
    <row r="105" spans="1:19" x14ac:dyDescent="0.25">
      <c r="A105" s="530"/>
      <c r="B105" s="530"/>
      <c r="C105" s="530"/>
      <c r="D105" s="114" t="s">
        <v>136</v>
      </c>
      <c r="E105" s="151">
        <f>'Water and Burning'!K127</f>
        <v>2.9908999999999999</v>
      </c>
      <c r="F105" s="151">
        <v>3.5179999999999998</v>
      </c>
      <c r="G105" s="151">
        <v>1.92</v>
      </c>
      <c r="H105" s="25">
        <f t="shared" si="52"/>
        <v>2.9908999999999999E-3</v>
      </c>
      <c r="I105" s="25">
        <f t="shared" si="53"/>
        <v>3.5179999999999999E-3</v>
      </c>
      <c r="J105" s="25">
        <f t="shared" si="54"/>
        <v>1.92E-3</v>
      </c>
      <c r="K105" s="450">
        <f t="shared" si="55"/>
        <v>1.6008815868563411E-6</v>
      </c>
      <c r="L105" s="450">
        <f t="shared" si="56"/>
        <v>5.2805049088359041E-7</v>
      </c>
      <c r="M105" s="324">
        <f t="shared" si="60"/>
        <v>0.32984981226533172</v>
      </c>
      <c r="N105" s="327">
        <f t="shared" si="57"/>
        <v>1868.2830913642056</v>
      </c>
      <c r="O105" s="327">
        <f t="shared" si="58"/>
        <v>2787.8572976001496</v>
      </c>
      <c r="P105" s="327">
        <f t="shared" si="59"/>
        <v>2197.5391739674596</v>
      </c>
      <c r="Q105" s="386">
        <f t="shared" si="61"/>
        <v>0.17623457822060248</v>
      </c>
      <c r="R105" s="383">
        <f t="shared" si="62"/>
        <v>0.32984981226533172</v>
      </c>
      <c r="S105" s="116"/>
    </row>
    <row r="106" spans="1:19" ht="15.75" thickBot="1" x14ac:dyDescent="0.3">
      <c r="A106" s="530"/>
      <c r="B106" s="531"/>
      <c r="C106" s="530"/>
      <c r="D106" s="115" t="s">
        <v>137</v>
      </c>
      <c r="E106" s="152">
        <f>'Water and Burning'!K128</f>
        <v>2.9466999999999999</v>
      </c>
      <c r="F106" s="152">
        <v>3.4489999999999998</v>
      </c>
      <c r="G106" s="152">
        <v>1.8919999999999999</v>
      </c>
      <c r="H106" s="58">
        <f t="shared" si="52"/>
        <v>2.9467E-3</v>
      </c>
      <c r="I106" s="58">
        <f t="shared" si="53"/>
        <v>3.4489999999999998E-3</v>
      </c>
      <c r="J106" s="58">
        <f t="shared" si="54"/>
        <v>1.892E-3</v>
      </c>
      <c r="K106" s="451">
        <f t="shared" si="55"/>
        <v>1.559807653776798E-6</v>
      </c>
      <c r="L106" s="451">
        <f t="shared" si="56"/>
        <v>5.0320577038669582E-7</v>
      </c>
      <c r="M106" s="325">
        <f t="shared" si="60"/>
        <v>0.32260757867694273</v>
      </c>
      <c r="N106" s="328">
        <f t="shared" si="57"/>
        <v>1889.1431856133593</v>
      </c>
      <c r="O106" s="328">
        <f t="shared" si="58"/>
        <v>2788.8460604911347</v>
      </c>
      <c r="P106" s="328">
        <f t="shared" si="59"/>
        <v>2211.1700706486836</v>
      </c>
      <c r="Q106" s="387">
        <f t="shared" si="61"/>
        <v>0.17046187260325102</v>
      </c>
      <c r="R106" s="384">
        <f t="shared" si="62"/>
        <v>0.32260757867694273</v>
      </c>
      <c r="S106" s="116"/>
    </row>
    <row r="107" spans="1:19" x14ac:dyDescent="0.25">
      <c r="A107" s="530"/>
      <c r="B107" s="532" t="s">
        <v>20</v>
      </c>
      <c r="C107" s="530"/>
      <c r="D107" s="113" t="s">
        <v>135</v>
      </c>
      <c r="E107" s="87">
        <f>'Water and Burning'!K133</f>
        <v>3.1297000000000001</v>
      </c>
      <c r="F107" s="87">
        <v>3.4590000000000001</v>
      </c>
      <c r="G107" s="87">
        <v>1.966</v>
      </c>
      <c r="H107" s="22">
        <f t="shared" si="52"/>
        <v>3.1297E-3</v>
      </c>
      <c r="I107" s="22">
        <f t="shared" si="53"/>
        <v>3.4590000000000003E-3</v>
      </c>
      <c r="J107" s="22">
        <f t="shared" si="54"/>
        <v>1.9659999999999999E-3</v>
      </c>
      <c r="K107" s="449">
        <f t="shared" si="55"/>
        <v>1.4956922460428776E-6</v>
      </c>
      <c r="L107" s="449">
        <f t="shared" si="56"/>
        <v>3.2989380885594092E-7</v>
      </c>
      <c r="M107" s="323">
        <f t="shared" si="60"/>
        <v>0.2205626255860684</v>
      </c>
      <c r="N107" s="326">
        <f t="shared" si="57"/>
        <v>2092.4759142665766</v>
      </c>
      <c r="O107" s="326">
        <f t="shared" si="58"/>
        <v>2684.5978688665459</v>
      </c>
      <c r="P107" s="326">
        <f t="shared" si="59"/>
        <v>2312.6415271265901</v>
      </c>
      <c r="Q107" s="385">
        <f t="shared" si="61"/>
        <v>0.10521775250023972</v>
      </c>
      <c r="R107" s="382">
        <f t="shared" si="62"/>
        <v>0.2205626255860684</v>
      </c>
      <c r="S107" s="116"/>
    </row>
    <row r="108" spans="1:19" x14ac:dyDescent="0.25">
      <c r="A108" s="530"/>
      <c r="B108" s="530"/>
      <c r="C108" s="530"/>
      <c r="D108" s="114" t="s">
        <v>136</v>
      </c>
      <c r="E108" s="151">
        <f>'Water and Burning'!K134</f>
        <v>3.1261999999999999</v>
      </c>
      <c r="F108" s="151">
        <v>3.46</v>
      </c>
      <c r="G108" s="151">
        <v>1.962</v>
      </c>
      <c r="H108" s="25">
        <f t="shared" si="52"/>
        <v>3.1262E-3</v>
      </c>
      <c r="I108" s="25">
        <f t="shared" si="53"/>
        <v>3.46E-3</v>
      </c>
      <c r="J108" s="25">
        <f t="shared" si="54"/>
        <v>1.9620000000000002E-3</v>
      </c>
      <c r="K108" s="450">
        <f t="shared" si="55"/>
        <v>1.5007012622720894E-6</v>
      </c>
      <c r="L108" s="450">
        <f t="shared" si="56"/>
        <v>3.3440192346223198E-7</v>
      </c>
      <c r="M108" s="324">
        <f t="shared" si="60"/>
        <v>0.22283044058744997</v>
      </c>
      <c r="N108" s="327">
        <f t="shared" si="57"/>
        <v>2083.1594392523371</v>
      </c>
      <c r="O108" s="327">
        <f t="shared" si="58"/>
        <v>2680.4439443394613</v>
      </c>
      <c r="P108" s="327">
        <f t="shared" si="59"/>
        <v>2305.5887850467293</v>
      </c>
      <c r="Q108" s="386">
        <f>(I108-H108)/H108</f>
        <v>0.10677499840061416</v>
      </c>
      <c r="R108" s="383">
        <f t="shared" si="62"/>
        <v>0.22283044058744997</v>
      </c>
      <c r="S108" s="117"/>
    </row>
    <row r="109" spans="1:19" ht="15.75" thickBot="1" x14ac:dyDescent="0.3">
      <c r="A109" s="533"/>
      <c r="B109" s="531"/>
      <c r="C109" s="530"/>
      <c r="D109" s="115" t="s">
        <v>137</v>
      </c>
      <c r="E109" s="152">
        <f>'Water and Burning'!K135</f>
        <v>2.9861</v>
      </c>
      <c r="F109" s="152">
        <v>3.3079999999999998</v>
      </c>
      <c r="G109" s="152">
        <v>1.875</v>
      </c>
      <c r="H109" s="58">
        <f t="shared" si="52"/>
        <v>2.9861000000000002E-3</v>
      </c>
      <c r="I109" s="58">
        <f t="shared" si="53"/>
        <v>3.3079999999999997E-3</v>
      </c>
      <c r="J109" s="58">
        <f t="shared" si="54"/>
        <v>1.8749999999999999E-3</v>
      </c>
      <c r="K109" s="451">
        <f t="shared" si="55"/>
        <v>1.435584051292326E-6</v>
      </c>
      <c r="L109" s="451">
        <f t="shared" si="56"/>
        <v>3.2248046483670561E-7</v>
      </c>
      <c r="M109" s="325">
        <f t="shared" si="60"/>
        <v>0.22463363572923906</v>
      </c>
      <c r="N109" s="328">
        <f t="shared" si="57"/>
        <v>2080.0593300767623</v>
      </c>
      <c r="O109" s="328">
        <f t="shared" si="58"/>
        <v>2682.6793447934474</v>
      </c>
      <c r="P109" s="328">
        <f t="shared" si="59"/>
        <v>2304.288625261689</v>
      </c>
      <c r="Q109" s="387">
        <f t="shared" ref="Q109:Q115" si="63">(I109-H109)/H109</f>
        <v>0.10779947088175196</v>
      </c>
      <c r="R109" s="384">
        <f t="shared" si="62"/>
        <v>0.22463363572923906</v>
      </c>
      <c r="S109" s="117"/>
    </row>
    <row r="110" spans="1:19" x14ac:dyDescent="0.25">
      <c r="A110" s="529" t="s">
        <v>300</v>
      </c>
      <c r="B110" s="532" t="s">
        <v>134</v>
      </c>
      <c r="C110" s="530"/>
      <c r="D110" s="113" t="s">
        <v>135</v>
      </c>
      <c r="E110" s="87">
        <f>'Water and Burning'!K142</f>
        <v>2.9451000000000001</v>
      </c>
      <c r="F110" s="87">
        <v>3.2839999999999998</v>
      </c>
      <c r="G110" s="87">
        <v>1.88</v>
      </c>
      <c r="H110" s="22">
        <f t="shared" si="52"/>
        <v>2.9451E-3</v>
      </c>
      <c r="I110" s="22">
        <f t="shared" si="53"/>
        <v>3.284E-3</v>
      </c>
      <c r="J110" s="22">
        <f t="shared" si="54"/>
        <v>1.8799999999999999E-3</v>
      </c>
      <c r="K110" s="449">
        <f t="shared" si="55"/>
        <v>1.4065317571628932E-6</v>
      </c>
      <c r="L110" s="449">
        <f t="shared" si="56"/>
        <v>3.3951112001602887E-7</v>
      </c>
      <c r="M110" s="323">
        <f>(L110/K110)</f>
        <v>0.24138176638176639</v>
      </c>
      <c r="N110" s="326">
        <f t="shared" si="57"/>
        <v>2093.8738034188032</v>
      </c>
      <c r="O110" s="326">
        <f t="shared" si="58"/>
        <v>2760.1153131161391</v>
      </c>
      <c r="P110" s="326">
        <f t="shared" si="59"/>
        <v>2334.8210826210825</v>
      </c>
      <c r="Q110" s="385">
        <f t="shared" si="63"/>
        <v>0.11507249329394589</v>
      </c>
      <c r="R110" s="382">
        <f t="shared" si="62"/>
        <v>0.24138176638176639</v>
      </c>
      <c r="S110" s="117"/>
    </row>
    <row r="111" spans="1:19" x14ac:dyDescent="0.25">
      <c r="A111" s="530"/>
      <c r="B111" s="530"/>
      <c r="C111" s="530"/>
      <c r="D111" s="114" t="s">
        <v>136</v>
      </c>
      <c r="E111" s="151">
        <f>'Water and Burning'!K143</f>
        <v>2.9775999999999998</v>
      </c>
      <c r="F111" s="151">
        <v>3.31</v>
      </c>
      <c r="G111" s="151">
        <v>1.897</v>
      </c>
      <c r="H111" s="25">
        <f t="shared" si="52"/>
        <v>2.9776E-3</v>
      </c>
      <c r="I111" s="25">
        <f t="shared" si="53"/>
        <v>3.31E-3</v>
      </c>
      <c r="J111" s="25">
        <f t="shared" si="54"/>
        <v>1.897E-3</v>
      </c>
      <c r="K111" s="450">
        <f t="shared" si="55"/>
        <v>1.4155479863754758E-6</v>
      </c>
      <c r="L111" s="450">
        <f t="shared" si="56"/>
        <v>3.3299939891805255E-7</v>
      </c>
      <c r="M111" s="324">
        <f t="shared" ref="M111:M115" si="64">(L111/K111)</f>
        <v>0.2352441613588111</v>
      </c>
      <c r="N111" s="327">
        <f t="shared" si="57"/>
        <v>2103.4963340410477</v>
      </c>
      <c r="O111" s="327">
        <f t="shared" si="58"/>
        <v>2750.5462890986491</v>
      </c>
      <c r="P111" s="327">
        <f t="shared" si="59"/>
        <v>2338.3170559094128</v>
      </c>
      <c r="Q111" s="386">
        <f t="shared" si="63"/>
        <v>0.11163353036002152</v>
      </c>
      <c r="R111" s="383">
        <f t="shared" si="62"/>
        <v>0.2352441613588111</v>
      </c>
    </row>
    <row r="112" spans="1:19" ht="15.75" thickBot="1" x14ac:dyDescent="0.3">
      <c r="A112" s="530"/>
      <c r="B112" s="531"/>
      <c r="C112" s="530"/>
      <c r="D112" s="115" t="s">
        <v>137</v>
      </c>
      <c r="E112" s="152">
        <f>'Water and Burning'!K144</f>
        <v>2.8574999999999999</v>
      </c>
      <c r="F112" s="152">
        <v>3.1680000000000001</v>
      </c>
      <c r="G112" s="152">
        <v>1.82</v>
      </c>
      <c r="H112" s="58">
        <f t="shared" si="52"/>
        <v>2.8574999999999998E-3</v>
      </c>
      <c r="I112" s="58">
        <f t="shared" si="53"/>
        <v>3.1680000000000002E-3</v>
      </c>
      <c r="J112" s="58">
        <f t="shared" si="54"/>
        <v>1.82E-3</v>
      </c>
      <c r="K112" s="451">
        <f t="shared" si="55"/>
        <v>1.3504307753957124E-6</v>
      </c>
      <c r="L112" s="451">
        <f t="shared" si="56"/>
        <v>3.1105990783410184E-7</v>
      </c>
      <c r="M112" s="325">
        <f t="shared" si="64"/>
        <v>0.23034124629080152</v>
      </c>
      <c r="N112" s="328">
        <f t="shared" si="57"/>
        <v>2115.9914688427298</v>
      </c>
      <c r="O112" s="328">
        <f t="shared" si="58"/>
        <v>2749.2592771084346</v>
      </c>
      <c r="P112" s="328">
        <f t="shared" si="59"/>
        <v>2345.9181008902078</v>
      </c>
      <c r="Q112" s="387">
        <f t="shared" si="63"/>
        <v>0.10866141732283481</v>
      </c>
      <c r="R112" s="384">
        <f t="shared" si="62"/>
        <v>0.23034124629080152</v>
      </c>
    </row>
    <row r="113" spans="1:19" x14ac:dyDescent="0.25">
      <c r="A113" s="530"/>
      <c r="B113" s="532" t="s">
        <v>20</v>
      </c>
      <c r="C113" s="530"/>
      <c r="D113" s="113" t="s">
        <v>135</v>
      </c>
      <c r="E113" s="87">
        <f>'Water and Burning'!K149</f>
        <v>3.0122</v>
      </c>
      <c r="F113" s="87">
        <v>3.2269999999999999</v>
      </c>
      <c r="G113" s="87">
        <v>1.8859999999999999</v>
      </c>
      <c r="H113" s="22">
        <f t="shared" si="52"/>
        <v>3.0122E-3</v>
      </c>
      <c r="I113" s="22">
        <f t="shared" si="53"/>
        <v>3.2269999999999998E-3</v>
      </c>
      <c r="J113" s="22">
        <f t="shared" si="54"/>
        <v>1.8859999999999999E-3</v>
      </c>
      <c r="K113" s="449">
        <f t="shared" si="55"/>
        <v>1.3434181526748145E-6</v>
      </c>
      <c r="L113" s="449">
        <f t="shared" si="56"/>
        <v>2.1518733720697235E-7</v>
      </c>
      <c r="M113" s="323">
        <f t="shared" si="64"/>
        <v>0.16017897091722583</v>
      </c>
      <c r="N113" s="326">
        <f t="shared" si="57"/>
        <v>2242.190932140194</v>
      </c>
      <c r="O113" s="326">
        <f t="shared" si="58"/>
        <v>2669.8437577694899</v>
      </c>
      <c r="P113" s="326">
        <f t="shared" si="59"/>
        <v>2402.0815809097689</v>
      </c>
      <c r="Q113" s="385">
        <f t="shared" si="63"/>
        <v>7.1310005975698754E-2</v>
      </c>
      <c r="R113" s="382">
        <f t="shared" si="62"/>
        <v>0.16017897091722583</v>
      </c>
    </row>
    <row r="114" spans="1:19" x14ac:dyDescent="0.25">
      <c r="A114" s="530"/>
      <c r="B114" s="530"/>
      <c r="C114" s="530"/>
      <c r="D114" s="114" t="s">
        <v>136</v>
      </c>
      <c r="E114" s="151">
        <f>'Water and Burning'!K150</f>
        <v>3.0451000000000001</v>
      </c>
      <c r="F114" s="151">
        <v>3.2629999999999999</v>
      </c>
      <c r="G114" s="151">
        <v>1.9039999999999999</v>
      </c>
      <c r="H114" s="25">
        <f t="shared" si="52"/>
        <v>3.0451000000000002E-3</v>
      </c>
      <c r="I114" s="25">
        <f t="shared" si="53"/>
        <v>3.2629999999999998E-3</v>
      </c>
      <c r="J114" s="25">
        <f t="shared" si="54"/>
        <v>1.9039999999999999E-3</v>
      </c>
      <c r="K114" s="450">
        <f t="shared" si="55"/>
        <v>1.3614506110999798E-6</v>
      </c>
      <c r="L114" s="450">
        <f t="shared" si="56"/>
        <v>2.1829292726908395E-7</v>
      </c>
      <c r="M114" s="324">
        <f t="shared" si="64"/>
        <v>0.16033848417954349</v>
      </c>
      <c r="N114" s="327">
        <f t="shared" si="57"/>
        <v>2236.6584400294337</v>
      </c>
      <c r="O114" s="327">
        <f t="shared" si="58"/>
        <v>2663.7620015774246</v>
      </c>
      <c r="P114" s="327">
        <f t="shared" si="59"/>
        <v>2396.7083149374539</v>
      </c>
      <c r="Q114" s="386">
        <f t="shared" si="63"/>
        <v>7.1557584315785877E-2</v>
      </c>
      <c r="R114" s="383">
        <f t="shared" si="62"/>
        <v>0.16033848417954349</v>
      </c>
    </row>
    <row r="115" spans="1:19" ht="15.75" thickBot="1" x14ac:dyDescent="0.3">
      <c r="A115" s="531"/>
      <c r="B115" s="531"/>
      <c r="C115" s="531"/>
      <c r="D115" s="115" t="s">
        <v>137</v>
      </c>
      <c r="E115" s="152">
        <f>'Water and Burning'!K151</f>
        <v>3.0739999999999998</v>
      </c>
      <c r="F115" s="152">
        <v>3.2890000000000001</v>
      </c>
      <c r="G115" s="152">
        <v>1.923</v>
      </c>
      <c r="H115" s="58">
        <f t="shared" si="52"/>
        <v>3.0739999999999999E-3</v>
      </c>
      <c r="I115" s="58">
        <f t="shared" si="53"/>
        <v>3.2890000000000003E-3</v>
      </c>
      <c r="J115" s="58">
        <f t="shared" si="54"/>
        <v>1.923E-3</v>
      </c>
      <c r="K115" s="451">
        <f t="shared" si="55"/>
        <v>1.3684632338208777E-6</v>
      </c>
      <c r="L115" s="451">
        <f t="shared" si="56"/>
        <v>2.1538769785614139E-7</v>
      </c>
      <c r="M115" s="325">
        <f t="shared" si="64"/>
        <v>0.15739385065885822</v>
      </c>
      <c r="N115" s="328">
        <f t="shared" si="57"/>
        <v>2246.3153733528547</v>
      </c>
      <c r="O115" s="328">
        <f t="shared" si="58"/>
        <v>2665.9138140747182</v>
      </c>
      <c r="P115" s="328">
        <f t="shared" si="59"/>
        <v>2403.4259150805269</v>
      </c>
      <c r="Q115" s="387">
        <f t="shared" si="63"/>
        <v>6.9941444372153661E-2</v>
      </c>
      <c r="R115" s="384">
        <f t="shared" si="62"/>
        <v>0.15739385065885822</v>
      </c>
    </row>
    <row r="116" spans="1:19" x14ac:dyDescent="0.25">
      <c r="A116" s="9"/>
      <c r="B116" s="9"/>
      <c r="C116" s="9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S116" s="117"/>
    </row>
    <row r="117" spans="1:19" ht="15.75" thickBot="1" x14ac:dyDescent="0.3"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S117" s="117"/>
    </row>
    <row r="118" spans="1:19" x14ac:dyDescent="0.25">
      <c r="A118" s="108" t="s">
        <v>273</v>
      </c>
      <c r="B118" s="148" t="s">
        <v>274</v>
      </c>
      <c r="C118" s="148" t="s">
        <v>275</v>
      </c>
      <c r="D118" s="109" t="s">
        <v>6</v>
      </c>
      <c r="E118" s="150" t="s">
        <v>276</v>
      </c>
      <c r="F118" s="150" t="s">
        <v>277</v>
      </c>
      <c r="G118" s="150" t="s">
        <v>278</v>
      </c>
      <c r="H118" s="150" t="s">
        <v>276</v>
      </c>
      <c r="I118" s="109" t="s">
        <v>277</v>
      </c>
      <c r="J118" s="109" t="s">
        <v>278</v>
      </c>
      <c r="K118" s="109" t="s">
        <v>279</v>
      </c>
      <c r="L118" s="109" t="s">
        <v>280</v>
      </c>
      <c r="M118" s="109" t="s">
        <v>281</v>
      </c>
      <c r="N118" s="109" t="s">
        <v>282</v>
      </c>
      <c r="O118" s="109" t="s">
        <v>283</v>
      </c>
      <c r="P118" s="109" t="s">
        <v>284</v>
      </c>
      <c r="Q118" s="109" t="s">
        <v>285</v>
      </c>
      <c r="R118" s="110" t="s">
        <v>286</v>
      </c>
    </row>
    <row r="119" spans="1:19" ht="15.75" thickBot="1" x14ac:dyDescent="0.3">
      <c r="A119" s="111"/>
      <c r="B119" s="149"/>
      <c r="C119" s="149"/>
      <c r="D119" s="112"/>
      <c r="E119" s="112" t="s">
        <v>120</v>
      </c>
      <c r="F119" s="112" t="s">
        <v>120</v>
      </c>
      <c r="G119" s="112" t="s">
        <v>120</v>
      </c>
      <c r="H119" s="112" t="s">
        <v>28</v>
      </c>
      <c r="I119" s="112" t="s">
        <v>28</v>
      </c>
      <c r="J119" s="112" t="s">
        <v>28</v>
      </c>
      <c r="K119" s="112" t="s">
        <v>287</v>
      </c>
      <c r="L119" s="112" t="s">
        <v>291</v>
      </c>
      <c r="M119" s="340" t="s">
        <v>288</v>
      </c>
      <c r="N119" s="112" t="s">
        <v>289</v>
      </c>
      <c r="O119" s="112" t="s">
        <v>289</v>
      </c>
      <c r="P119" s="112" t="s">
        <v>289</v>
      </c>
      <c r="Q119" s="340" t="s">
        <v>290</v>
      </c>
      <c r="R119" s="341" t="s">
        <v>291</v>
      </c>
    </row>
    <row r="120" spans="1:19" x14ac:dyDescent="0.25">
      <c r="A120" s="529" t="s">
        <v>292</v>
      </c>
      <c r="B120" s="532" t="s">
        <v>134</v>
      </c>
      <c r="C120" s="532" t="s">
        <v>3</v>
      </c>
      <c r="D120" s="113" t="s">
        <v>135</v>
      </c>
      <c r="E120" s="321">
        <f>'Water and Burning'!K9</f>
        <v>2.9268999999999998</v>
      </c>
      <c r="F120" s="87">
        <v>3.488</v>
      </c>
      <c r="G120" s="87">
        <v>1.8720000000000001</v>
      </c>
      <c r="H120" s="22">
        <f t="shared" ref="H120:H137" si="65">E120*10^(-3)</f>
        <v>2.9269000000000001E-3</v>
      </c>
      <c r="I120" s="22">
        <f t="shared" ref="I120:I137" si="66">F120*10^(-3)</f>
        <v>3.4880000000000002E-3</v>
      </c>
      <c r="J120" s="22">
        <f t="shared" ref="J120:J137" si="67">G120*10^(-3)</f>
        <v>1.8720000000000002E-3</v>
      </c>
      <c r="K120" s="449">
        <f t="shared" ref="K120:K137" si="68">(I120-J120)/$L$10</f>
        <v>1.6189140452815066E-6</v>
      </c>
      <c r="L120" s="449">
        <f t="shared" ref="L120:L137" si="69">(I120-H120)/$L$10</f>
        <v>5.6211180124223609E-7</v>
      </c>
      <c r="M120" s="323">
        <f>(L120/K120)</f>
        <v>0.34721534653465352</v>
      </c>
      <c r="N120" s="326">
        <f t="shared" ref="N120:N137" si="70">H120/K120</f>
        <v>1807.9403341584159</v>
      </c>
      <c r="O120" s="326">
        <f t="shared" ref="O120:O137" si="71">H120/(K120-L120)</f>
        <v>2769.5815527538161</v>
      </c>
      <c r="P120" s="326">
        <f t="shared" ref="P120:P137" si="72">I120/K120</f>
        <v>2154.5306930693073</v>
      </c>
      <c r="Q120" s="385">
        <f>(I120-H120)/H120</f>
        <v>0.1917045338070997</v>
      </c>
      <c r="R120" s="382">
        <f>L120/K120</f>
        <v>0.34721534653465352</v>
      </c>
    </row>
    <row r="121" spans="1:19" x14ac:dyDescent="0.25">
      <c r="A121" s="530"/>
      <c r="B121" s="530"/>
      <c r="C121" s="530"/>
      <c r="D121" s="114" t="s">
        <v>136</v>
      </c>
      <c r="E121" s="151">
        <f>'Water and Burning'!K10</f>
        <v>2.8730000000000002</v>
      </c>
      <c r="F121" s="151">
        <v>3.411</v>
      </c>
      <c r="G121" s="151">
        <v>1.8380000000000001</v>
      </c>
      <c r="H121" s="25">
        <f t="shared" si="65"/>
        <v>2.8730000000000001E-3</v>
      </c>
      <c r="I121" s="25">
        <f t="shared" si="66"/>
        <v>3.411E-3</v>
      </c>
      <c r="J121" s="25">
        <f t="shared" si="67"/>
        <v>1.8380000000000002E-3</v>
      </c>
      <c r="K121" s="450">
        <f t="shared" si="68"/>
        <v>1.5758365057102782E-6</v>
      </c>
      <c r="L121" s="450">
        <f t="shared" si="69"/>
        <v>5.3897014626327368E-7</v>
      </c>
      <c r="M121" s="324">
        <f t="shared" ref="M121:M131" si="73">(L121/K121)</f>
        <v>0.34202161474888743</v>
      </c>
      <c r="N121" s="327">
        <f t="shared" si="70"/>
        <v>1823.1586776859508</v>
      </c>
      <c r="O121" s="327">
        <f t="shared" si="71"/>
        <v>2770.8488888888892</v>
      </c>
      <c r="P121" s="327">
        <f t="shared" si="72"/>
        <v>2164.5646535282904</v>
      </c>
      <c r="Q121" s="386">
        <f>(I121-H121)/H121</f>
        <v>0.1872607030978071</v>
      </c>
      <c r="R121" s="383">
        <f>L121/K121</f>
        <v>0.34202161474888743</v>
      </c>
    </row>
    <row r="122" spans="1:19" ht="15.75" thickBot="1" x14ac:dyDescent="0.3">
      <c r="A122" s="530"/>
      <c r="B122" s="531"/>
      <c r="C122" s="530"/>
      <c r="D122" s="115" t="s">
        <v>137</v>
      </c>
      <c r="E122" s="93">
        <f>'Water and Burning'!K11</f>
        <v>2.9072</v>
      </c>
      <c r="F122" s="152">
        <v>3.4550000000000001</v>
      </c>
      <c r="G122" s="152">
        <v>1.861</v>
      </c>
      <c r="H122" s="58">
        <f t="shared" si="65"/>
        <v>2.9072E-3</v>
      </c>
      <c r="I122" s="58">
        <f t="shared" si="66"/>
        <v>3.4550000000000002E-3</v>
      </c>
      <c r="J122" s="58">
        <f t="shared" si="67"/>
        <v>1.861E-3</v>
      </c>
      <c r="K122" s="451">
        <f t="shared" si="68"/>
        <v>1.5968743738729714E-6</v>
      </c>
      <c r="L122" s="451">
        <f t="shared" si="69"/>
        <v>5.487878180725307E-7</v>
      </c>
      <c r="M122" s="325">
        <f t="shared" si="73"/>
        <v>0.34366373902133007</v>
      </c>
      <c r="N122" s="328">
        <f t="shared" si="70"/>
        <v>1820.5564868255958</v>
      </c>
      <c r="O122" s="328">
        <f t="shared" si="71"/>
        <v>2773.8167080864077</v>
      </c>
      <c r="P122" s="328">
        <f t="shared" si="72"/>
        <v>2163.6016311166877</v>
      </c>
      <c r="Q122" s="387">
        <f>(I122-H122)/H122</f>
        <v>0.18842872867363794</v>
      </c>
      <c r="R122" s="384">
        <f>L122/K122</f>
        <v>0.34366373902133007</v>
      </c>
    </row>
    <row r="123" spans="1:19" x14ac:dyDescent="0.25">
      <c r="A123" s="530"/>
      <c r="B123" s="532" t="s">
        <v>20</v>
      </c>
      <c r="C123" s="530"/>
      <c r="D123" s="113" t="s">
        <v>135</v>
      </c>
      <c r="E123" s="321">
        <f>'Water and Burning'!K16</f>
        <v>3.0628000000000002</v>
      </c>
      <c r="F123" s="87">
        <v>3.448</v>
      </c>
      <c r="G123" s="87">
        <v>1.931</v>
      </c>
      <c r="H123" s="22">
        <f t="shared" si="65"/>
        <v>3.0628000000000001E-3</v>
      </c>
      <c r="I123" s="22">
        <f t="shared" si="66"/>
        <v>3.4480000000000001E-3</v>
      </c>
      <c r="J123" s="22">
        <f t="shared" si="67"/>
        <v>1.931E-3</v>
      </c>
      <c r="K123" s="449">
        <f t="shared" si="68"/>
        <v>1.5197355239430975E-6</v>
      </c>
      <c r="L123" s="449">
        <f t="shared" si="69"/>
        <v>3.8589461029853741E-7</v>
      </c>
      <c r="M123" s="323">
        <f t="shared" si="73"/>
        <v>0.25392221489782468</v>
      </c>
      <c r="N123" s="326">
        <f t="shared" si="70"/>
        <v>2015.350665787739</v>
      </c>
      <c r="O123" s="326">
        <f t="shared" si="71"/>
        <v>2701.260788125111</v>
      </c>
      <c r="P123" s="326">
        <f t="shared" si="72"/>
        <v>2268.8158206987478</v>
      </c>
      <c r="Q123" s="385">
        <f t="shared" ref="Q123:Q129" si="74">(I123-H123)/H123</f>
        <v>0.12576727177745856</v>
      </c>
      <c r="R123" s="382">
        <f t="shared" ref="R123:R137" si="75">L123/K123</f>
        <v>0.25392221489782468</v>
      </c>
    </row>
    <row r="124" spans="1:19" x14ac:dyDescent="0.25">
      <c r="A124" s="530"/>
      <c r="B124" s="530"/>
      <c r="C124" s="530"/>
      <c r="D124" s="114" t="s">
        <v>136</v>
      </c>
      <c r="E124" s="151">
        <f>'Water and Burning'!K17</f>
        <v>2.9725000000000001</v>
      </c>
      <c r="F124" s="151">
        <v>3.3439999999999999</v>
      </c>
      <c r="G124" s="151">
        <v>1.871</v>
      </c>
      <c r="H124" s="25">
        <f t="shared" si="65"/>
        <v>2.9725000000000003E-3</v>
      </c>
      <c r="I124" s="25">
        <f t="shared" si="66"/>
        <v>3.3439999999999998E-3</v>
      </c>
      <c r="J124" s="25">
        <f t="shared" si="67"/>
        <v>1.8710000000000001E-3</v>
      </c>
      <c r="K124" s="450">
        <f t="shared" si="68"/>
        <v>1.4756561811260265E-6</v>
      </c>
      <c r="L124" s="450">
        <f t="shared" si="69"/>
        <v>3.7216990583049431E-7</v>
      </c>
      <c r="M124" s="324">
        <f t="shared" si="73"/>
        <v>0.25220638153428343</v>
      </c>
      <c r="N124" s="327">
        <f t="shared" si="70"/>
        <v>2014.3581126951806</v>
      </c>
      <c r="O124" s="327">
        <f>H124/(K124-L124)</f>
        <v>2693.7353608715384</v>
      </c>
      <c r="P124" s="327">
        <f t="shared" si="72"/>
        <v>2266.1105227427024</v>
      </c>
      <c r="Q124" s="386">
        <f t="shared" si="74"/>
        <v>0.12497897392767011</v>
      </c>
      <c r="R124" s="383">
        <f t="shared" si="75"/>
        <v>0.25220638153428343</v>
      </c>
    </row>
    <row r="125" spans="1:19" ht="15.75" thickBot="1" x14ac:dyDescent="0.3">
      <c r="A125" s="533"/>
      <c r="B125" s="531"/>
      <c r="C125" s="530"/>
      <c r="D125" s="115" t="s">
        <v>137</v>
      </c>
      <c r="E125" s="93">
        <f>'Water and Burning'!K18</f>
        <v>2.9845000000000002</v>
      </c>
      <c r="F125" s="152">
        <v>3.36</v>
      </c>
      <c r="G125" s="152">
        <v>1.88</v>
      </c>
      <c r="H125" s="58">
        <f t="shared" si="65"/>
        <v>2.9845000000000002E-3</v>
      </c>
      <c r="I125" s="58">
        <f t="shared" si="66"/>
        <v>3.3600000000000001E-3</v>
      </c>
      <c r="J125" s="58">
        <f t="shared" si="67"/>
        <v>1.8799999999999999E-3</v>
      </c>
      <c r="K125" s="451">
        <f t="shared" si="68"/>
        <v>1.4826688038469246E-6</v>
      </c>
      <c r="L125" s="451">
        <f t="shared" si="69"/>
        <v>3.7617711881386488E-7</v>
      </c>
      <c r="M125" s="325">
        <f t="shared" si="73"/>
        <v>0.25371621621621615</v>
      </c>
      <c r="N125" s="328">
        <f t="shared" si="70"/>
        <v>2012.9242567567567</v>
      </c>
      <c r="O125" s="328">
        <f t="shared" si="71"/>
        <v>2697.263829787234</v>
      </c>
      <c r="P125" s="328">
        <f t="shared" si="72"/>
        <v>2266.1837837837838</v>
      </c>
      <c r="Q125" s="387">
        <f t="shared" si="74"/>
        <v>0.1258167197185458</v>
      </c>
      <c r="R125" s="384">
        <f t="shared" si="75"/>
        <v>0.25371621621621615</v>
      </c>
    </row>
    <row r="126" spans="1:19" x14ac:dyDescent="0.25">
      <c r="A126" s="529" t="s">
        <v>293</v>
      </c>
      <c r="B126" s="532" t="s">
        <v>134</v>
      </c>
      <c r="C126" s="530"/>
      <c r="D126" s="113" t="s">
        <v>135</v>
      </c>
      <c r="E126" s="321">
        <f>'Water and Burning'!K25</f>
        <v>2.8712</v>
      </c>
      <c r="F126" s="87">
        <v>3.327</v>
      </c>
      <c r="G126" s="87">
        <v>1.8360000000000001</v>
      </c>
      <c r="H126" s="22">
        <f t="shared" si="65"/>
        <v>2.8712E-3</v>
      </c>
      <c r="I126" s="22">
        <f t="shared" si="66"/>
        <v>3.3270000000000001E-3</v>
      </c>
      <c r="J126" s="22">
        <f t="shared" si="67"/>
        <v>1.8360000000000002E-3</v>
      </c>
      <c r="K126" s="449">
        <f t="shared" si="68"/>
        <v>1.493688639551192E-6</v>
      </c>
      <c r="L126" s="449">
        <f t="shared" si="69"/>
        <v>4.5662191945501916E-7</v>
      </c>
      <c r="M126" s="323">
        <f t="shared" si="73"/>
        <v>0.30570087189805512</v>
      </c>
      <c r="N126" s="326">
        <f t="shared" si="70"/>
        <v>1922.2212206572772</v>
      </c>
      <c r="O126" s="326">
        <f t="shared" si="71"/>
        <v>2768.5778979907268</v>
      </c>
      <c r="P126" s="326">
        <f t="shared" si="72"/>
        <v>2227.3718309859155</v>
      </c>
      <c r="Q126" s="385">
        <f t="shared" si="74"/>
        <v>0.15874895514070778</v>
      </c>
      <c r="R126" s="382">
        <f t="shared" si="75"/>
        <v>0.30570087189805512</v>
      </c>
    </row>
    <row r="127" spans="1:19" x14ac:dyDescent="0.25">
      <c r="A127" s="530"/>
      <c r="B127" s="530"/>
      <c r="C127" s="530"/>
      <c r="D127" s="114" t="s">
        <v>136</v>
      </c>
      <c r="E127" s="151">
        <f>'Water and Burning'!K26</f>
        <v>2.9085999999999999</v>
      </c>
      <c r="F127" s="151">
        <v>3.3679999999999999</v>
      </c>
      <c r="G127" s="151">
        <v>1.8580000000000001</v>
      </c>
      <c r="H127" s="25">
        <f t="shared" si="65"/>
        <v>2.9085999999999999E-3</v>
      </c>
      <c r="I127" s="25">
        <f t="shared" si="66"/>
        <v>3.3679999999999999E-3</v>
      </c>
      <c r="J127" s="25">
        <f t="shared" si="67"/>
        <v>1.8580000000000001E-3</v>
      </c>
      <c r="K127" s="450">
        <f t="shared" si="68"/>
        <v>1.5127229012221997E-6</v>
      </c>
      <c r="L127" s="450">
        <f t="shared" si="69"/>
        <v>4.6022841114005207E-7</v>
      </c>
      <c r="M127" s="324">
        <f t="shared" si="73"/>
        <v>0.30423841059602652</v>
      </c>
      <c r="N127" s="327">
        <f t="shared" si="70"/>
        <v>1922.7579602649009</v>
      </c>
      <c r="O127" s="327">
        <f t="shared" si="71"/>
        <v>2763.5299067199703</v>
      </c>
      <c r="P127" s="327">
        <f t="shared" si="72"/>
        <v>2226.4487417218547</v>
      </c>
      <c r="Q127" s="386">
        <f t="shared" si="74"/>
        <v>0.15794540328680465</v>
      </c>
      <c r="R127" s="383">
        <f t="shared" si="75"/>
        <v>0.30423841059602652</v>
      </c>
    </row>
    <row r="128" spans="1:19" ht="15.75" thickBot="1" x14ac:dyDescent="0.3">
      <c r="A128" s="530"/>
      <c r="B128" s="531"/>
      <c r="C128" s="530"/>
      <c r="D128" s="115" t="s">
        <v>137</v>
      </c>
      <c r="E128" s="152">
        <f>'Water and Burning'!K27</f>
        <v>2.8759999999999999</v>
      </c>
      <c r="F128" s="152">
        <v>3.3050000000000002</v>
      </c>
      <c r="G128" s="152">
        <v>1.837</v>
      </c>
      <c r="H128" s="58">
        <f t="shared" si="65"/>
        <v>2.8760000000000001E-3</v>
      </c>
      <c r="I128" s="58">
        <f t="shared" si="66"/>
        <v>3.3050000000000002E-3</v>
      </c>
      <c r="J128" s="58">
        <f t="shared" si="67"/>
        <v>1.8370000000000001E-3</v>
      </c>
      <c r="K128" s="451">
        <f t="shared" si="68"/>
        <v>1.4706471648968143E-6</v>
      </c>
      <c r="L128" s="451">
        <f t="shared" si="69"/>
        <v>4.2977359246643968E-7</v>
      </c>
      <c r="M128" s="325">
        <f t="shared" si="73"/>
        <v>0.29223433242506819</v>
      </c>
      <c r="N128" s="328">
        <f t="shared" si="70"/>
        <v>1955.6016348773842</v>
      </c>
      <c r="O128" s="328">
        <f t="shared" si="71"/>
        <v>2763.0637151106835</v>
      </c>
      <c r="P128" s="328">
        <f t="shared" si="72"/>
        <v>2247.3099455040874</v>
      </c>
      <c r="Q128" s="387">
        <f t="shared" si="74"/>
        <v>0.14916550764951325</v>
      </c>
      <c r="R128" s="384">
        <f t="shared" si="75"/>
        <v>0.29223433242506819</v>
      </c>
    </row>
    <row r="129" spans="1:18" x14ac:dyDescent="0.25">
      <c r="A129" s="530"/>
      <c r="B129" s="532" t="s">
        <v>20</v>
      </c>
      <c r="C129" s="530"/>
      <c r="D129" s="114" t="s">
        <v>135</v>
      </c>
      <c r="E129" s="93">
        <f>'Water and Burning'!K32</f>
        <v>3.0253000000000001</v>
      </c>
      <c r="F129" s="93">
        <v>3.36</v>
      </c>
      <c r="G129" s="93">
        <v>1.9019999999999999</v>
      </c>
      <c r="H129" s="45">
        <f t="shared" si="65"/>
        <v>3.0253000000000003E-3</v>
      </c>
      <c r="I129" s="45">
        <f t="shared" si="66"/>
        <v>3.3600000000000001E-3</v>
      </c>
      <c r="J129" s="45">
        <f t="shared" si="67"/>
        <v>1.902E-3</v>
      </c>
      <c r="K129" s="450">
        <f t="shared" si="68"/>
        <v>1.4606291324383892E-6</v>
      </c>
      <c r="L129" s="450">
        <f t="shared" si="69"/>
        <v>3.3530354638349013E-7</v>
      </c>
      <c r="M129" s="324">
        <f t="shared" si="73"/>
        <v>0.22956104252400539</v>
      </c>
      <c r="N129" s="327">
        <f t="shared" si="70"/>
        <v>2071.2307681755833</v>
      </c>
      <c r="O129" s="327">
        <f t="shared" si="71"/>
        <v>2688.3775126858359</v>
      </c>
      <c r="P129" s="327">
        <f t="shared" si="72"/>
        <v>2300.3786008230454</v>
      </c>
      <c r="Q129" s="385">
        <f t="shared" si="74"/>
        <v>0.11063365616633054</v>
      </c>
      <c r="R129" s="382">
        <f t="shared" si="75"/>
        <v>0.22956104252400539</v>
      </c>
    </row>
    <row r="130" spans="1:18" x14ac:dyDescent="0.25">
      <c r="A130" s="530"/>
      <c r="B130" s="530"/>
      <c r="C130" s="530"/>
      <c r="D130" s="114" t="s">
        <v>136</v>
      </c>
      <c r="E130" s="151">
        <f>'Water and Burning'!K33</f>
        <v>3.0424000000000002</v>
      </c>
      <c r="F130" s="151">
        <v>3.37</v>
      </c>
      <c r="G130" s="151">
        <v>1.911</v>
      </c>
      <c r="H130" s="25">
        <f t="shared" si="65"/>
        <v>3.0424000000000002E-3</v>
      </c>
      <c r="I130" s="25">
        <f t="shared" si="66"/>
        <v>3.3700000000000002E-3</v>
      </c>
      <c r="J130" s="25">
        <f t="shared" si="67"/>
        <v>1.9110000000000002E-3</v>
      </c>
      <c r="K130" s="450">
        <f t="shared" si="68"/>
        <v>1.4616309356842315E-6</v>
      </c>
      <c r="L130" s="450">
        <f t="shared" si="69"/>
        <v>3.2819074333800836E-7</v>
      </c>
      <c r="M130" s="324">
        <f t="shared" si="73"/>
        <v>0.22453735435229608</v>
      </c>
      <c r="N130" s="327">
        <f t="shared" si="70"/>
        <v>2081.5104043865663</v>
      </c>
      <c r="O130" s="327">
        <f t="shared" si="71"/>
        <v>2684.2175004419305</v>
      </c>
      <c r="P130" s="327">
        <f t="shared" si="72"/>
        <v>2305.6435915010284</v>
      </c>
      <c r="Q130" s="386">
        <f>(I130-H130)/H130</f>
        <v>0.10767814882987113</v>
      </c>
      <c r="R130" s="383">
        <f t="shared" si="75"/>
        <v>0.22453735435229608</v>
      </c>
    </row>
    <row r="131" spans="1:18" ht="15.75" thickBot="1" x14ac:dyDescent="0.3">
      <c r="A131" s="533"/>
      <c r="B131" s="531"/>
      <c r="C131" s="530"/>
      <c r="D131" s="145" t="s">
        <v>137</v>
      </c>
      <c r="E131" s="322">
        <f>'Water and Burning'!K34</f>
        <v>3.0663</v>
      </c>
      <c r="F131" s="322">
        <v>3.4039999999999999</v>
      </c>
      <c r="G131" s="322">
        <v>1.929</v>
      </c>
      <c r="H131" s="247">
        <f t="shared" si="65"/>
        <v>3.0663000000000001E-3</v>
      </c>
      <c r="I131" s="247">
        <f t="shared" si="66"/>
        <v>3.4039999999999999E-3</v>
      </c>
      <c r="J131" s="247">
        <f t="shared" si="67"/>
        <v>1.9290000000000002E-3</v>
      </c>
      <c r="K131" s="452">
        <f t="shared" si="68"/>
        <v>1.4776597876177115E-6</v>
      </c>
      <c r="L131" s="452">
        <f t="shared" si="69"/>
        <v>3.383089561210176E-7</v>
      </c>
      <c r="M131" s="331">
        <f t="shared" si="73"/>
        <v>0.22894915254237277</v>
      </c>
      <c r="N131" s="332">
        <f t="shared" si="70"/>
        <v>2075.1055322033903</v>
      </c>
      <c r="O131" s="332">
        <f t="shared" si="71"/>
        <v>2691.2693748351362</v>
      </c>
      <c r="P131" s="332">
        <f t="shared" si="72"/>
        <v>2303.642576271187</v>
      </c>
      <c r="Q131" s="387">
        <f t="shared" ref="Q131:Q137" si="76">(I131-H131)/H131</f>
        <v>0.11013273326158556</v>
      </c>
      <c r="R131" s="384">
        <f t="shared" si="75"/>
        <v>0.22894915254237277</v>
      </c>
    </row>
    <row r="132" spans="1:18" x14ac:dyDescent="0.25">
      <c r="A132" s="529" t="s">
        <v>294</v>
      </c>
      <c r="B132" s="532" t="s">
        <v>134</v>
      </c>
      <c r="C132" s="530"/>
      <c r="D132" s="113" t="s">
        <v>135</v>
      </c>
      <c r="E132" s="87">
        <f>'Water and Burning'!K41</f>
        <v>2.8972000000000002</v>
      </c>
      <c r="F132" s="87">
        <v>3.1360000000000001</v>
      </c>
      <c r="G132" s="87">
        <v>1.839</v>
      </c>
      <c r="H132" s="22">
        <f t="shared" si="65"/>
        <v>2.8972000000000004E-3</v>
      </c>
      <c r="I132" s="22">
        <f t="shared" si="66"/>
        <v>3.1360000000000003E-3</v>
      </c>
      <c r="J132" s="22">
        <f t="shared" si="67"/>
        <v>1.8389999999999999E-3</v>
      </c>
      <c r="K132" s="449">
        <f t="shared" si="68"/>
        <v>1.2993388098577444E-6</v>
      </c>
      <c r="L132" s="449">
        <f t="shared" si="69"/>
        <v>2.3923061510719288E-7</v>
      </c>
      <c r="M132" s="323">
        <f>(L132/K132)</f>
        <v>0.18411719352351569</v>
      </c>
      <c r="N132" s="326">
        <f t="shared" si="70"/>
        <v>2229.7494525828834</v>
      </c>
      <c r="O132" s="326">
        <f t="shared" si="71"/>
        <v>2732.9285957285947</v>
      </c>
      <c r="P132" s="326">
        <f t="shared" si="72"/>
        <v>2413.5352351580564</v>
      </c>
      <c r="Q132" s="385">
        <f t="shared" si="76"/>
        <v>8.2424409774955104E-2</v>
      </c>
      <c r="R132" s="382">
        <f t="shared" si="75"/>
        <v>0.18411719352351569</v>
      </c>
    </row>
    <row r="133" spans="1:18" x14ac:dyDescent="0.25">
      <c r="A133" s="530"/>
      <c r="B133" s="530"/>
      <c r="C133" s="530"/>
      <c r="D133" s="114" t="s">
        <v>136</v>
      </c>
      <c r="E133" s="151">
        <f>'Water and Burning'!K42</f>
        <v>2.8851</v>
      </c>
      <c r="F133" s="151">
        <v>3.0939999999999999</v>
      </c>
      <c r="G133" s="151">
        <v>1.8220000000000001</v>
      </c>
      <c r="H133" s="25">
        <f t="shared" si="65"/>
        <v>2.8851000000000003E-3</v>
      </c>
      <c r="I133" s="25">
        <f t="shared" si="66"/>
        <v>3.094E-3</v>
      </c>
      <c r="J133" s="25">
        <f t="shared" si="67"/>
        <v>1.8220000000000001E-3</v>
      </c>
      <c r="K133" s="450">
        <f t="shared" si="68"/>
        <v>1.2742937287116808E-6</v>
      </c>
      <c r="L133" s="450">
        <f t="shared" si="69"/>
        <v>2.092766980565014E-7</v>
      </c>
      <c r="M133" s="324">
        <f t="shared" ref="M133:M137" si="77">(L133/K133)</f>
        <v>0.16422955974842746</v>
      </c>
      <c r="N133" s="327">
        <f t="shared" si="70"/>
        <v>2264.077688679246</v>
      </c>
      <c r="O133" s="327">
        <f t="shared" si="71"/>
        <v>2708.9707647446148</v>
      </c>
      <c r="P133" s="327">
        <f t="shared" si="72"/>
        <v>2428.0116352201262</v>
      </c>
      <c r="Q133" s="386">
        <f t="shared" si="76"/>
        <v>7.2406502374267684E-2</v>
      </c>
      <c r="R133" s="383">
        <f t="shared" si="75"/>
        <v>0.16422955974842746</v>
      </c>
    </row>
    <row r="134" spans="1:18" ht="15.75" thickBot="1" x14ac:dyDescent="0.3">
      <c r="A134" s="530"/>
      <c r="B134" s="531"/>
      <c r="C134" s="530"/>
      <c r="D134" s="115" t="s">
        <v>137</v>
      </c>
      <c r="E134" s="152">
        <f>'Water and Burning'!K43</f>
        <v>2.9860000000000002</v>
      </c>
      <c r="F134" s="152">
        <v>3.1869999999999998</v>
      </c>
      <c r="G134" s="152">
        <v>1.8879999999999999</v>
      </c>
      <c r="H134" s="58">
        <f t="shared" si="65"/>
        <v>2.9860000000000004E-3</v>
      </c>
      <c r="I134" s="58">
        <f t="shared" si="66"/>
        <v>3.1869999999999997E-3</v>
      </c>
      <c r="J134" s="58">
        <f t="shared" si="67"/>
        <v>1.8879999999999999E-3</v>
      </c>
      <c r="K134" s="451">
        <f t="shared" si="68"/>
        <v>1.3013424163494287E-6</v>
      </c>
      <c r="L134" s="451">
        <f t="shared" si="69"/>
        <v>2.0136245241434517E-7</v>
      </c>
      <c r="M134" s="325">
        <f t="shared" si="77"/>
        <v>0.15473441108544989</v>
      </c>
      <c r="N134" s="328">
        <f t="shared" si="70"/>
        <v>2294.5536566589694</v>
      </c>
      <c r="O134" s="328">
        <f t="shared" si="71"/>
        <v>2714.5948998178496</v>
      </c>
      <c r="P134" s="328">
        <f t="shared" si="72"/>
        <v>2449.0095458044652</v>
      </c>
      <c r="Q134" s="387">
        <f t="shared" si="76"/>
        <v>6.7314132618887926E-2</v>
      </c>
      <c r="R134" s="384">
        <f t="shared" si="75"/>
        <v>0.15473441108544989</v>
      </c>
    </row>
    <row r="135" spans="1:18" x14ac:dyDescent="0.25">
      <c r="A135" s="530"/>
      <c r="B135" s="532" t="s">
        <v>20</v>
      </c>
      <c r="C135" s="530"/>
      <c r="D135" s="113" t="s">
        <v>135</v>
      </c>
      <c r="E135" s="87">
        <f>'Water and Burning'!K48</f>
        <v>2.9304000000000001</v>
      </c>
      <c r="F135" s="87">
        <v>3.17</v>
      </c>
      <c r="G135" s="87">
        <v>1.8360000000000001</v>
      </c>
      <c r="H135" s="22">
        <f t="shared" si="65"/>
        <v>2.9304000000000001E-3</v>
      </c>
      <c r="I135" s="22">
        <f t="shared" si="66"/>
        <v>3.1700000000000001E-3</v>
      </c>
      <c r="J135" s="22">
        <f t="shared" si="67"/>
        <v>1.8360000000000002E-3</v>
      </c>
      <c r="K135" s="449">
        <f t="shared" si="68"/>
        <v>1.3364055299539169E-6</v>
      </c>
      <c r="L135" s="449">
        <f t="shared" si="69"/>
        <v>2.4003205770386692E-7</v>
      </c>
      <c r="M135" s="323">
        <f t="shared" si="77"/>
        <v>0.1796101949025487</v>
      </c>
      <c r="N135" s="326">
        <f t="shared" si="70"/>
        <v>2192.7475862068968</v>
      </c>
      <c r="O135" s="326">
        <f t="shared" si="71"/>
        <v>2672.8118421052636</v>
      </c>
      <c r="P135" s="326">
        <f t="shared" si="72"/>
        <v>2372.0344827586209</v>
      </c>
      <c r="Q135" s="385">
        <f t="shared" si="76"/>
        <v>8.1763581763581755E-2</v>
      </c>
      <c r="R135" s="382">
        <f t="shared" si="75"/>
        <v>0.1796101949025487</v>
      </c>
    </row>
    <row r="136" spans="1:18" x14ac:dyDescent="0.25">
      <c r="A136" s="530"/>
      <c r="B136" s="530"/>
      <c r="C136" s="530"/>
      <c r="D136" s="114" t="s">
        <v>136</v>
      </c>
      <c r="E136" s="151">
        <f>'Water and Burning'!K49</f>
        <v>2.9594</v>
      </c>
      <c r="F136" s="151">
        <v>3.1960000000000002</v>
      </c>
      <c r="G136" s="151">
        <v>1.8520000000000001</v>
      </c>
      <c r="H136" s="25">
        <f t="shared" si="65"/>
        <v>2.9594000000000001E-3</v>
      </c>
      <c r="I136" s="25">
        <f t="shared" si="66"/>
        <v>3.1960000000000001E-3</v>
      </c>
      <c r="J136" s="25">
        <f t="shared" si="67"/>
        <v>1.8520000000000001E-3</v>
      </c>
      <c r="K136" s="450">
        <f t="shared" si="68"/>
        <v>1.3464235624123421E-6</v>
      </c>
      <c r="L136" s="450">
        <f t="shared" si="69"/>
        <v>2.370266479663394E-7</v>
      </c>
      <c r="M136" s="324">
        <f t="shared" si="77"/>
        <v>0.17604166666666668</v>
      </c>
      <c r="N136" s="327">
        <f t="shared" si="70"/>
        <v>2197.9710416666671</v>
      </c>
      <c r="O136" s="327">
        <f t="shared" si="71"/>
        <v>2667.5754740834391</v>
      </c>
      <c r="P136" s="327">
        <f t="shared" si="72"/>
        <v>2373.6958333333337</v>
      </c>
      <c r="Q136" s="386">
        <f t="shared" si="76"/>
        <v>7.9948638237480565E-2</v>
      </c>
      <c r="R136" s="383">
        <f t="shared" si="75"/>
        <v>0.17604166666666668</v>
      </c>
    </row>
    <row r="137" spans="1:18" ht="15.75" thickBot="1" x14ac:dyDescent="0.3">
      <c r="A137" s="531"/>
      <c r="B137" s="531"/>
      <c r="C137" s="531"/>
      <c r="D137" s="115" t="s">
        <v>137</v>
      </c>
      <c r="E137" s="152">
        <f>'Water and Burning'!K50</f>
        <v>2.8957999999999999</v>
      </c>
      <c r="F137" s="152">
        <v>3.1269999999999998</v>
      </c>
      <c r="G137" s="152">
        <v>1.8140000000000001</v>
      </c>
      <c r="H137" s="58">
        <f t="shared" si="65"/>
        <v>2.8958E-3</v>
      </c>
      <c r="I137" s="58">
        <f t="shared" si="66"/>
        <v>3.127E-3</v>
      </c>
      <c r="J137" s="58">
        <f t="shared" si="67"/>
        <v>1.8140000000000001E-3</v>
      </c>
      <c r="K137" s="451">
        <f t="shared" si="68"/>
        <v>1.3153676617912241E-6</v>
      </c>
      <c r="L137" s="451">
        <f t="shared" si="69"/>
        <v>2.3161691043878979E-7</v>
      </c>
      <c r="M137" s="325">
        <f t="shared" si="77"/>
        <v>0.17608530083777607</v>
      </c>
      <c r="N137" s="328">
        <f t="shared" si="70"/>
        <v>2201.5137547600916</v>
      </c>
      <c r="O137" s="328">
        <f t="shared" si="71"/>
        <v>2672.0166019596968</v>
      </c>
      <c r="P137" s="328">
        <f t="shared" si="72"/>
        <v>2377.2821020563597</v>
      </c>
      <c r="Q137" s="387">
        <f t="shared" si="76"/>
        <v>7.9839767939774833E-2</v>
      </c>
      <c r="R137" s="384">
        <f t="shared" si="75"/>
        <v>0.17608530083777607</v>
      </c>
    </row>
  </sheetData>
  <mergeCells count="73">
    <mergeCell ref="T11:AA11"/>
    <mergeCell ref="A1:Q1"/>
    <mergeCell ref="T2:AA2"/>
    <mergeCell ref="T3:AA3"/>
    <mergeCell ref="M4:Q4"/>
    <mergeCell ref="T4:AA4"/>
    <mergeCell ref="M5:Q5"/>
    <mergeCell ref="T5:AA5"/>
    <mergeCell ref="T6:AA6"/>
    <mergeCell ref="T7:AA7"/>
    <mergeCell ref="T8:AA8"/>
    <mergeCell ref="T9:AA9"/>
    <mergeCell ref="T10:AA10"/>
    <mergeCell ref="C36:C53"/>
    <mergeCell ref="A36:A41"/>
    <mergeCell ref="A14:A19"/>
    <mergeCell ref="A20:A25"/>
    <mergeCell ref="A26:A31"/>
    <mergeCell ref="B51:B53"/>
    <mergeCell ref="B14:B16"/>
    <mergeCell ref="B17:B19"/>
    <mergeCell ref="B20:B22"/>
    <mergeCell ref="B23:B25"/>
    <mergeCell ref="B26:B28"/>
    <mergeCell ref="B29:B31"/>
    <mergeCell ref="B36:B38"/>
    <mergeCell ref="B39:B41"/>
    <mergeCell ref="A68:A73"/>
    <mergeCell ref="B68:B70"/>
    <mergeCell ref="B71:B73"/>
    <mergeCell ref="B42:B44"/>
    <mergeCell ref="B45:B47"/>
    <mergeCell ref="B48:B50"/>
    <mergeCell ref="A56:A61"/>
    <mergeCell ref="B56:B58"/>
    <mergeCell ref="B59:B61"/>
    <mergeCell ref="A42:A47"/>
    <mergeCell ref="A48:A53"/>
    <mergeCell ref="C56:C73"/>
    <mergeCell ref="C14:C31"/>
    <mergeCell ref="C120:C137"/>
    <mergeCell ref="A78:A83"/>
    <mergeCell ref="B78:B80"/>
    <mergeCell ref="C78:C95"/>
    <mergeCell ref="B81:B83"/>
    <mergeCell ref="A84:A89"/>
    <mergeCell ref="B84:B86"/>
    <mergeCell ref="B87:B89"/>
    <mergeCell ref="A126:A131"/>
    <mergeCell ref="B126:B128"/>
    <mergeCell ref="B129:B131"/>
    <mergeCell ref="A62:A67"/>
    <mergeCell ref="B62:B64"/>
    <mergeCell ref="B65:B67"/>
    <mergeCell ref="A132:A137"/>
    <mergeCell ref="B132:B134"/>
    <mergeCell ref="B135:B137"/>
    <mergeCell ref="C98:C115"/>
    <mergeCell ref="B101:B103"/>
    <mergeCell ref="A104:A109"/>
    <mergeCell ref="B104:B106"/>
    <mergeCell ref="B107:B109"/>
    <mergeCell ref="A110:A115"/>
    <mergeCell ref="B110:B112"/>
    <mergeCell ref="B113:B115"/>
    <mergeCell ref="A120:A125"/>
    <mergeCell ref="B120:B122"/>
    <mergeCell ref="B123:B125"/>
    <mergeCell ref="A90:A95"/>
    <mergeCell ref="B90:B92"/>
    <mergeCell ref="B93:B95"/>
    <mergeCell ref="A98:A103"/>
    <mergeCell ref="B98:B10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F6D2-D0A9-4EA8-AFE4-3F1750AB5BB4}">
  <dimension ref="A1:AB209"/>
  <sheetViews>
    <sheetView topLeftCell="A159" zoomScale="70" zoomScaleNormal="70" workbookViewId="0">
      <selection activeCell="N141" sqref="N141"/>
    </sheetView>
  </sheetViews>
  <sheetFormatPr defaultColWidth="8.85546875" defaultRowHeight="15" x14ac:dyDescent="0.25"/>
  <cols>
    <col min="1" max="1" width="15.28515625" customWidth="1"/>
    <col min="2" max="3" width="13.7109375" customWidth="1"/>
    <col min="4" max="4" width="13.28515625" customWidth="1"/>
    <col min="5" max="5" width="13" customWidth="1"/>
    <col min="6" max="6" width="13.140625" customWidth="1"/>
    <col min="7" max="7" width="12" customWidth="1"/>
    <col min="8" max="8" width="13.85546875" customWidth="1"/>
    <col min="11" max="11" width="14" customWidth="1"/>
    <col min="12" max="12" width="13.140625" bestFit="1" customWidth="1"/>
    <col min="13" max="13" width="13.7109375" customWidth="1"/>
    <col min="14" max="14" width="15.7109375" customWidth="1"/>
    <col min="15" max="15" width="18" bestFit="1" customWidth="1"/>
    <col min="16" max="16" width="13.7109375" customWidth="1"/>
    <col min="17" max="17" width="15.42578125" bestFit="1" customWidth="1"/>
    <col min="18" max="18" width="15.42578125" customWidth="1"/>
  </cols>
  <sheetData>
    <row r="1" spans="1:28" ht="19.5" thickBot="1" x14ac:dyDescent="0.35">
      <c r="A1" s="483" t="s">
        <v>245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07"/>
    </row>
    <row r="2" spans="1:28" ht="18" x14ac:dyDescent="0.35">
      <c r="T2" s="100" t="s">
        <v>246</v>
      </c>
      <c r="U2" s="539" t="s">
        <v>247</v>
      </c>
      <c r="V2" s="539"/>
      <c r="W2" s="539"/>
      <c r="X2" s="539"/>
      <c r="Y2" s="539"/>
      <c r="Z2" s="539"/>
      <c r="AA2" s="539"/>
      <c r="AB2" s="540"/>
    </row>
    <row r="3" spans="1:28" ht="18" x14ac:dyDescent="0.35">
      <c r="A3" s="9" t="s">
        <v>248</v>
      </c>
      <c r="B3" s="1"/>
      <c r="C3" s="9"/>
      <c r="E3" s="1"/>
      <c r="F3" s="1"/>
      <c r="G3" s="1"/>
      <c r="T3" s="101" t="s">
        <v>249</v>
      </c>
      <c r="U3" s="541" t="s">
        <v>250</v>
      </c>
      <c r="V3" s="541"/>
      <c r="W3" s="541"/>
      <c r="X3" s="541"/>
      <c r="Y3" s="541"/>
      <c r="Z3" s="541"/>
      <c r="AA3" s="541"/>
      <c r="AB3" s="542"/>
    </row>
    <row r="4" spans="1:28" ht="18" x14ac:dyDescent="0.35">
      <c r="A4" s="9" t="s">
        <v>57</v>
      </c>
      <c r="B4" s="9"/>
      <c r="C4" s="9"/>
      <c r="D4" s="2"/>
      <c r="E4" s="2"/>
      <c r="F4" s="2"/>
      <c r="G4" s="2"/>
      <c r="L4" s="102" t="s">
        <v>251</v>
      </c>
      <c r="M4" s="543" t="s">
        <v>252</v>
      </c>
      <c r="N4" s="543"/>
      <c r="O4" s="543"/>
      <c r="P4" s="543"/>
      <c r="Q4" s="543"/>
      <c r="R4" s="408"/>
      <c r="T4" s="101" t="s">
        <v>253</v>
      </c>
      <c r="U4" s="541" t="s">
        <v>254</v>
      </c>
      <c r="V4" s="541"/>
      <c r="W4" s="541"/>
      <c r="X4" s="541"/>
      <c r="Y4" s="541"/>
      <c r="Z4" s="541"/>
      <c r="AA4" s="541"/>
      <c r="AB4" s="542"/>
    </row>
    <row r="5" spans="1:28" x14ac:dyDescent="0.25">
      <c r="A5" s="9" t="s">
        <v>58</v>
      </c>
      <c r="B5" s="9"/>
      <c r="C5" s="9"/>
      <c r="D5" s="1"/>
      <c r="E5" s="1"/>
      <c r="F5" s="1"/>
      <c r="G5" s="1"/>
      <c r="L5" s="103" t="s">
        <v>255</v>
      </c>
      <c r="M5" s="543" t="s">
        <v>256</v>
      </c>
      <c r="N5" s="543"/>
      <c r="O5" s="543"/>
      <c r="P5" s="543"/>
      <c r="Q5" s="543"/>
      <c r="R5" s="408"/>
      <c r="T5" s="101" t="s">
        <v>257</v>
      </c>
      <c r="U5" s="541" t="s">
        <v>258</v>
      </c>
      <c r="V5" s="541"/>
      <c r="W5" s="541"/>
      <c r="X5" s="541"/>
      <c r="Y5" s="541"/>
      <c r="Z5" s="541"/>
      <c r="AA5" s="541"/>
      <c r="AB5" s="542"/>
    </row>
    <row r="6" spans="1:28" ht="18" x14ac:dyDescent="0.35">
      <c r="T6" s="101" t="s">
        <v>259</v>
      </c>
      <c r="U6" s="541" t="s">
        <v>260</v>
      </c>
      <c r="V6" s="541"/>
      <c r="W6" s="541"/>
      <c r="X6" s="541"/>
      <c r="Y6" s="541"/>
      <c r="Z6" s="541"/>
      <c r="AA6" s="541"/>
      <c r="AB6" s="542"/>
    </row>
    <row r="7" spans="1:28" ht="18" x14ac:dyDescent="0.35">
      <c r="T7" s="101" t="s">
        <v>261</v>
      </c>
      <c r="U7" s="541" t="s">
        <v>262</v>
      </c>
      <c r="V7" s="541"/>
      <c r="W7" s="541"/>
      <c r="X7" s="541"/>
      <c r="Y7" s="541"/>
      <c r="Z7" s="541"/>
      <c r="AA7" s="541"/>
      <c r="AB7" s="542"/>
    </row>
    <row r="8" spans="1:28" ht="18.75" thickBot="1" x14ac:dyDescent="0.4">
      <c r="T8" s="101" t="s">
        <v>263</v>
      </c>
      <c r="U8" s="541" t="s">
        <v>264</v>
      </c>
      <c r="V8" s="541"/>
      <c r="W8" s="541"/>
      <c r="X8" s="541"/>
      <c r="Y8" s="541"/>
      <c r="Z8" s="541"/>
      <c r="AA8" s="541"/>
      <c r="AB8" s="542"/>
    </row>
    <row r="9" spans="1:28" ht="18" x14ac:dyDescent="0.35">
      <c r="H9" s="9"/>
      <c r="K9" s="100" t="s">
        <v>265</v>
      </c>
      <c r="L9" s="104">
        <v>20</v>
      </c>
      <c r="M9" s="105"/>
      <c r="T9" s="101" t="s">
        <v>266</v>
      </c>
      <c r="U9" s="541" t="s">
        <v>267</v>
      </c>
      <c r="V9" s="541"/>
      <c r="W9" s="541"/>
      <c r="X9" s="541"/>
      <c r="Y9" s="541"/>
      <c r="Z9" s="541"/>
      <c r="AA9" s="541"/>
      <c r="AB9" s="542"/>
    </row>
    <row r="10" spans="1:28" ht="18.75" thickBot="1" x14ac:dyDescent="0.4">
      <c r="K10" s="106" t="s">
        <v>268</v>
      </c>
      <c r="L10" s="107">
        <v>998.2</v>
      </c>
      <c r="T10" s="101" t="s">
        <v>269</v>
      </c>
      <c r="U10" s="541" t="s">
        <v>270</v>
      </c>
      <c r="V10" s="541"/>
      <c r="W10" s="541"/>
      <c r="X10" s="541"/>
      <c r="Y10" s="541"/>
      <c r="Z10" s="541"/>
      <c r="AA10" s="541"/>
      <c r="AB10" s="542"/>
    </row>
    <row r="11" spans="1:28" ht="18.75" thickBot="1" x14ac:dyDescent="0.4">
      <c r="T11" s="106" t="s">
        <v>271</v>
      </c>
      <c r="U11" s="537" t="s">
        <v>272</v>
      </c>
      <c r="V11" s="537"/>
      <c r="W11" s="537"/>
      <c r="X11" s="537"/>
      <c r="Y11" s="537"/>
      <c r="Z11" s="537"/>
      <c r="AA11" s="537"/>
      <c r="AB11" s="538"/>
    </row>
    <row r="12" spans="1:28" ht="20.25" customHeight="1" x14ac:dyDescent="0.25">
      <c r="A12" s="108" t="s">
        <v>273</v>
      </c>
      <c r="B12" s="148" t="s">
        <v>274</v>
      </c>
      <c r="C12" s="334" t="s">
        <v>275</v>
      </c>
      <c r="D12" s="338" t="s">
        <v>6</v>
      </c>
      <c r="E12" s="109" t="s">
        <v>276</v>
      </c>
      <c r="F12" s="109" t="s">
        <v>277</v>
      </c>
      <c r="G12" s="109" t="s">
        <v>278</v>
      </c>
      <c r="H12" s="109" t="s">
        <v>276</v>
      </c>
      <c r="I12" s="109" t="s">
        <v>277</v>
      </c>
      <c r="J12" s="109" t="s">
        <v>278</v>
      </c>
      <c r="K12" s="109" t="s">
        <v>279</v>
      </c>
      <c r="L12" s="109" t="s">
        <v>280</v>
      </c>
      <c r="M12" s="109" t="s">
        <v>281</v>
      </c>
      <c r="N12" s="109" t="s">
        <v>282</v>
      </c>
      <c r="O12" s="109" t="s">
        <v>283</v>
      </c>
      <c r="P12" s="109" t="s">
        <v>284</v>
      </c>
      <c r="Q12" s="109" t="s">
        <v>285</v>
      </c>
      <c r="R12" s="416" t="s">
        <v>285</v>
      </c>
      <c r="S12" s="110" t="s">
        <v>286</v>
      </c>
    </row>
    <row r="13" spans="1:28" ht="20.25" customHeight="1" thickBot="1" x14ac:dyDescent="0.3">
      <c r="A13" s="111"/>
      <c r="B13" s="149"/>
      <c r="C13" s="335"/>
      <c r="D13" s="339"/>
      <c r="E13" s="340" t="s">
        <v>120</v>
      </c>
      <c r="F13" s="340" t="s">
        <v>120</v>
      </c>
      <c r="G13" s="340" t="s">
        <v>120</v>
      </c>
      <c r="H13" s="340" t="s">
        <v>28</v>
      </c>
      <c r="I13" s="340" t="s">
        <v>28</v>
      </c>
      <c r="J13" s="340" t="s">
        <v>28</v>
      </c>
      <c r="K13" s="340" t="s">
        <v>287</v>
      </c>
      <c r="L13" s="340" t="s">
        <v>287</v>
      </c>
      <c r="M13" s="340" t="s">
        <v>289</v>
      </c>
      <c r="N13" s="340" t="s">
        <v>289</v>
      </c>
      <c r="O13" s="340" t="s">
        <v>289</v>
      </c>
      <c r="P13" s="340" t="s">
        <v>289</v>
      </c>
      <c r="Q13" s="340" t="s">
        <v>290</v>
      </c>
      <c r="R13" s="417" t="s">
        <v>301</v>
      </c>
      <c r="S13" s="341" t="s">
        <v>291</v>
      </c>
    </row>
    <row r="14" spans="1:28" x14ac:dyDescent="0.25">
      <c r="A14" s="529" t="s">
        <v>292</v>
      </c>
      <c r="B14" s="532" t="s">
        <v>134</v>
      </c>
      <c r="C14" s="534" t="s">
        <v>1</v>
      </c>
      <c r="D14" s="388" t="s">
        <v>135</v>
      </c>
      <c r="E14" s="392">
        <f>'Porosity and Density'!E14</f>
        <v>2.8395000000000001</v>
      </c>
      <c r="F14" s="393">
        <f>'Porosity and Density'!F14</f>
        <v>3.3639999999999999</v>
      </c>
      <c r="G14" s="393">
        <f>'Porosity and Density'!G14</f>
        <v>1.8029999999999999</v>
      </c>
      <c r="H14" s="393">
        <f>'Porosity and Density'!H14</f>
        <v>2.8395E-3</v>
      </c>
      <c r="I14" s="393">
        <f>'Porosity and Density'!I14</f>
        <v>3.3639999999999998E-3</v>
      </c>
      <c r="J14" s="393">
        <f>'Porosity and Density'!J14</f>
        <v>1.8029999999999999E-3</v>
      </c>
      <c r="K14" s="393">
        <f>'Porosity and Density'!K14</f>
        <v>1.5638148667601681E-6</v>
      </c>
      <c r="L14" s="393">
        <f>'Porosity and Density'!L14</f>
        <v>5.2544580244439965E-7</v>
      </c>
      <c r="M14" s="393">
        <f>'Porosity and Density'!M14</f>
        <v>0.33600256245996141</v>
      </c>
      <c r="N14" s="393">
        <f>'Porosity and Density'!N14</f>
        <v>1815.75201793722</v>
      </c>
      <c r="O14" s="393">
        <f>'Porosity and Density'!O14</f>
        <v>2734.5768451519534</v>
      </c>
      <c r="P14" s="393">
        <f>'Porosity and Density'!P14</f>
        <v>2151.1497757847533</v>
      </c>
      <c r="Q14" s="393">
        <f>'Porosity and Density'!Q14</f>
        <v>0.18471561894699765</v>
      </c>
      <c r="R14" s="418">
        <f>Q14*100</f>
        <v>18.471561894699764</v>
      </c>
      <c r="S14" s="394">
        <f>'Porosity and Density'!R14</f>
        <v>0.33600256245996141</v>
      </c>
    </row>
    <row r="15" spans="1:28" x14ac:dyDescent="0.25">
      <c r="A15" s="530"/>
      <c r="B15" s="530"/>
      <c r="C15" s="535"/>
      <c r="D15" s="389" t="s">
        <v>136</v>
      </c>
      <c r="E15" s="395">
        <f>'Porosity and Density'!E15</f>
        <v>2.9005999999999998</v>
      </c>
      <c r="F15" s="396">
        <f>'Porosity and Density'!F15</f>
        <v>3.4329999999999998</v>
      </c>
      <c r="G15" s="396">
        <f>'Porosity and Density'!G15</f>
        <v>1.841</v>
      </c>
      <c r="H15" s="396">
        <f>'Porosity and Density'!H15</f>
        <v>2.9005999999999997E-3</v>
      </c>
      <c r="I15" s="396">
        <f>'Porosity and Density'!I15</f>
        <v>3.4329999999999999E-3</v>
      </c>
      <c r="J15" s="396">
        <f>'Porosity and Density'!J15</f>
        <v>1.841E-3</v>
      </c>
      <c r="K15" s="396">
        <f>'Porosity and Density'!K15</f>
        <v>1.5948707673812861E-6</v>
      </c>
      <c r="L15" s="396">
        <f>'Porosity and Density'!L15</f>
        <v>5.3336004808655594E-7</v>
      </c>
      <c r="M15" s="396">
        <f>'Porosity and Density'!M15</f>
        <v>0.33442211055276394</v>
      </c>
      <c r="N15" s="396">
        <f>'Porosity and Density'!N15</f>
        <v>1818.705351758794</v>
      </c>
      <c r="O15" s="396">
        <f>'Porosity and Density'!O15</f>
        <v>2732.5206870517181</v>
      </c>
      <c r="P15" s="396">
        <f>'Porosity and Density'!P15</f>
        <v>2152.525502512563</v>
      </c>
      <c r="Q15" s="396">
        <f>'Porosity and Density'!Q15</f>
        <v>0.1835482314004</v>
      </c>
      <c r="R15" s="419">
        <f>Q15*100</f>
        <v>18.354823140040001</v>
      </c>
      <c r="S15" s="397">
        <f>'Porosity and Density'!R15</f>
        <v>0.33442211055276394</v>
      </c>
    </row>
    <row r="16" spans="1:28" ht="15.75" thickBot="1" x14ac:dyDescent="0.3">
      <c r="A16" s="530"/>
      <c r="B16" s="531"/>
      <c r="C16" s="535"/>
      <c r="D16" s="77" t="s">
        <v>137</v>
      </c>
      <c r="E16" s="401">
        <f>'Porosity and Density'!E16</f>
        <v>2.8620999999999999</v>
      </c>
      <c r="F16" s="402">
        <f>'Porosity and Density'!F16</f>
        <v>3.3879999999999999</v>
      </c>
      <c r="G16" s="402">
        <f>'Porosity and Density'!G16</f>
        <v>1.819</v>
      </c>
      <c r="H16" s="402">
        <f>'Porosity and Density'!H16</f>
        <v>2.8620999999999998E-3</v>
      </c>
      <c r="I16" s="402">
        <f>'Porosity and Density'!I16</f>
        <v>3.388E-3</v>
      </c>
      <c r="J16" s="402">
        <f>'Porosity and Density'!J16</f>
        <v>1.8190000000000001E-3</v>
      </c>
      <c r="K16" s="402">
        <f>'Porosity and Density'!K16</f>
        <v>1.5718292927269083E-6</v>
      </c>
      <c r="L16" s="402">
        <f>'Porosity and Density'!L16</f>
        <v>5.2684832698857962E-7</v>
      </c>
      <c r="M16" s="402">
        <f>'Porosity and Density'!M16</f>
        <v>0.33518164435946474</v>
      </c>
      <c r="N16" s="402">
        <f>'Porosity and Density'!N16</f>
        <v>1820.8720331421287</v>
      </c>
      <c r="O16" s="402">
        <f>'Porosity and Density'!O16</f>
        <v>2738.9015626497949</v>
      </c>
      <c r="P16" s="402">
        <f>'Porosity and Density'!P16</f>
        <v>2155.4503505417465</v>
      </c>
      <c r="Q16" s="402">
        <f>'Porosity and Density'!Q16</f>
        <v>0.18374620034240599</v>
      </c>
      <c r="R16" s="419">
        <f>Q16*100</f>
        <v>18.3746200342406</v>
      </c>
      <c r="S16" s="403">
        <f>'Porosity and Density'!R16</f>
        <v>0.33518164435946474</v>
      </c>
    </row>
    <row r="17" spans="1:20" x14ac:dyDescent="0.25">
      <c r="A17" s="530"/>
      <c r="B17" s="302"/>
      <c r="C17" s="535"/>
      <c r="D17" s="390" t="s">
        <v>161</v>
      </c>
      <c r="E17" s="393">
        <f>AVERAGE(E14:E16)</f>
        <v>2.8673999999999999</v>
      </c>
      <c r="F17" s="393">
        <f t="shared" ref="F17:S17" si="0">AVERAGE(F14:F16)</f>
        <v>3.3949999999999996</v>
      </c>
      <c r="G17" s="393">
        <f t="shared" si="0"/>
        <v>1.821</v>
      </c>
      <c r="H17" s="393">
        <f t="shared" si="0"/>
        <v>2.8673999999999995E-3</v>
      </c>
      <c r="I17" s="393">
        <f t="shared" si="0"/>
        <v>3.395E-3</v>
      </c>
      <c r="J17" s="393">
        <f t="shared" si="0"/>
        <v>1.8209999999999999E-3</v>
      </c>
      <c r="K17" s="393">
        <f t="shared" si="0"/>
        <v>1.5768383089561208E-6</v>
      </c>
      <c r="L17" s="393">
        <f t="shared" si="0"/>
        <v>5.285513925065118E-7</v>
      </c>
      <c r="M17" s="393">
        <f t="shared" si="0"/>
        <v>0.33520210579073001</v>
      </c>
      <c r="N17" s="393">
        <f t="shared" si="0"/>
        <v>1818.4431342793807</v>
      </c>
      <c r="O17" s="393">
        <f t="shared" si="0"/>
        <v>2735.3330316178221</v>
      </c>
      <c r="P17" s="393">
        <f t="shared" si="0"/>
        <v>2153.0418762796876</v>
      </c>
      <c r="Q17" s="393">
        <f t="shared" si="0"/>
        <v>0.18400335022993453</v>
      </c>
      <c r="R17" s="393">
        <f t="shared" ref="R17" si="1">AVERAGE(R14:R16)</f>
        <v>18.400335022993456</v>
      </c>
      <c r="S17" s="394">
        <f t="shared" si="0"/>
        <v>0.33520210579073001</v>
      </c>
    </row>
    <row r="18" spans="1:20" ht="15.75" thickBot="1" x14ac:dyDescent="0.3">
      <c r="A18" s="530"/>
      <c r="B18" s="302"/>
      <c r="C18" s="535"/>
      <c r="D18" s="391" t="s">
        <v>162</v>
      </c>
      <c r="E18" s="399">
        <f>STDEV(E14:E16)</f>
        <v>3.0892879438472416E-2</v>
      </c>
      <c r="F18" s="399">
        <f t="shared" ref="F18:S18" si="2">STDEV(F14:F16)</f>
        <v>3.5028559776273956E-2</v>
      </c>
      <c r="G18" s="399">
        <f t="shared" si="2"/>
        <v>1.907878402833893E-2</v>
      </c>
      <c r="H18" s="399">
        <f t="shared" si="2"/>
        <v>3.0892879438472405E-5</v>
      </c>
      <c r="I18" s="399">
        <f t="shared" si="2"/>
        <v>3.5028559776274003E-5</v>
      </c>
      <c r="J18" s="399">
        <f t="shared" si="2"/>
        <v>1.9078784028338935E-5</v>
      </c>
      <c r="K18" s="399">
        <f t="shared" si="2"/>
        <v>1.6122497434813703E-8</v>
      </c>
      <c r="L18" s="399">
        <f t="shared" si="2"/>
        <v>4.2230492703583848E-9</v>
      </c>
      <c r="M18" s="399">
        <f t="shared" si="2"/>
        <v>7.9042460764331952E-4</v>
      </c>
      <c r="N18" s="399">
        <f t="shared" si="2"/>
        <v>2.5700598104920269</v>
      </c>
      <c r="O18" s="399">
        <f t="shared" si="2"/>
        <v>3.25695514674443</v>
      </c>
      <c r="P18" s="399">
        <f t="shared" si="2"/>
        <v>2.196296248381052</v>
      </c>
      <c r="Q18" s="399">
        <f t="shared" si="2"/>
        <v>6.2473431911475757E-4</v>
      </c>
      <c r="R18" s="399">
        <f t="shared" ref="R18" si="3">STDEV(R14:R16)</f>
        <v>6.2473431911475211E-2</v>
      </c>
      <c r="S18" s="400">
        <f t="shared" si="2"/>
        <v>7.9042460764331952E-4</v>
      </c>
    </row>
    <row r="19" spans="1:20" x14ac:dyDescent="0.25">
      <c r="A19" s="530"/>
      <c r="B19" s="532" t="s">
        <v>20</v>
      </c>
      <c r="C19" s="535"/>
      <c r="D19" s="114" t="s">
        <v>135</v>
      </c>
      <c r="E19" s="404">
        <f>'Porosity and Density'!E17</f>
        <v>3.0929000000000002</v>
      </c>
      <c r="F19" s="405">
        <f>'Porosity and Density'!F17</f>
        <v>3.5590000000000002</v>
      </c>
      <c r="G19" s="405">
        <f>'Porosity and Density'!G17</f>
        <v>1.9259999999999999</v>
      </c>
      <c r="H19" s="405">
        <f>'Porosity and Density'!H17</f>
        <v>3.0929000000000004E-3</v>
      </c>
      <c r="I19" s="405">
        <f>'Porosity and Density'!I17</f>
        <v>3.5590000000000001E-3</v>
      </c>
      <c r="J19" s="405">
        <f>'Porosity and Density'!J17</f>
        <v>1.926E-3</v>
      </c>
      <c r="K19" s="405">
        <f>'Porosity and Density'!K17</f>
        <v>1.6359447004608296E-6</v>
      </c>
      <c r="L19" s="405">
        <f>'Porosity and Density'!L17</f>
        <v>4.6694049288719661E-7</v>
      </c>
      <c r="M19" s="405">
        <f>'Porosity and Density'!M17</f>
        <v>0.28542559706062437</v>
      </c>
      <c r="N19" s="405">
        <f>'Porosity and Density'!N17</f>
        <v>1890.5895774647888</v>
      </c>
      <c r="O19" s="405">
        <f>'Porosity and Density'!O17</f>
        <v>2645.7560887822428</v>
      </c>
      <c r="P19" s="405">
        <f>'Porosity and Density'!P17</f>
        <v>2175.5014084507043</v>
      </c>
      <c r="Q19" s="405">
        <f>'Porosity and Density'!Q17</f>
        <v>0.15069999030036524</v>
      </c>
      <c r="R19" s="418">
        <f>Q19*100</f>
        <v>15.069999030036524</v>
      </c>
      <c r="S19" s="406">
        <f>'Porosity and Density'!R17</f>
        <v>0.28542559706062437</v>
      </c>
    </row>
    <row r="20" spans="1:20" x14ac:dyDescent="0.25">
      <c r="A20" s="530"/>
      <c r="B20" s="530"/>
      <c r="C20" s="535"/>
      <c r="D20" s="114" t="s">
        <v>136</v>
      </c>
      <c r="E20" s="395">
        <f>'Porosity and Density'!E18</f>
        <v>3.0729000000000002</v>
      </c>
      <c r="F20" s="396">
        <f>'Porosity and Density'!F18</f>
        <v>3.5379999999999998</v>
      </c>
      <c r="G20" s="396">
        <f>'Porosity and Density'!G18</f>
        <v>1.9139999999999999</v>
      </c>
      <c r="H20" s="396">
        <f>'Porosity and Density'!H18</f>
        <v>3.0729000000000004E-3</v>
      </c>
      <c r="I20" s="396">
        <f>'Porosity and Density'!I18</f>
        <v>3.5379999999999999E-3</v>
      </c>
      <c r="J20" s="396">
        <f>'Porosity and Density'!J18</f>
        <v>1.9139999999999999E-3</v>
      </c>
      <c r="K20" s="396">
        <f>'Porosity and Density'!K18</f>
        <v>1.6269284712482468E-6</v>
      </c>
      <c r="L20" s="396">
        <f>'Porosity and Density'!L18</f>
        <v>4.6593868964135398E-7</v>
      </c>
      <c r="M20" s="396">
        <f>'Porosity and Density'!M18</f>
        <v>0.28639162561576326</v>
      </c>
      <c r="N20" s="396">
        <f>'Porosity and Density'!N18</f>
        <v>1888.7738793103451</v>
      </c>
      <c r="O20" s="396">
        <f>'Porosity and Density'!O18</f>
        <v>2646.7933212529115</v>
      </c>
      <c r="P20" s="396">
        <f>'Porosity and Density'!P18</f>
        <v>2174.65</v>
      </c>
      <c r="Q20" s="396">
        <f>'Porosity and Density'!Q18</f>
        <v>0.15135539718181507</v>
      </c>
      <c r="R20" s="419">
        <f>Q20*100</f>
        <v>15.135539718181507</v>
      </c>
      <c r="S20" s="397">
        <f>'Porosity and Density'!R18</f>
        <v>0.28639162561576326</v>
      </c>
    </row>
    <row r="21" spans="1:20" ht="15.75" thickBot="1" x14ac:dyDescent="0.3">
      <c r="A21" s="533"/>
      <c r="B21" s="531"/>
      <c r="C21" s="535"/>
      <c r="D21" s="115" t="s">
        <v>137</v>
      </c>
      <c r="E21" s="398">
        <f>'Porosity and Density'!E19</f>
        <v>3.1374</v>
      </c>
      <c r="F21" s="399">
        <f>'Porosity and Density'!F19</f>
        <v>3.6059999999999999</v>
      </c>
      <c r="G21" s="399">
        <f>'Porosity and Density'!G19</f>
        <v>1.954</v>
      </c>
      <c r="H21" s="399">
        <f>'Porosity and Density'!H19</f>
        <v>3.1373999999999998E-3</v>
      </c>
      <c r="I21" s="399">
        <f>'Porosity and Density'!I19</f>
        <v>3.6059999999999998E-3</v>
      </c>
      <c r="J21" s="399">
        <f>'Porosity and Density'!J19</f>
        <v>1.954E-3</v>
      </c>
      <c r="K21" s="399">
        <f>'Porosity and Density'!K19</f>
        <v>1.654978962131837E-6</v>
      </c>
      <c r="L21" s="399">
        <f>'Porosity and Density'!L19</f>
        <v>4.6944500100180321E-7</v>
      </c>
      <c r="M21" s="399">
        <f>'Porosity and Density'!M19</f>
        <v>0.28365617433414048</v>
      </c>
      <c r="N21" s="399">
        <f>'Porosity and Density'!N19</f>
        <v>1895.7340677966104</v>
      </c>
      <c r="O21" s="399">
        <f>'Porosity and Density'!O19</f>
        <v>2646.4024674666221</v>
      </c>
      <c r="P21" s="399">
        <f>'Porosity and Density'!P19</f>
        <v>2178.8796610169493</v>
      </c>
      <c r="Q21" s="399">
        <f>'Porosity and Density'!Q19</f>
        <v>0.14935934213042648</v>
      </c>
      <c r="R21" s="419">
        <f>Q21*100</f>
        <v>14.935934213042648</v>
      </c>
      <c r="S21" s="400">
        <f>'Porosity and Density'!R19</f>
        <v>0.28365617433414048</v>
      </c>
      <c r="T21" s="116"/>
    </row>
    <row r="22" spans="1:20" x14ac:dyDescent="0.25">
      <c r="A22" s="302"/>
      <c r="B22" s="302"/>
      <c r="C22" s="535"/>
      <c r="D22" s="390" t="s">
        <v>161</v>
      </c>
      <c r="E22" s="393">
        <f>AVERAGE(E19:E21)</f>
        <v>3.1010666666666666</v>
      </c>
      <c r="F22" s="393">
        <f t="shared" ref="F22" si="4">AVERAGE(F19:F21)</f>
        <v>3.5676666666666663</v>
      </c>
      <c r="G22" s="393">
        <f t="shared" ref="G22" si="5">AVERAGE(G19:G21)</f>
        <v>1.9313333333333331</v>
      </c>
      <c r="H22" s="393">
        <f t="shared" ref="H22" si="6">AVERAGE(H19:H21)</f>
        <v>3.1010666666666672E-3</v>
      </c>
      <c r="I22" s="393">
        <f t="shared" ref="I22" si="7">AVERAGE(I19:I21)</f>
        <v>3.5676666666666669E-3</v>
      </c>
      <c r="J22" s="393">
        <f t="shared" ref="J22" si="8">AVERAGE(J19:J21)</f>
        <v>1.9313333333333333E-3</v>
      </c>
      <c r="K22" s="393">
        <f t="shared" ref="K22" si="9">AVERAGE(K19:K21)</f>
        <v>1.6392840446136379E-6</v>
      </c>
      <c r="L22" s="393">
        <f t="shared" ref="L22" si="10">AVERAGE(L19:L21)</f>
        <v>4.6744139451011795E-7</v>
      </c>
      <c r="M22" s="393">
        <f t="shared" ref="M22" si="11">AVERAGE(M19:M21)</f>
        <v>0.28515779900350935</v>
      </c>
      <c r="N22" s="393">
        <f t="shared" ref="N22" si="12">AVERAGE(N19:N21)</f>
        <v>1891.6991748572482</v>
      </c>
      <c r="O22" s="393">
        <f t="shared" ref="O22" si="13">AVERAGE(O19:O21)</f>
        <v>2646.3172925005924</v>
      </c>
      <c r="P22" s="393">
        <f t="shared" ref="P22" si="14">AVERAGE(P19:P21)</f>
        <v>2176.3436898225514</v>
      </c>
      <c r="Q22" s="393">
        <f t="shared" ref="Q22:R22" si="15">AVERAGE(Q19:Q21)</f>
        <v>0.1504715765375356</v>
      </c>
      <c r="R22" s="393">
        <f t="shared" si="15"/>
        <v>15.04715765375356</v>
      </c>
      <c r="S22" s="394">
        <f t="shared" ref="S22" si="16">AVERAGE(S19:S21)</f>
        <v>0.28515779900350935</v>
      </c>
    </row>
    <row r="23" spans="1:20" ht="15.75" thickBot="1" x14ac:dyDescent="0.3">
      <c r="A23" s="302"/>
      <c r="B23" s="302"/>
      <c r="C23" s="535"/>
      <c r="D23" s="391" t="s">
        <v>162</v>
      </c>
      <c r="E23" s="399">
        <f>STDEV(E19:E21)</f>
        <v>3.3016410061260826E-2</v>
      </c>
      <c r="F23" s="399">
        <f t="shared" ref="F23:S23" si="17">STDEV(F19:F21)</f>
        <v>3.4818577416852237E-2</v>
      </c>
      <c r="G23" s="399">
        <f t="shared" si="17"/>
        <v>2.0526405757787556E-2</v>
      </c>
      <c r="H23" s="399">
        <f t="shared" si="17"/>
        <v>3.3016410061260647E-5</v>
      </c>
      <c r="I23" s="399">
        <f t="shared" si="17"/>
        <v>3.4818577416852177E-5</v>
      </c>
      <c r="J23" s="399">
        <f t="shared" si="17"/>
        <v>2.0526405757787585E-5</v>
      </c>
      <c r="K23" s="399">
        <f t="shared" si="17"/>
        <v>1.4320297630662759E-8</v>
      </c>
      <c r="L23" s="399">
        <f t="shared" si="17"/>
        <v>1.8060264854059422E-9</v>
      </c>
      <c r="M23" s="399">
        <f t="shared" si="17"/>
        <v>1.3872491766365751E-3</v>
      </c>
      <c r="N23" s="399">
        <f t="shared" si="17"/>
        <v>3.6103269548752905</v>
      </c>
      <c r="O23" s="399">
        <f t="shared" si="17"/>
        <v>0.52383573826247598</v>
      </c>
      <c r="P23" s="399">
        <f t="shared" si="17"/>
        <v>2.2370933175876231</v>
      </c>
      <c r="Q23" s="399">
        <f t="shared" si="17"/>
        <v>1.0174421739494431E-3</v>
      </c>
      <c r="R23" s="399">
        <f t="shared" si="17"/>
        <v>0.10174421739494442</v>
      </c>
      <c r="S23" s="400">
        <f t="shared" si="17"/>
        <v>1.3872491766365751E-3</v>
      </c>
    </row>
    <row r="24" spans="1:20" x14ac:dyDescent="0.25">
      <c r="A24" s="529" t="s">
        <v>293</v>
      </c>
      <c r="B24" s="532" t="s">
        <v>134</v>
      </c>
      <c r="C24" s="535"/>
      <c r="D24" s="113" t="s">
        <v>135</v>
      </c>
      <c r="E24" s="392">
        <f>'Porosity and Density'!E20</f>
        <v>2.8712</v>
      </c>
      <c r="F24" s="393">
        <f>'Porosity and Density'!F20</f>
        <v>3.3980000000000001</v>
      </c>
      <c r="G24" s="393">
        <f>'Porosity and Density'!G20</f>
        <v>1.821</v>
      </c>
      <c r="H24" s="393">
        <f>'Porosity and Density'!H20</f>
        <v>2.8712E-3</v>
      </c>
      <c r="I24" s="393">
        <f>'Porosity and Density'!I20</f>
        <v>3.3980000000000004E-3</v>
      </c>
      <c r="J24" s="393">
        <f>'Porosity and Density'!J20</f>
        <v>1.8209999999999999E-3</v>
      </c>
      <c r="K24" s="393">
        <f>'Porosity and Density'!K20</f>
        <v>1.5798437186936489E-6</v>
      </c>
      <c r="L24" s="393">
        <f>'Porosity and Density'!L20</f>
        <v>5.2774994990983808E-7</v>
      </c>
      <c r="M24" s="393">
        <f>'Porosity and Density'!M20</f>
        <v>0.33405199746353853</v>
      </c>
      <c r="N24" s="393">
        <f>'Porosity and Density'!N20</f>
        <v>1817.394952441344</v>
      </c>
      <c r="O24" s="393">
        <f>'Porosity and Density'!O20</f>
        <v>2729.0343172729008</v>
      </c>
      <c r="P24" s="393">
        <f>'Porosity and Density'!P20</f>
        <v>2150.8456563094483</v>
      </c>
      <c r="Q24" s="393">
        <f>'Porosity and Density'!Q20</f>
        <v>0.18347729172471455</v>
      </c>
      <c r="R24" s="418">
        <f>Q24*100</f>
        <v>18.347729172471457</v>
      </c>
      <c r="S24" s="394">
        <f>'Porosity and Density'!R20</f>
        <v>0.33405199746353853</v>
      </c>
      <c r="T24" s="116"/>
    </row>
    <row r="25" spans="1:20" x14ac:dyDescent="0.25">
      <c r="A25" s="530"/>
      <c r="B25" s="530"/>
      <c r="C25" s="535"/>
      <c r="D25" s="114" t="s">
        <v>136</v>
      </c>
      <c r="E25" s="395">
        <f>'Porosity and Density'!E21</f>
        <v>2.8812000000000002</v>
      </c>
      <c r="F25" s="396">
        <f>'Porosity and Density'!F21</f>
        <v>3.407</v>
      </c>
      <c r="G25" s="396">
        <f>'Porosity and Density'!G21</f>
        <v>1.8260000000000001</v>
      </c>
      <c r="H25" s="396">
        <f>'Porosity and Density'!H21</f>
        <v>2.8812000000000004E-3</v>
      </c>
      <c r="I25" s="396">
        <f>'Porosity and Density'!I21</f>
        <v>3.4070000000000003E-3</v>
      </c>
      <c r="J25" s="396">
        <f>'Porosity and Density'!J21</f>
        <v>1.8260000000000001E-3</v>
      </c>
      <c r="K25" s="396">
        <f>'Porosity and Density'!K21</f>
        <v>1.5838509316770188E-6</v>
      </c>
      <c r="L25" s="396">
        <f>'Porosity and Density'!L21</f>
        <v>5.2674814666399508E-7</v>
      </c>
      <c r="M25" s="396">
        <f>'Porosity and Density'!M21</f>
        <v>0.33257432005060078</v>
      </c>
      <c r="N25" s="396">
        <f>'Porosity and Density'!N21</f>
        <v>1819.1105882352942</v>
      </c>
      <c r="O25" s="396">
        <f>'Porosity and Density'!O21</f>
        <v>2725.5627748294155</v>
      </c>
      <c r="P25" s="396">
        <f>'Porosity and Density'!P21</f>
        <v>2151.0862745098038</v>
      </c>
      <c r="Q25" s="396">
        <f>'Porosity and Density'!Q21</f>
        <v>0.18249340552547544</v>
      </c>
      <c r="R25" s="419">
        <f>Q25*100</f>
        <v>18.249340552547544</v>
      </c>
      <c r="S25" s="397">
        <f>'Porosity and Density'!R21</f>
        <v>0.33257432005060078</v>
      </c>
      <c r="T25" s="116"/>
    </row>
    <row r="26" spans="1:20" ht="15.75" thickBot="1" x14ac:dyDescent="0.3">
      <c r="A26" s="530"/>
      <c r="B26" s="531"/>
      <c r="C26" s="535"/>
      <c r="D26" s="115" t="s">
        <v>137</v>
      </c>
      <c r="E26" s="398">
        <f>'Porosity and Density'!E22</f>
        <v>2.8210999999999999</v>
      </c>
      <c r="F26" s="399">
        <f>'Porosity and Density'!F22</f>
        <v>3.3380000000000001</v>
      </c>
      <c r="G26" s="399">
        <f>'Porosity and Density'!G22</f>
        <v>1.788</v>
      </c>
      <c r="H26" s="399">
        <f>'Porosity and Density'!H22</f>
        <v>2.8211E-3</v>
      </c>
      <c r="I26" s="399">
        <f>'Porosity and Density'!I22</f>
        <v>3.3380000000000003E-3</v>
      </c>
      <c r="J26" s="399">
        <f>'Porosity and Density'!J22</f>
        <v>1.7880000000000001E-3</v>
      </c>
      <c r="K26" s="399">
        <f>'Porosity and Density'!K22</f>
        <v>1.5527950310559006E-6</v>
      </c>
      <c r="L26" s="399">
        <f>'Porosity and Density'!L22</f>
        <v>5.1783209777599707E-7</v>
      </c>
      <c r="M26" s="399">
        <f>'Porosity and Density'!M22</f>
        <v>0.33348387096774212</v>
      </c>
      <c r="N26" s="399">
        <f>'Porosity and Density'!N22</f>
        <v>1816.7883999999999</v>
      </c>
      <c r="O26" s="399">
        <f>'Porosity and Density'!O22</f>
        <v>2725.798102797406</v>
      </c>
      <c r="P26" s="399">
        <f>'Porosity and Density'!P22</f>
        <v>2149.672</v>
      </c>
      <c r="Q26" s="399">
        <f>'Porosity and Density'!Q22</f>
        <v>0.18322640104923621</v>
      </c>
      <c r="R26" s="419">
        <f>Q26*100</f>
        <v>18.322640104923622</v>
      </c>
      <c r="S26" s="400">
        <f>'Porosity and Density'!R22</f>
        <v>0.33348387096774212</v>
      </c>
      <c r="T26" s="117"/>
    </row>
    <row r="27" spans="1:20" x14ac:dyDescent="0.25">
      <c r="A27" s="530"/>
      <c r="B27" s="302"/>
      <c r="C27" s="535"/>
      <c r="D27" s="390" t="s">
        <v>161</v>
      </c>
      <c r="E27" s="393">
        <f>AVERAGE(E24:E26)</f>
        <v>2.8578333333333332</v>
      </c>
      <c r="F27" s="393">
        <f t="shared" ref="F27" si="18">AVERAGE(F24:F26)</f>
        <v>3.3810000000000002</v>
      </c>
      <c r="G27" s="393">
        <f t="shared" ref="G27" si="19">AVERAGE(G24:G26)</f>
        <v>1.8116666666666668</v>
      </c>
      <c r="H27" s="393">
        <f t="shared" ref="H27" si="20">AVERAGE(H24:H26)</f>
        <v>2.8578333333333338E-3</v>
      </c>
      <c r="I27" s="393">
        <f t="shared" ref="I27" si="21">AVERAGE(I24:I26)</f>
        <v>3.3810000000000003E-3</v>
      </c>
      <c r="J27" s="393">
        <f t="shared" ref="J27" si="22">AVERAGE(J24:J26)</f>
        <v>1.8116666666666669E-3</v>
      </c>
      <c r="K27" s="393">
        <f t="shared" ref="K27" si="23">AVERAGE(K24:K26)</f>
        <v>1.5721632271421894E-6</v>
      </c>
      <c r="L27" s="393">
        <f t="shared" ref="L27" si="24">AVERAGE(L24:L26)</f>
        <v>5.2411006478327674E-7</v>
      </c>
      <c r="M27" s="393">
        <f t="shared" ref="M27" si="25">AVERAGE(M24:M26)</f>
        <v>0.33337006282729381</v>
      </c>
      <c r="N27" s="393">
        <f t="shared" ref="N27" si="26">AVERAGE(N24:N26)</f>
        <v>1817.7646468922128</v>
      </c>
      <c r="O27" s="393">
        <f t="shared" ref="O27" si="27">AVERAGE(O24:O26)</f>
        <v>2726.7983982999071</v>
      </c>
      <c r="P27" s="393">
        <f t="shared" ref="P27" si="28">AVERAGE(P24:P26)</f>
        <v>2150.5346436064174</v>
      </c>
      <c r="Q27" s="393">
        <f t="shared" ref="Q27:R27" si="29">AVERAGE(Q24:Q26)</f>
        <v>0.18306569943314208</v>
      </c>
      <c r="R27" s="393">
        <f t="shared" si="29"/>
        <v>18.306569943314205</v>
      </c>
      <c r="S27" s="394">
        <f t="shared" ref="S27" si="30">AVERAGE(S24:S26)</f>
        <v>0.33337006282729381</v>
      </c>
    </row>
    <row r="28" spans="1:20" ht="15.75" thickBot="1" x14ac:dyDescent="0.3">
      <c r="A28" s="530"/>
      <c r="B28" s="302"/>
      <c r="C28" s="535"/>
      <c r="D28" s="391" t="s">
        <v>162</v>
      </c>
      <c r="E28" s="399">
        <f>STDEV(E24:E26)</f>
        <v>3.2202536132008922E-2</v>
      </c>
      <c r="F28" s="399">
        <f t="shared" ref="F28:S28" si="31">STDEV(F24:F26)</f>
        <v>3.75099986670221E-2</v>
      </c>
      <c r="G28" s="399">
        <f t="shared" si="31"/>
        <v>2.064784088793143E-2</v>
      </c>
      <c r="H28" s="399">
        <f t="shared" si="31"/>
        <v>3.2202536132008967E-5</v>
      </c>
      <c r="I28" s="399">
        <f t="shared" si="31"/>
        <v>3.7509998667022155E-5</v>
      </c>
      <c r="J28" s="399">
        <f t="shared" si="31"/>
        <v>2.0647840887931417E-5</v>
      </c>
      <c r="K28" s="399">
        <f t="shared" si="31"/>
        <v>1.6892593160945482E-8</v>
      </c>
      <c r="L28" s="399">
        <f t="shared" si="31"/>
        <v>5.459904279766679E-9</v>
      </c>
      <c r="M28" s="399">
        <f t="shared" si="31"/>
        <v>7.4538369569023151E-4</v>
      </c>
      <c r="N28" s="399">
        <f t="shared" si="31"/>
        <v>1.2044272664993907</v>
      </c>
      <c r="O28" s="399">
        <f t="shared" si="31"/>
        <v>1.9399342910195143</v>
      </c>
      <c r="P28" s="399">
        <f t="shared" si="31"/>
        <v>0.75669661909852581</v>
      </c>
      <c r="Q28" s="399">
        <f t="shared" si="31"/>
        <v>5.1125020325154839E-4</v>
      </c>
      <c r="R28" s="399">
        <f t="shared" si="31"/>
        <v>5.1125020325155569E-2</v>
      </c>
      <c r="S28" s="400">
        <f t="shared" si="31"/>
        <v>7.4538369569023151E-4</v>
      </c>
    </row>
    <row r="29" spans="1:20" x14ac:dyDescent="0.25">
      <c r="A29" s="530"/>
      <c r="B29" s="532" t="s">
        <v>20</v>
      </c>
      <c r="C29" s="535"/>
      <c r="D29" s="113" t="s">
        <v>135</v>
      </c>
      <c r="E29" s="392">
        <f>'Porosity and Density'!E23</f>
        <v>3.1271</v>
      </c>
      <c r="F29" s="393">
        <f>'Porosity and Density'!F23</f>
        <v>3.6019999999999999</v>
      </c>
      <c r="G29" s="393">
        <f>'Porosity and Density'!G23</f>
        <v>1.9430000000000001</v>
      </c>
      <c r="H29" s="393">
        <f>'Porosity and Density'!H23</f>
        <v>3.1270999999999998E-3</v>
      </c>
      <c r="I29" s="393">
        <f>'Porosity and Density'!I23</f>
        <v>3.6019999999999997E-3</v>
      </c>
      <c r="J29" s="393">
        <f>'Porosity and Density'!J23</f>
        <v>1.9430000000000001E-3</v>
      </c>
      <c r="K29" s="393">
        <f>'Porosity and Density'!K23</f>
        <v>1.6619915848527344E-6</v>
      </c>
      <c r="L29" s="393">
        <f>'Porosity and Density'!L23</f>
        <v>4.7575636145061094E-7</v>
      </c>
      <c r="M29" s="393">
        <f>'Porosity and Density'!M23</f>
        <v>0.28625678119349002</v>
      </c>
      <c r="N29" s="393">
        <f>'Porosity and Density'!N23</f>
        <v>1881.5378059071734</v>
      </c>
      <c r="O29" s="393">
        <f>'Porosity and Density'!O23</f>
        <v>2636.1550713622164</v>
      </c>
      <c r="P29" s="393">
        <f>'Porosity and Density'!P23</f>
        <v>2167.2793248945154</v>
      </c>
      <c r="Q29" s="393">
        <f>'Porosity and Density'!Q23</f>
        <v>0.15186594608423137</v>
      </c>
      <c r="R29" s="418">
        <f>Q29*100</f>
        <v>15.186594608423137</v>
      </c>
      <c r="S29" s="394">
        <f>'Porosity and Density'!R23</f>
        <v>0.28625678119349002</v>
      </c>
      <c r="T29" s="117"/>
    </row>
    <row r="30" spans="1:20" x14ac:dyDescent="0.25">
      <c r="A30" s="530"/>
      <c r="B30" s="530"/>
      <c r="C30" s="535"/>
      <c r="D30" s="114" t="s">
        <v>136</v>
      </c>
      <c r="E30" s="395">
        <f>'Porosity and Density'!E24</f>
        <v>3.1320000000000001</v>
      </c>
      <c r="F30" s="396">
        <f>'Porosity and Density'!F24</f>
        <v>3.605</v>
      </c>
      <c r="G30" s="396">
        <f>'Porosity and Density'!G24</f>
        <v>1.946</v>
      </c>
      <c r="H30" s="396">
        <f>'Porosity and Density'!H24</f>
        <v>3.1320000000000002E-3</v>
      </c>
      <c r="I30" s="396">
        <f>'Porosity and Density'!I24</f>
        <v>3.6050000000000001E-3</v>
      </c>
      <c r="J30" s="396">
        <f>'Porosity and Density'!J24</f>
        <v>1.946E-3</v>
      </c>
      <c r="K30" s="396">
        <f>'Porosity and Density'!K24</f>
        <v>1.6619915848527349E-6</v>
      </c>
      <c r="L30" s="396">
        <f>'Porosity and Density'!L24</f>
        <v>4.7385293528351022E-7</v>
      </c>
      <c r="M30" s="396">
        <f>'Porosity and Density'!M24</f>
        <v>0.28511151295961418</v>
      </c>
      <c r="N30" s="396">
        <f>'Porosity and Density'!N24</f>
        <v>1884.4860759493672</v>
      </c>
      <c r="O30" s="396">
        <f>'Porosity and Density'!O24</f>
        <v>2636.055986509275</v>
      </c>
      <c r="P30" s="396">
        <f>'Porosity and Density'!P24</f>
        <v>2169.084388185654</v>
      </c>
      <c r="Q30" s="396">
        <f>'Porosity and Density'!Q24</f>
        <v>0.15102171136653891</v>
      </c>
      <c r="R30" s="419">
        <f>Q30*100</f>
        <v>15.102171136653892</v>
      </c>
      <c r="S30" s="397">
        <f>'Porosity and Density'!R24</f>
        <v>0.28511151295961418</v>
      </c>
      <c r="T30" s="117"/>
    </row>
    <row r="31" spans="1:20" ht="15.75" thickBot="1" x14ac:dyDescent="0.3">
      <c r="A31" s="533"/>
      <c r="B31" s="531"/>
      <c r="C31" s="535"/>
      <c r="D31" s="115" t="s">
        <v>137</v>
      </c>
      <c r="E31" s="398">
        <f>'Porosity and Density'!E25</f>
        <v>3.0438999999999998</v>
      </c>
      <c r="F31" s="399">
        <f>'Porosity and Density'!F25</f>
        <v>3.49</v>
      </c>
      <c r="G31" s="399">
        <f>'Porosity and Density'!G25</f>
        <v>1.8919999999999999</v>
      </c>
      <c r="H31" s="399">
        <f>'Porosity and Density'!H25</f>
        <v>3.0439E-3</v>
      </c>
      <c r="I31" s="399">
        <f>'Porosity and Density'!I25</f>
        <v>3.4900000000000005E-3</v>
      </c>
      <c r="J31" s="399">
        <f>'Porosity and Density'!J25</f>
        <v>1.892E-3</v>
      </c>
      <c r="K31" s="399">
        <f>'Porosity and Density'!K25</f>
        <v>1.6008815868563417E-6</v>
      </c>
      <c r="L31" s="399">
        <f>'Porosity and Density'!L25</f>
        <v>4.469044279703471E-7</v>
      </c>
      <c r="M31" s="399">
        <f>'Porosity and Density'!M25</f>
        <v>0.2791614518147687</v>
      </c>
      <c r="N31" s="399">
        <f>'Porosity and Density'!N25</f>
        <v>1901.3898498122649</v>
      </c>
      <c r="O31" s="399">
        <f>'Porosity and Density'!O25</f>
        <v>2637.7471829151841</v>
      </c>
      <c r="P31" s="399">
        <f>'Porosity and Density'!P25</f>
        <v>2180.0488110137671</v>
      </c>
      <c r="Q31" s="399">
        <f>'Porosity and Density'!Q25</f>
        <v>0.14655540589375488</v>
      </c>
      <c r="R31" s="419">
        <f>Q31*100</f>
        <v>14.655540589375487</v>
      </c>
      <c r="S31" s="400">
        <f>'Porosity and Density'!R25</f>
        <v>0.2791614518147687</v>
      </c>
    </row>
    <row r="32" spans="1:20" x14ac:dyDescent="0.25">
      <c r="A32" s="302"/>
      <c r="B32" s="302"/>
      <c r="C32" s="535"/>
      <c r="D32" s="390" t="s">
        <v>161</v>
      </c>
      <c r="E32" s="393">
        <f>AVERAGE(E29:E31)</f>
        <v>3.1010000000000004</v>
      </c>
      <c r="F32" s="393">
        <f t="shared" ref="F32" si="32">AVERAGE(F29:F31)</f>
        <v>3.5656666666666665</v>
      </c>
      <c r="G32" s="393">
        <f t="shared" ref="G32" si="33">AVERAGE(G29:G31)</f>
        <v>1.9270000000000003</v>
      </c>
      <c r="H32" s="393">
        <f t="shared" ref="H32" si="34">AVERAGE(H29:H31)</f>
        <v>3.101E-3</v>
      </c>
      <c r="I32" s="393">
        <f t="shared" ref="I32" si="35">AVERAGE(I29:I31)</f>
        <v>3.5656666666666666E-3</v>
      </c>
      <c r="J32" s="393">
        <f t="shared" ref="J32" si="36">AVERAGE(J29:J31)</f>
        <v>1.9269999999999999E-3</v>
      </c>
      <c r="K32" s="393">
        <f t="shared" ref="K32" si="37">AVERAGE(K29:K31)</f>
        <v>1.6416215855206037E-6</v>
      </c>
      <c r="L32" s="393">
        <f t="shared" ref="L32" si="38">AVERAGE(L29:L31)</f>
        <v>4.6550457490148944E-7</v>
      </c>
      <c r="M32" s="393">
        <f t="shared" ref="M32" si="39">AVERAGE(M29:M31)</f>
        <v>0.28350991532262432</v>
      </c>
      <c r="N32" s="393">
        <f t="shared" ref="N32" si="40">AVERAGE(N29:N31)</f>
        <v>1889.1379105562683</v>
      </c>
      <c r="O32" s="393">
        <f t="shared" ref="O32" si="41">AVERAGE(O29:O31)</f>
        <v>2636.6527469288917</v>
      </c>
      <c r="P32" s="393">
        <f t="shared" ref="P32" si="42">AVERAGE(P29:P31)</f>
        <v>2172.1375080313119</v>
      </c>
      <c r="Q32" s="393">
        <f t="shared" ref="Q32:R32" si="43">AVERAGE(Q29:Q31)</f>
        <v>0.14981435444817506</v>
      </c>
      <c r="R32" s="393">
        <f t="shared" si="43"/>
        <v>14.981435444817507</v>
      </c>
      <c r="S32" s="394">
        <f t="shared" ref="S32" si="44">AVERAGE(S29:S31)</f>
        <v>0.28350991532262432</v>
      </c>
    </row>
    <row r="33" spans="1:20" ht="15.75" thickBot="1" x14ac:dyDescent="0.3">
      <c r="A33" s="302"/>
      <c r="B33" s="302"/>
      <c r="C33" s="535"/>
      <c r="D33" s="391" t="s">
        <v>162</v>
      </c>
      <c r="E33" s="399">
        <f>STDEV(E29:E31)</f>
        <v>4.9510705912964054E-2</v>
      </c>
      <c r="F33" s="399">
        <f t="shared" ref="F33:S33" si="45">STDEV(F29:F31)</f>
        <v>6.5546421209195793E-2</v>
      </c>
      <c r="G33" s="399">
        <f t="shared" si="45"/>
        <v>3.0347981810987093E-2</v>
      </c>
      <c r="H33" s="399">
        <f t="shared" si="45"/>
        <v>4.9510705912963953E-5</v>
      </c>
      <c r="I33" s="399">
        <f t="shared" si="45"/>
        <v>6.5546421209195641E-5</v>
      </c>
      <c r="J33" s="399">
        <f t="shared" si="45"/>
        <v>3.0347981810987053E-5</v>
      </c>
      <c r="K33" s="399">
        <f t="shared" si="45"/>
        <v>3.528187379339493E-8</v>
      </c>
      <c r="L33" s="399">
        <f t="shared" si="45"/>
        <v>1.6136290068924245E-8</v>
      </c>
      <c r="M33" s="399">
        <f t="shared" si="45"/>
        <v>3.8091680182482266E-3</v>
      </c>
      <c r="N33" s="399">
        <f t="shared" si="45"/>
        <v>10.712403358252207</v>
      </c>
      <c r="O33" s="399">
        <f t="shared" si="45"/>
        <v>0.94910328631252483</v>
      </c>
      <c r="P33" s="399">
        <f t="shared" si="45"/>
        <v>6.9105788130520933</v>
      </c>
      <c r="Q33" s="399">
        <f t="shared" si="45"/>
        <v>2.8537242902753144E-3</v>
      </c>
      <c r="R33" s="399">
        <f t="shared" si="45"/>
        <v>0.28537242902753163</v>
      </c>
      <c r="S33" s="400">
        <f t="shared" si="45"/>
        <v>3.8091680182482266E-3</v>
      </c>
    </row>
    <row r="34" spans="1:20" x14ac:dyDescent="0.25">
      <c r="A34" s="529" t="s">
        <v>294</v>
      </c>
      <c r="B34" s="532" t="s">
        <v>134</v>
      </c>
      <c r="C34" s="535"/>
      <c r="D34" s="113" t="s">
        <v>135</v>
      </c>
      <c r="E34" s="392">
        <f>'Porosity and Density'!E26</f>
        <v>2.8365</v>
      </c>
      <c r="F34" s="393">
        <f>'Porosity and Density'!F26</f>
        <v>3.3319999999999999</v>
      </c>
      <c r="G34" s="393">
        <f>'Porosity and Density'!G26</f>
        <v>1.7989999999999999</v>
      </c>
      <c r="H34" s="393">
        <f>'Porosity and Density'!H26</f>
        <v>2.8365E-3</v>
      </c>
      <c r="I34" s="393">
        <f>'Porosity and Density'!I26</f>
        <v>3.3319999999999999E-3</v>
      </c>
      <c r="J34" s="393">
        <f>'Porosity and Density'!J26</f>
        <v>1.799E-3</v>
      </c>
      <c r="K34" s="393">
        <f>'Porosity and Density'!K26</f>
        <v>1.5357643758765777E-6</v>
      </c>
      <c r="L34" s="393">
        <f>'Porosity and Density'!L26</f>
        <v>4.9639350831496675E-7</v>
      </c>
      <c r="M34" s="393">
        <f>'Porosity and Density'!M26</f>
        <v>0.32322243966079572</v>
      </c>
      <c r="N34" s="393">
        <f>'Porosity and Density'!N26</f>
        <v>1846.9630136986304</v>
      </c>
      <c r="O34" s="393">
        <f>'Porosity and Density'!O26</f>
        <v>2729.0547469879521</v>
      </c>
      <c r="P34" s="393">
        <f>'Porosity and Density'!P26</f>
        <v>2169.6036529680368</v>
      </c>
      <c r="Q34" s="393">
        <f>'Porosity and Density'!Q26</f>
        <v>0.17468711440155116</v>
      </c>
      <c r="R34" s="418">
        <f>Q34*100</f>
        <v>17.468711440155115</v>
      </c>
      <c r="S34" s="394">
        <f>'Porosity and Density'!R26</f>
        <v>0.32322243966079572</v>
      </c>
    </row>
    <row r="35" spans="1:20" x14ac:dyDescent="0.25">
      <c r="A35" s="530"/>
      <c r="B35" s="530"/>
      <c r="C35" s="535"/>
      <c r="D35" s="114" t="s">
        <v>136</v>
      </c>
      <c r="E35" s="395">
        <f>'Porosity and Density'!E27</f>
        <v>2.8012999999999999</v>
      </c>
      <c r="F35" s="396">
        <f>'Porosity and Density'!F27</f>
        <v>3.2890000000000001</v>
      </c>
      <c r="G35" s="396">
        <f>'Porosity and Density'!G27</f>
        <v>1.776</v>
      </c>
      <c r="H35" s="396">
        <f>'Porosity and Density'!H27</f>
        <v>2.8013000000000001E-3</v>
      </c>
      <c r="I35" s="396">
        <f>'Porosity and Density'!I27</f>
        <v>3.2890000000000003E-3</v>
      </c>
      <c r="J35" s="396">
        <f>'Porosity and Density'!J27</f>
        <v>1.776E-3</v>
      </c>
      <c r="K35" s="396">
        <f>'Porosity and Density'!K27</f>
        <v>1.5157283109597277E-6</v>
      </c>
      <c r="L35" s="396">
        <f>'Porosity and Density'!L27</f>
        <v>4.8857944299739552E-7</v>
      </c>
      <c r="M35" s="396">
        <f>'Porosity and Density'!M27</f>
        <v>0.32233972240581638</v>
      </c>
      <c r="N35" s="396">
        <f>'Porosity and Density'!N27</f>
        <v>1848.1544348975544</v>
      </c>
      <c r="O35" s="396">
        <f>'Porosity and Density'!O27</f>
        <v>2727.2580317955722</v>
      </c>
      <c r="P35" s="396">
        <f>'Porosity and Density'!P27</f>
        <v>2169.9139458030404</v>
      </c>
      <c r="Q35" s="396">
        <f>'Porosity and Density'!Q27</f>
        <v>0.1740977403348446</v>
      </c>
      <c r="R35" s="419">
        <f>Q35*100</f>
        <v>17.40977403348446</v>
      </c>
      <c r="S35" s="397">
        <f>'Porosity and Density'!R27</f>
        <v>0.32233972240581638</v>
      </c>
    </row>
    <row r="36" spans="1:20" ht="15.75" thickBot="1" x14ac:dyDescent="0.3">
      <c r="A36" s="530"/>
      <c r="B36" s="531"/>
      <c r="C36" s="535"/>
      <c r="D36" s="115" t="s">
        <v>137</v>
      </c>
      <c r="E36" s="398">
        <f>'Porosity and Density'!E28</f>
        <v>2.8843000000000001</v>
      </c>
      <c r="F36" s="399">
        <f>'Porosity and Density'!F28</f>
        <v>3.3820000000000001</v>
      </c>
      <c r="G36" s="399">
        <f>'Porosity and Density'!G28</f>
        <v>1.8320000000000001</v>
      </c>
      <c r="H36" s="399">
        <f>'Porosity and Density'!H28</f>
        <v>2.8843000000000002E-3</v>
      </c>
      <c r="I36" s="399">
        <f>'Porosity and Density'!I28</f>
        <v>3.382E-3</v>
      </c>
      <c r="J36" s="399">
        <f>'Porosity and Density'!J28</f>
        <v>1.8320000000000001E-3</v>
      </c>
      <c r="K36" s="399">
        <f>'Porosity and Density'!K28</f>
        <v>1.5527950310559004E-6</v>
      </c>
      <c r="L36" s="399">
        <f>'Porosity and Density'!L28</f>
        <v>4.9859747545582022E-7</v>
      </c>
      <c r="M36" s="399">
        <f>'Porosity and Density'!M28</f>
        <v>0.32109677419354826</v>
      </c>
      <c r="N36" s="399">
        <f>'Porosity and Density'!N28</f>
        <v>1857.4892000000004</v>
      </c>
      <c r="O36" s="399">
        <f>'Porosity and Density'!O28</f>
        <v>2736.0146916278627</v>
      </c>
      <c r="P36" s="399">
        <f>'Porosity and Density'!P28</f>
        <v>2178.0080000000003</v>
      </c>
      <c r="Q36" s="399">
        <f>'Porosity and Density'!Q28</f>
        <v>0.17255486599868244</v>
      </c>
      <c r="R36" s="419">
        <f>Q36*100</f>
        <v>17.255486599868245</v>
      </c>
      <c r="S36" s="400">
        <f>'Porosity and Density'!R28</f>
        <v>0.32109677419354826</v>
      </c>
    </row>
    <row r="37" spans="1:20" x14ac:dyDescent="0.25">
      <c r="A37" s="530"/>
      <c r="B37" s="302"/>
      <c r="C37" s="535"/>
      <c r="D37" s="390" t="s">
        <v>161</v>
      </c>
      <c r="E37" s="393">
        <f>AVERAGE(E34:E36)</f>
        <v>2.8407</v>
      </c>
      <c r="F37" s="393">
        <f t="shared" ref="F37" si="46">AVERAGE(F34:F36)</f>
        <v>3.3343333333333334</v>
      </c>
      <c r="G37" s="393">
        <f t="shared" ref="G37" si="47">AVERAGE(G34:G36)</f>
        <v>1.8023333333333333</v>
      </c>
      <c r="H37" s="393">
        <f t="shared" ref="H37" si="48">AVERAGE(H34:H36)</f>
        <v>2.8407000000000003E-3</v>
      </c>
      <c r="I37" s="393">
        <f t="shared" ref="I37" si="49">AVERAGE(I34:I36)</f>
        <v>3.3343333333333332E-3</v>
      </c>
      <c r="J37" s="393">
        <f t="shared" ref="J37" si="50">AVERAGE(J34:J36)</f>
        <v>1.8023333333333335E-3</v>
      </c>
      <c r="K37" s="393">
        <f t="shared" ref="K37" si="51">AVERAGE(K34:K36)</f>
        <v>1.5347625726307351E-6</v>
      </c>
      <c r="L37" s="393">
        <f t="shared" ref="L37" si="52">AVERAGE(L34:L36)</f>
        <v>4.9452347558939413E-7</v>
      </c>
      <c r="M37" s="393">
        <f t="shared" ref="M37" si="53">AVERAGE(M34:M36)</f>
        <v>0.32221964542005344</v>
      </c>
      <c r="N37" s="393">
        <f t="shared" ref="N37" si="54">AVERAGE(N34:N36)</f>
        <v>1850.8688828653951</v>
      </c>
      <c r="O37" s="393">
        <f t="shared" ref="O37" si="55">AVERAGE(O34:O36)</f>
        <v>2730.775823470462</v>
      </c>
      <c r="P37" s="393">
        <f t="shared" ref="P37" si="56">AVERAGE(P34:P36)</f>
        <v>2172.5085329236922</v>
      </c>
      <c r="Q37" s="393">
        <f t="shared" ref="Q37:R37" si="57">AVERAGE(Q34:Q36)</f>
        <v>0.17377990691169273</v>
      </c>
      <c r="R37" s="393">
        <f t="shared" si="57"/>
        <v>17.377990691169273</v>
      </c>
      <c r="S37" s="394">
        <f t="shared" ref="S37" si="58">AVERAGE(S34:S36)</f>
        <v>0.32221964542005344</v>
      </c>
    </row>
    <row r="38" spans="1:20" ht="15.75" thickBot="1" x14ac:dyDescent="0.3">
      <c r="A38" s="530"/>
      <c r="B38" s="302"/>
      <c r="C38" s="535"/>
      <c r="D38" s="391" t="s">
        <v>162</v>
      </c>
      <c r="E38" s="399">
        <f>STDEV(E34:E36)</f>
        <v>4.165909264494376E-2</v>
      </c>
      <c r="F38" s="399">
        <f t="shared" ref="F38:S38" si="59">STDEV(F34:F36)</f>
        <v>4.6543886100467939E-2</v>
      </c>
      <c r="G38" s="399">
        <f t="shared" si="59"/>
        <v>2.8148416178061155E-2</v>
      </c>
      <c r="H38" s="399">
        <f t="shared" si="59"/>
        <v>4.1659092644943768E-5</v>
      </c>
      <c r="I38" s="399">
        <f t="shared" si="59"/>
        <v>4.6543886100467833E-5</v>
      </c>
      <c r="J38" s="399">
        <f t="shared" si="59"/>
        <v>2.8148416178061156E-5</v>
      </c>
      <c r="K38" s="399">
        <f t="shared" si="59"/>
        <v>1.855365575781603E-8</v>
      </c>
      <c r="L38" s="399">
        <f t="shared" si="59"/>
        <v>5.2643148063681594E-9</v>
      </c>
      <c r="M38" s="399">
        <f t="shared" si="59"/>
        <v>1.067907899373595E-3</v>
      </c>
      <c r="N38" s="399">
        <f t="shared" si="59"/>
        <v>5.7642276447389778</v>
      </c>
      <c r="O38" s="399">
        <f t="shared" si="59"/>
        <v>4.6250784910745111</v>
      </c>
      <c r="P38" s="399">
        <f t="shared" si="59"/>
        <v>4.7652045080361889</v>
      </c>
      <c r="Q38" s="399">
        <f t="shared" si="59"/>
        <v>1.101083274116163E-3</v>
      </c>
      <c r="R38" s="399">
        <f t="shared" si="59"/>
        <v>0.11010832741161557</v>
      </c>
      <c r="S38" s="400">
        <f t="shared" si="59"/>
        <v>1.067907899373595E-3</v>
      </c>
    </row>
    <row r="39" spans="1:20" x14ac:dyDescent="0.25">
      <c r="A39" s="530"/>
      <c r="B39" s="532" t="s">
        <v>20</v>
      </c>
      <c r="C39" s="535"/>
      <c r="D39" s="113" t="s">
        <v>135</v>
      </c>
      <c r="E39" s="392">
        <f>'Porosity and Density'!E29</f>
        <v>3.0356000000000001</v>
      </c>
      <c r="F39" s="393">
        <f>'Porosity and Density'!F29</f>
        <v>3.4569999999999999</v>
      </c>
      <c r="G39" s="393">
        <f>'Porosity and Density'!G29</f>
        <v>1.8839999999999999</v>
      </c>
      <c r="H39" s="393">
        <f>'Porosity and Density'!H29</f>
        <v>3.0356000000000003E-3</v>
      </c>
      <c r="I39" s="393">
        <f>'Porosity and Density'!I29</f>
        <v>3.457E-3</v>
      </c>
      <c r="J39" s="393">
        <f>'Porosity and Density'!J29</f>
        <v>1.884E-3</v>
      </c>
      <c r="K39" s="393">
        <f>'Porosity and Density'!K29</f>
        <v>1.5758365057102784E-6</v>
      </c>
      <c r="L39" s="393">
        <f>'Porosity and Density'!L29</f>
        <v>4.221598877980362E-7</v>
      </c>
      <c r="M39" s="393">
        <f>'Porosity and Density'!M29</f>
        <v>0.26789574062301319</v>
      </c>
      <c r="N39" s="393">
        <f>'Porosity and Density'!N29</f>
        <v>1926.3419707565165</v>
      </c>
      <c r="O39" s="393">
        <f>'Porosity and Density'!O29</f>
        <v>2631.2399444251473</v>
      </c>
      <c r="P39" s="393">
        <f>'Porosity and Density'!P29</f>
        <v>2193.7554990464082</v>
      </c>
      <c r="Q39" s="393">
        <f>'Porosity and Density'!Q29</f>
        <v>0.13881934378706012</v>
      </c>
      <c r="R39" s="418">
        <f>Q39*100</f>
        <v>13.881934378706012</v>
      </c>
      <c r="S39" s="394">
        <f>'Porosity and Density'!R29</f>
        <v>0.26789574062301319</v>
      </c>
    </row>
    <row r="40" spans="1:20" x14ac:dyDescent="0.25">
      <c r="A40" s="530"/>
      <c r="B40" s="530"/>
      <c r="C40" s="535"/>
      <c r="D40" s="114" t="s">
        <v>136</v>
      </c>
      <c r="E40" s="395">
        <f>'Porosity and Density'!E30</f>
        <v>3.0116000000000001</v>
      </c>
      <c r="F40" s="396">
        <f>'Porosity and Density'!F30</f>
        <v>3.4239999999999999</v>
      </c>
      <c r="G40" s="396">
        <f>'Porosity and Density'!G30</f>
        <v>1.867</v>
      </c>
      <c r="H40" s="396">
        <f>'Porosity and Density'!H30</f>
        <v>3.0116000000000001E-3</v>
      </c>
      <c r="I40" s="396">
        <f>'Porosity and Density'!I30</f>
        <v>3.424E-3</v>
      </c>
      <c r="J40" s="396">
        <f>'Porosity and Density'!J30</f>
        <v>1.867E-3</v>
      </c>
      <c r="K40" s="396">
        <f>'Porosity and Density'!K30</f>
        <v>1.5598076537767982E-6</v>
      </c>
      <c r="L40" s="396">
        <f>'Porosity and Density'!L30</f>
        <v>4.1314365858545365E-7</v>
      </c>
      <c r="M40" s="396">
        <f>'Porosity and Density'!M30</f>
        <v>0.26486833654463704</v>
      </c>
      <c r="N40" s="396">
        <f>'Porosity and Density'!N30</f>
        <v>1930.7508798972383</v>
      </c>
      <c r="O40" s="396">
        <f>'Porosity and Density'!O30</f>
        <v>2626.4014677616628</v>
      </c>
      <c r="P40" s="396">
        <f>'Porosity and Density'!P30</f>
        <v>2195.1424534360949</v>
      </c>
      <c r="Q40" s="396">
        <f>'Porosity and Density'!Q30</f>
        <v>0.13693717625182622</v>
      </c>
      <c r="R40" s="419">
        <f>Q40*100</f>
        <v>13.693717625182622</v>
      </c>
      <c r="S40" s="397">
        <f>'Porosity and Density'!R30</f>
        <v>0.26486833654463704</v>
      </c>
    </row>
    <row r="41" spans="1:20" ht="15.75" thickBot="1" x14ac:dyDescent="0.3">
      <c r="A41" s="531"/>
      <c r="B41" s="531"/>
      <c r="C41" s="536"/>
      <c r="D41" s="115" t="s">
        <v>137</v>
      </c>
      <c r="E41" s="398">
        <f>'Porosity and Density'!E31</f>
        <v>3.0651000000000002</v>
      </c>
      <c r="F41" s="399">
        <f>'Porosity and Density'!F31</f>
        <v>3.4860000000000002</v>
      </c>
      <c r="G41" s="399">
        <f>'Porosity and Density'!G31</f>
        <v>1.901</v>
      </c>
      <c r="H41" s="399">
        <f>'Porosity and Density'!H31</f>
        <v>3.0651000000000003E-3</v>
      </c>
      <c r="I41" s="399">
        <f>'Porosity and Density'!I31</f>
        <v>3.4860000000000004E-3</v>
      </c>
      <c r="J41" s="399">
        <f>'Porosity and Density'!J31</f>
        <v>1.9010000000000001E-3</v>
      </c>
      <c r="K41" s="399">
        <f>'Porosity and Density'!K31</f>
        <v>1.5878581446603889E-6</v>
      </c>
      <c r="L41" s="399">
        <f>'Porosity and Density'!L31</f>
        <v>4.2165898617511528E-7</v>
      </c>
      <c r="M41" s="399">
        <f>'Porosity and Density'!M31</f>
        <v>0.26555205047318614</v>
      </c>
      <c r="N41" s="399">
        <f>'Porosity and Density'!N31</f>
        <v>1930.3361640378548</v>
      </c>
      <c r="O41" s="399">
        <f>'Porosity and Density'!O31</f>
        <v>2628.2817799158147</v>
      </c>
      <c r="P41" s="399">
        <f>'Porosity and Density'!P31</f>
        <v>2195.4102208201894</v>
      </c>
      <c r="Q41" s="399">
        <f>'Porosity and Density'!Q31</f>
        <v>0.13732015268669864</v>
      </c>
      <c r="R41" s="419">
        <f>Q41*100</f>
        <v>13.732015268669864</v>
      </c>
      <c r="S41" s="400">
        <f>'Porosity and Density'!R31</f>
        <v>0.26555205047318614</v>
      </c>
      <c r="T41" s="116"/>
    </row>
    <row r="42" spans="1:20" x14ac:dyDescent="0.25">
      <c r="A42" s="381"/>
      <c r="B42" s="302"/>
      <c r="C42" s="381"/>
      <c r="D42" s="390" t="s">
        <v>161</v>
      </c>
      <c r="E42" s="393">
        <f>AVERAGE(E39:E41)</f>
        <v>3.0374333333333339</v>
      </c>
      <c r="F42" s="393">
        <f t="shared" ref="F42" si="60">AVERAGE(F39:F41)</f>
        <v>3.4556666666666671</v>
      </c>
      <c r="G42" s="393">
        <f t="shared" ref="G42" si="61">AVERAGE(G39:G41)</f>
        <v>1.8840000000000001</v>
      </c>
      <c r="H42" s="393">
        <f t="shared" ref="H42" si="62">AVERAGE(H39:H41)</f>
        <v>3.0374333333333336E-3</v>
      </c>
      <c r="I42" s="393">
        <f t="shared" ref="I42" si="63">AVERAGE(I39:I41)</f>
        <v>3.4556666666666672E-3</v>
      </c>
      <c r="J42" s="393">
        <f t="shared" ref="J42" si="64">AVERAGE(J39:J41)</f>
        <v>1.884E-3</v>
      </c>
      <c r="K42" s="393">
        <f t="shared" ref="K42" si="65">AVERAGE(K39:K41)</f>
        <v>1.5745007680491552E-6</v>
      </c>
      <c r="L42" s="393">
        <f t="shared" ref="L42" si="66">AVERAGE(L39:L41)</f>
        <v>4.1898751085286836E-7</v>
      </c>
      <c r="M42" s="393">
        <f t="shared" ref="M42" si="67">AVERAGE(M39:M41)</f>
        <v>0.26610537588027877</v>
      </c>
      <c r="N42" s="393">
        <f t="shared" ref="N42" si="68">AVERAGE(N39:N41)</f>
        <v>1929.1430048972034</v>
      </c>
      <c r="O42" s="393">
        <f t="shared" ref="O42" si="69">AVERAGE(O39:O41)</f>
        <v>2628.6410640342083</v>
      </c>
      <c r="P42" s="393">
        <f t="shared" ref="P42" si="70">AVERAGE(P39:P41)</f>
        <v>2194.7693911008973</v>
      </c>
      <c r="Q42" s="393">
        <f t="shared" ref="Q42:R42" si="71">AVERAGE(Q39:Q41)</f>
        <v>0.13769222424186167</v>
      </c>
      <c r="R42" s="393">
        <f t="shared" si="71"/>
        <v>13.769222424186166</v>
      </c>
      <c r="S42" s="394">
        <f t="shared" ref="S42" si="72">AVERAGE(S39:S41)</f>
        <v>0.26610537588027877</v>
      </c>
    </row>
    <row r="43" spans="1:20" ht="15.75" thickBot="1" x14ac:dyDescent="0.3">
      <c r="A43" s="381"/>
      <c r="B43" s="302"/>
      <c r="C43" s="381"/>
      <c r="D43" s="391" t="s">
        <v>162</v>
      </c>
      <c r="E43" s="399">
        <f>STDEV(E39:E41)</f>
        <v>2.6797076955021346E-2</v>
      </c>
      <c r="F43" s="399">
        <f t="shared" ref="F43:S43" si="73">STDEV(F39:F41)</f>
        <v>3.1021497922140085E-2</v>
      </c>
      <c r="G43" s="399">
        <f t="shared" si="73"/>
        <v>1.7000000000000015E-2</v>
      </c>
      <c r="H43" s="399">
        <f t="shared" si="73"/>
        <v>2.6797076955021373E-5</v>
      </c>
      <c r="I43" s="399">
        <f t="shared" si="73"/>
        <v>3.1021497922140158E-5</v>
      </c>
      <c r="J43" s="399">
        <f t="shared" si="73"/>
        <v>1.7000000000000088E-5</v>
      </c>
      <c r="K43" s="399">
        <f t="shared" si="73"/>
        <v>1.40728695022411E-8</v>
      </c>
      <c r="L43" s="399">
        <f t="shared" si="73"/>
        <v>5.0671177805027767E-9</v>
      </c>
      <c r="M43" s="399">
        <f t="shared" si="73"/>
        <v>1.587740727588362E-3</v>
      </c>
      <c r="N43" s="399">
        <f t="shared" si="73"/>
        <v>2.4346132144501733</v>
      </c>
      <c r="O43" s="399">
        <f t="shared" si="73"/>
        <v>2.4391654134290173</v>
      </c>
      <c r="P43" s="399">
        <f t="shared" si="73"/>
        <v>0.88820474363379331</v>
      </c>
      <c r="Q43" s="399">
        <f t="shared" si="73"/>
        <v>9.94719352025076E-4</v>
      </c>
      <c r="R43" s="399">
        <f t="shared" si="73"/>
        <v>9.9471935202507494E-2</v>
      </c>
      <c r="S43" s="400">
        <f t="shared" si="73"/>
        <v>1.587740727588362E-3</v>
      </c>
    </row>
    <row r="44" spans="1:20" x14ac:dyDescent="0.25">
      <c r="A44" s="155"/>
      <c r="B44" s="155"/>
      <c r="C44" s="153"/>
      <c r="D44" s="75"/>
      <c r="E44" s="75"/>
      <c r="F44" s="75"/>
      <c r="G44" s="75"/>
      <c r="H44" s="68"/>
      <c r="I44" s="75"/>
      <c r="J44" s="75"/>
      <c r="K44" s="154"/>
      <c r="L44" s="154"/>
      <c r="M44" s="154"/>
      <c r="N44" s="154"/>
      <c r="O44" s="154"/>
      <c r="P44" s="154"/>
      <c r="Q44" s="154"/>
      <c r="R44" s="154"/>
      <c r="T44" s="116"/>
    </row>
    <row r="45" spans="1:20" ht="15.75" thickBot="1" x14ac:dyDescent="0.3">
      <c r="A45" s="117"/>
      <c r="B45" s="117"/>
      <c r="C45" s="153"/>
      <c r="D45" s="75"/>
      <c r="E45" s="75"/>
      <c r="F45" s="75"/>
      <c r="G45" s="75"/>
      <c r="H45" s="68"/>
      <c r="I45" s="75"/>
      <c r="J45" s="75"/>
      <c r="K45" s="154"/>
      <c r="L45" s="154"/>
      <c r="M45" s="154"/>
      <c r="N45" s="154"/>
      <c r="O45" s="154"/>
      <c r="P45" s="154"/>
      <c r="Q45" s="154"/>
      <c r="R45" s="154"/>
      <c r="T45" s="116"/>
    </row>
    <row r="46" spans="1:20" x14ac:dyDescent="0.25">
      <c r="A46" s="108" t="s">
        <v>273</v>
      </c>
      <c r="B46" s="148" t="s">
        <v>274</v>
      </c>
      <c r="C46" s="148" t="s">
        <v>275</v>
      </c>
      <c r="D46" s="109" t="s">
        <v>6</v>
      </c>
      <c r="E46" s="150" t="s">
        <v>276</v>
      </c>
      <c r="F46" s="150" t="s">
        <v>277</v>
      </c>
      <c r="G46" s="150" t="s">
        <v>278</v>
      </c>
      <c r="H46" s="150" t="s">
        <v>276</v>
      </c>
      <c r="I46" s="109" t="s">
        <v>277</v>
      </c>
      <c r="J46" s="109" t="s">
        <v>278</v>
      </c>
      <c r="K46" s="109" t="s">
        <v>279</v>
      </c>
      <c r="L46" s="109" t="s">
        <v>280</v>
      </c>
      <c r="M46" s="109" t="s">
        <v>281</v>
      </c>
      <c r="N46" s="109" t="s">
        <v>282</v>
      </c>
      <c r="O46" s="109" t="s">
        <v>283</v>
      </c>
      <c r="P46" s="109" t="s">
        <v>284</v>
      </c>
      <c r="Q46" s="109" t="s">
        <v>285</v>
      </c>
      <c r="R46" s="416" t="s">
        <v>285</v>
      </c>
      <c r="S46" s="110" t="s">
        <v>286</v>
      </c>
      <c r="T46" s="117"/>
    </row>
    <row r="47" spans="1:20" ht="15.75" thickBot="1" x14ac:dyDescent="0.3">
      <c r="A47" s="111"/>
      <c r="B47" s="149"/>
      <c r="C47" s="149"/>
      <c r="D47" s="112"/>
      <c r="E47" s="112" t="s">
        <v>120</v>
      </c>
      <c r="F47" s="112" t="s">
        <v>120</v>
      </c>
      <c r="G47" s="112" t="s">
        <v>120</v>
      </c>
      <c r="H47" s="112" t="s">
        <v>28</v>
      </c>
      <c r="I47" s="112" t="s">
        <v>28</v>
      </c>
      <c r="J47" s="112" t="s">
        <v>28</v>
      </c>
      <c r="K47" s="112" t="s">
        <v>287</v>
      </c>
      <c r="L47" s="112" t="s">
        <v>291</v>
      </c>
      <c r="M47" s="112" t="s">
        <v>289</v>
      </c>
      <c r="N47" s="112" t="s">
        <v>289</v>
      </c>
      <c r="O47" s="112" t="s">
        <v>289</v>
      </c>
      <c r="P47" s="112" t="s">
        <v>289</v>
      </c>
      <c r="Q47" s="340" t="s">
        <v>290</v>
      </c>
      <c r="R47" s="417" t="s">
        <v>301</v>
      </c>
      <c r="S47" s="341" t="s">
        <v>291</v>
      </c>
      <c r="T47" s="117"/>
    </row>
    <row r="48" spans="1:20" x14ac:dyDescent="0.25">
      <c r="A48" s="529" t="s">
        <v>295</v>
      </c>
      <c r="B48" s="532" t="s">
        <v>134</v>
      </c>
      <c r="C48" s="532" t="s">
        <v>122</v>
      </c>
      <c r="D48" s="113" t="s">
        <v>135</v>
      </c>
      <c r="E48" s="392">
        <f>'Porosity and Density'!E36</f>
        <v>3.0182000000000002</v>
      </c>
      <c r="F48" s="393">
        <f>'Porosity and Density'!F36</f>
        <v>3.6589999999999998</v>
      </c>
      <c r="G48" s="393">
        <f>'Porosity and Density'!G36</f>
        <v>1.9279999999999999</v>
      </c>
      <c r="H48" s="393">
        <f>'Porosity and Density'!H36</f>
        <v>3.0182000000000004E-3</v>
      </c>
      <c r="I48" s="393">
        <f>'Porosity and Density'!I36</f>
        <v>3.6589999999999999E-3</v>
      </c>
      <c r="J48" s="393">
        <f>'Porosity and Density'!J36</f>
        <v>1.928E-3</v>
      </c>
      <c r="K48" s="393">
        <f>'Porosity and Density'!K36</f>
        <v>1.7341214185533959E-6</v>
      </c>
      <c r="L48" s="393">
        <f>'Porosity and Density'!L36</f>
        <v>6.4195551993588412E-7</v>
      </c>
      <c r="M48" s="393">
        <f>'Porosity and Density'!M36</f>
        <v>0.37019064124783341</v>
      </c>
      <c r="N48" s="393">
        <f>'Porosity and Density'!N36</f>
        <v>1740.4778971692667</v>
      </c>
      <c r="O48" s="393">
        <f>'Porosity and Density'!O36</f>
        <v>2763.4995780590716</v>
      </c>
      <c r="P48" s="393">
        <f>'Porosity and Density'!P36</f>
        <v>2110.002195262854</v>
      </c>
      <c r="Q48" s="393">
        <f>'Porosity and Density'!Q36</f>
        <v>0.21231197402425267</v>
      </c>
      <c r="R48" s="418">
        <f>Q48*100</f>
        <v>21.231197402425266</v>
      </c>
      <c r="S48" s="394">
        <f>'Porosity and Density'!R36</f>
        <v>0.37019064124783341</v>
      </c>
      <c r="T48" s="117"/>
    </row>
    <row r="49" spans="1:20" x14ac:dyDescent="0.25">
      <c r="A49" s="530"/>
      <c r="B49" s="530"/>
      <c r="C49" s="530"/>
      <c r="D49" s="114" t="s">
        <v>136</v>
      </c>
      <c r="E49" s="395">
        <f>'Porosity and Density'!E37</f>
        <v>3.0026000000000002</v>
      </c>
      <c r="F49" s="396">
        <f>'Porosity and Density'!F37</f>
        <v>3.6429999999999998</v>
      </c>
      <c r="G49" s="396">
        <f>'Porosity and Density'!G37</f>
        <v>1.919</v>
      </c>
      <c r="H49" s="396">
        <f>'Porosity and Density'!H37</f>
        <v>3.0026000000000002E-3</v>
      </c>
      <c r="I49" s="396">
        <f>'Porosity and Density'!I37</f>
        <v>3.643E-3</v>
      </c>
      <c r="J49" s="396">
        <f>'Porosity and Density'!J37</f>
        <v>1.9190000000000001E-3</v>
      </c>
      <c r="K49" s="396">
        <f>'Porosity and Density'!K37</f>
        <v>1.7271087958324983E-6</v>
      </c>
      <c r="L49" s="396">
        <f>'Porosity and Density'!L37</f>
        <v>6.4155479863754726E-7</v>
      </c>
      <c r="M49" s="396">
        <f>'Porosity and Density'!M37</f>
        <v>0.37146171693735486</v>
      </c>
      <c r="N49" s="396">
        <f>'Porosity and Density'!N37</f>
        <v>1738.5123665893275</v>
      </c>
      <c r="O49" s="396">
        <f>'Porosity and Density'!O37</f>
        <v>2765.9609819121442</v>
      </c>
      <c r="P49" s="396">
        <f>'Porosity and Density'!P37</f>
        <v>2109.3054524361951</v>
      </c>
      <c r="Q49" s="396">
        <f>'Porosity and Density'!Q37</f>
        <v>0.21328182242056873</v>
      </c>
      <c r="R49" s="419">
        <f>Q49*100</f>
        <v>21.328182242056872</v>
      </c>
      <c r="S49" s="397">
        <f>'Porosity and Density'!R37</f>
        <v>0.37146171693735486</v>
      </c>
    </row>
    <row r="50" spans="1:20" ht="15.75" thickBot="1" x14ac:dyDescent="0.3">
      <c r="A50" s="530"/>
      <c r="B50" s="531"/>
      <c r="C50" s="530"/>
      <c r="D50" s="115" t="s">
        <v>137</v>
      </c>
      <c r="E50" s="398">
        <f>'Porosity and Density'!E38</f>
        <v>2.9174000000000002</v>
      </c>
      <c r="F50" s="399">
        <f>'Porosity and Density'!F38</f>
        <v>3.536</v>
      </c>
      <c r="G50" s="399">
        <f>'Porosity and Density'!G38</f>
        <v>1.863</v>
      </c>
      <c r="H50" s="399">
        <f>'Porosity and Density'!H38</f>
        <v>2.9174000000000001E-3</v>
      </c>
      <c r="I50" s="399">
        <f>'Porosity and Density'!I38</f>
        <v>3.5360000000000001E-3</v>
      </c>
      <c r="J50" s="399">
        <f>'Porosity and Density'!J38</f>
        <v>1.8630000000000001E-3</v>
      </c>
      <c r="K50" s="399">
        <f>'Porosity and Density'!K38</f>
        <v>1.6760168302945301E-6</v>
      </c>
      <c r="L50" s="399">
        <f>'Porosity and Density'!L38</f>
        <v>6.1971548787818071E-7</v>
      </c>
      <c r="M50" s="399">
        <f>'Porosity and Density'!M38</f>
        <v>0.3697549312612074</v>
      </c>
      <c r="N50" s="399">
        <f>'Porosity and Density'!N38</f>
        <v>1740.6746443514646</v>
      </c>
      <c r="O50" s="399">
        <f>'Porosity and Density'!O38</f>
        <v>2761.9012518968138</v>
      </c>
      <c r="P50" s="399">
        <f>'Porosity and Density'!P38</f>
        <v>2109.764016736402</v>
      </c>
      <c r="Q50" s="399">
        <f>'Porosity and Density'!Q38</f>
        <v>0.21203811613080137</v>
      </c>
      <c r="R50" s="419">
        <f>Q50*100</f>
        <v>21.203811613080138</v>
      </c>
      <c r="S50" s="400">
        <f>'Porosity and Density'!R38</f>
        <v>0.3697549312612074</v>
      </c>
    </row>
    <row r="51" spans="1:20" x14ac:dyDescent="0.25">
      <c r="A51" s="530"/>
      <c r="B51" s="302"/>
      <c r="C51" s="530"/>
      <c r="D51" s="390" t="s">
        <v>161</v>
      </c>
      <c r="E51" s="393">
        <f>AVERAGE(E48:E50)</f>
        <v>2.9794</v>
      </c>
      <c r="F51" s="393">
        <f t="shared" ref="F51" si="74">AVERAGE(F48:F50)</f>
        <v>3.6126666666666662</v>
      </c>
      <c r="G51" s="393">
        <f t="shared" ref="G51" si="75">AVERAGE(G48:G50)</f>
        <v>1.9033333333333333</v>
      </c>
      <c r="H51" s="393">
        <f t="shared" ref="H51" si="76">AVERAGE(H48:H50)</f>
        <v>2.9794000000000001E-3</v>
      </c>
      <c r="I51" s="393">
        <f t="shared" ref="I51" si="77">AVERAGE(I48:I50)</f>
        <v>3.6126666666666668E-3</v>
      </c>
      <c r="J51" s="393">
        <f t="shared" ref="J51" si="78">AVERAGE(J48:J50)</f>
        <v>1.9033333333333333E-3</v>
      </c>
      <c r="K51" s="393">
        <f t="shared" ref="K51" si="79">AVERAGE(K48:K50)</f>
        <v>1.7124156815601415E-6</v>
      </c>
      <c r="L51" s="393">
        <f t="shared" ref="L51" si="80">AVERAGE(L48:L50)</f>
        <v>6.3440860215053743E-7</v>
      </c>
      <c r="M51" s="393">
        <f t="shared" ref="M51" si="81">AVERAGE(M48:M50)</f>
        <v>0.37046909648213183</v>
      </c>
      <c r="N51" s="393">
        <f t="shared" ref="N51" si="82">AVERAGE(N48:N50)</f>
        <v>1739.8883027033528</v>
      </c>
      <c r="O51" s="393">
        <f t="shared" ref="O51" si="83">AVERAGE(O48:O50)</f>
        <v>2763.7872706226767</v>
      </c>
      <c r="P51" s="393">
        <f t="shared" ref="P51" si="84">AVERAGE(P48:P50)</f>
        <v>2109.690554811817</v>
      </c>
      <c r="Q51" s="393">
        <f t="shared" ref="Q51:R51" si="85">AVERAGE(Q48:Q50)</f>
        <v>0.21254397085854093</v>
      </c>
      <c r="R51" s="393">
        <f t="shared" si="85"/>
        <v>21.254397085854091</v>
      </c>
      <c r="S51" s="394">
        <f t="shared" ref="S51" si="86">AVERAGE(S48:S50)</f>
        <v>0.37046909648213183</v>
      </c>
    </row>
    <row r="52" spans="1:20" ht="15.75" thickBot="1" x14ac:dyDescent="0.3">
      <c r="A52" s="530"/>
      <c r="B52" s="302"/>
      <c r="C52" s="530"/>
      <c r="D52" s="391" t="s">
        <v>162</v>
      </c>
      <c r="E52" s="399">
        <f>STDEV(E48:E50)</f>
        <v>5.4257165425407164E-2</v>
      </c>
      <c r="F52" s="399">
        <f t="shared" ref="F52:S52" si="87">STDEV(F48:F50)</f>
        <v>6.6875506228613449E-2</v>
      </c>
      <c r="G52" s="399">
        <f t="shared" si="87"/>
        <v>3.5218366420567165E-2</v>
      </c>
      <c r="H52" s="399">
        <f t="shared" si="87"/>
        <v>5.4257165425407306E-5</v>
      </c>
      <c r="I52" s="399">
        <f t="shared" si="87"/>
        <v>6.6875506228613498E-5</v>
      </c>
      <c r="J52" s="399">
        <f t="shared" si="87"/>
        <v>3.5218366420567168E-5</v>
      </c>
      <c r="K52" s="399">
        <f t="shared" si="87"/>
        <v>3.171673847432116E-8</v>
      </c>
      <c r="L52" s="399">
        <f t="shared" si="87"/>
        <v>1.2726187553825113E-8</v>
      </c>
      <c r="M52" s="399">
        <f t="shared" si="87"/>
        <v>8.8681019626902211E-4</v>
      </c>
      <c r="N52" s="399">
        <f t="shared" si="87"/>
        <v>1.1956494075753621</v>
      </c>
      <c r="O52" s="399">
        <f t="shared" si="87"/>
        <v>2.0450983369287674</v>
      </c>
      <c r="P52" s="399">
        <f t="shared" si="87"/>
        <v>0.35413293040603178</v>
      </c>
      <c r="Q52" s="399">
        <f t="shared" si="87"/>
        <v>6.5350457698592384E-4</v>
      </c>
      <c r="R52" s="399">
        <f t="shared" si="87"/>
        <v>6.5350457698591852E-2</v>
      </c>
      <c r="S52" s="400">
        <f t="shared" si="87"/>
        <v>8.8681019626902211E-4</v>
      </c>
    </row>
    <row r="53" spans="1:20" x14ac:dyDescent="0.25">
      <c r="A53" s="530"/>
      <c r="B53" s="532" t="s">
        <v>20</v>
      </c>
      <c r="C53" s="530"/>
      <c r="D53" s="113" t="s">
        <v>135</v>
      </c>
      <c r="E53" s="392">
        <f>'Porosity and Density'!E39</f>
        <v>3.1326999999999998</v>
      </c>
      <c r="F53" s="393">
        <f>'Porosity and Density'!F39</f>
        <v>3.589</v>
      </c>
      <c r="G53" s="393">
        <f>'Porosity and Density'!G39</f>
        <v>1.9690000000000001</v>
      </c>
      <c r="H53" s="393">
        <f>'Porosity and Density'!H39</f>
        <v>3.1327E-3</v>
      </c>
      <c r="I53" s="393">
        <f>'Porosity and Density'!I39</f>
        <v>3.5890000000000002E-3</v>
      </c>
      <c r="J53" s="393">
        <f>'Porosity and Density'!J39</f>
        <v>1.9690000000000003E-3</v>
      </c>
      <c r="K53" s="393">
        <f>'Porosity and Density'!K39</f>
        <v>1.6229212582648767E-6</v>
      </c>
      <c r="L53" s="393">
        <f>'Porosity and Density'!L39</f>
        <v>4.5712282107794045E-7</v>
      </c>
      <c r="M53" s="393">
        <f>'Porosity and Density'!M39</f>
        <v>0.28166666666666679</v>
      </c>
      <c r="N53" s="393">
        <f>'Porosity and Density'!N39</f>
        <v>1930.2846543209878</v>
      </c>
      <c r="O53" s="393">
        <f>'Porosity and Density'!O39</f>
        <v>2687.1712125118165</v>
      </c>
      <c r="P53" s="393">
        <f>'Porosity and Density'!P39</f>
        <v>2211.4443209876545</v>
      </c>
      <c r="Q53" s="393">
        <f>'Porosity and Density'!Q39</f>
        <v>0.14565710090337414</v>
      </c>
      <c r="R53" s="418">
        <f>Q53*100</f>
        <v>14.565710090337413</v>
      </c>
      <c r="S53" s="394">
        <f>'Porosity and Density'!R39</f>
        <v>0.28166666666666679</v>
      </c>
    </row>
    <row r="54" spans="1:20" x14ac:dyDescent="0.25">
      <c r="A54" s="530"/>
      <c r="B54" s="530"/>
      <c r="C54" s="530"/>
      <c r="D54" s="114" t="s">
        <v>136</v>
      </c>
      <c r="E54" s="395">
        <f>'Porosity and Density'!E40</f>
        <v>3.0644999999999998</v>
      </c>
      <c r="F54" s="396">
        <f>'Porosity and Density'!F40</f>
        <v>3.4980000000000002</v>
      </c>
      <c r="G54" s="396">
        <f>'Porosity and Density'!G40</f>
        <v>1.9259999999999999</v>
      </c>
      <c r="H54" s="396">
        <f>'Porosity and Density'!H40</f>
        <v>3.0644999999999999E-3</v>
      </c>
      <c r="I54" s="396">
        <f>'Porosity and Density'!I40</f>
        <v>3.4980000000000002E-3</v>
      </c>
      <c r="J54" s="396">
        <f>'Porosity and Density'!J40</f>
        <v>1.926E-3</v>
      </c>
      <c r="K54" s="396">
        <f>'Porosity and Density'!K40</f>
        <v>1.5748347024644362E-6</v>
      </c>
      <c r="L54" s="396">
        <f>'Porosity and Density'!L40</f>
        <v>4.3428170707273117E-7</v>
      </c>
      <c r="M54" s="396">
        <f>'Porosity and Density'!M40</f>
        <v>0.27576335877862607</v>
      </c>
      <c r="N54" s="396">
        <f>'Porosity and Density'!N40</f>
        <v>1945.9185114503814</v>
      </c>
      <c r="O54" s="396">
        <f>'Porosity and Density'!O40</f>
        <v>2686.8545454545456</v>
      </c>
      <c r="P54" s="396">
        <f>'Porosity and Density'!P40</f>
        <v>2221.1854961832059</v>
      </c>
      <c r="Q54" s="396">
        <f>'Porosity and Density'!Q40</f>
        <v>0.14145863925599619</v>
      </c>
      <c r="R54" s="419">
        <f>Q54*100</f>
        <v>14.145863925599619</v>
      </c>
      <c r="S54" s="397">
        <f>'Porosity and Density'!R40</f>
        <v>0.27576335877862607</v>
      </c>
    </row>
    <row r="55" spans="1:20" ht="15.75" thickBot="1" x14ac:dyDescent="0.3">
      <c r="A55" s="533"/>
      <c r="B55" s="531"/>
      <c r="C55" s="530"/>
      <c r="D55" s="115" t="s">
        <v>137</v>
      </c>
      <c r="E55" s="398">
        <f>'Porosity and Density'!E41</f>
        <v>3.1137000000000001</v>
      </c>
      <c r="F55" s="399">
        <f>'Porosity and Density'!F41</f>
        <v>3.55</v>
      </c>
      <c r="G55" s="399">
        <f>'Porosity and Density'!G41</f>
        <v>1.9530000000000001</v>
      </c>
      <c r="H55" s="399">
        <f>'Porosity and Density'!H41</f>
        <v>3.1137000000000001E-3</v>
      </c>
      <c r="I55" s="399">
        <f>'Porosity and Density'!I41</f>
        <v>3.5499999999999998E-3</v>
      </c>
      <c r="J55" s="399">
        <f>'Porosity and Density'!J41</f>
        <v>1.9530000000000001E-3</v>
      </c>
      <c r="K55" s="399">
        <f>'Porosity and Density'!K41</f>
        <v>1.5998797836104985E-6</v>
      </c>
      <c r="L55" s="399">
        <f>'Porosity and Density'!L41</f>
        <v>4.3708675616108967E-7</v>
      </c>
      <c r="M55" s="399">
        <f>'Porosity and Density'!M41</f>
        <v>0.2731997495303693</v>
      </c>
      <c r="N55" s="399">
        <f>'Porosity and Density'!N41</f>
        <v>1946.2087288666255</v>
      </c>
      <c r="O55" s="399">
        <f>'Porosity and Density'!O41</f>
        <v>2677.7766347893512</v>
      </c>
      <c r="P55" s="399">
        <f>'Porosity and Density'!P41</f>
        <v>2218.91671884784</v>
      </c>
      <c r="Q55" s="399">
        <f>'Porosity and Density'!Q41</f>
        <v>0.14012268362398422</v>
      </c>
      <c r="R55" s="419">
        <f>Q55*100</f>
        <v>14.012268362398423</v>
      </c>
      <c r="S55" s="400">
        <f>'Porosity and Density'!R41</f>
        <v>0.2731997495303693</v>
      </c>
    </row>
    <row r="56" spans="1:20" x14ac:dyDescent="0.25">
      <c r="A56" s="302"/>
      <c r="B56" s="302"/>
      <c r="C56" s="530"/>
      <c r="D56" s="390" t="s">
        <v>161</v>
      </c>
      <c r="E56" s="393">
        <f>AVERAGE(E53:E55)</f>
        <v>3.1036333333333332</v>
      </c>
      <c r="F56" s="393">
        <f t="shared" ref="F56" si="88">AVERAGE(F53:F55)</f>
        <v>3.545666666666667</v>
      </c>
      <c r="G56" s="393">
        <f t="shared" ref="G56" si="89">AVERAGE(G53:G55)</f>
        <v>1.9493333333333334</v>
      </c>
      <c r="H56" s="393">
        <f t="shared" ref="H56" si="90">AVERAGE(H53:H55)</f>
        <v>3.1036333333333333E-3</v>
      </c>
      <c r="I56" s="393">
        <f t="shared" ref="I56" si="91">AVERAGE(I53:I55)</f>
        <v>3.545666666666667E-3</v>
      </c>
      <c r="J56" s="393">
        <f t="shared" ref="J56" si="92">AVERAGE(J53:J55)</f>
        <v>1.9493333333333333E-3</v>
      </c>
      <c r="K56" s="393">
        <f t="shared" ref="K56" si="93">AVERAGE(K53:K55)</f>
        <v>1.5992119147799372E-6</v>
      </c>
      <c r="L56" s="393">
        <f t="shared" ref="L56" si="94">AVERAGE(L53:L55)</f>
        <v>4.4283042810392043E-7</v>
      </c>
      <c r="M56" s="393">
        <f t="shared" ref="M56" si="95">AVERAGE(M53:M55)</f>
        <v>0.27687659165855405</v>
      </c>
      <c r="N56" s="393">
        <f t="shared" ref="N56" si="96">AVERAGE(N53:N55)</f>
        <v>1940.8039648793317</v>
      </c>
      <c r="O56" s="393">
        <f t="shared" ref="O56" si="97">AVERAGE(O53:O55)</f>
        <v>2683.9341309185711</v>
      </c>
      <c r="P56" s="393">
        <f t="shared" ref="P56" si="98">AVERAGE(P53:P55)</f>
        <v>2217.1821786729001</v>
      </c>
      <c r="Q56" s="393">
        <f t="shared" ref="Q56:R56" si="99">AVERAGE(Q53:Q55)</f>
        <v>0.14241280792778485</v>
      </c>
      <c r="R56" s="393">
        <f t="shared" si="99"/>
        <v>14.241280792778484</v>
      </c>
      <c r="S56" s="394">
        <f t="shared" ref="S56" si="100">AVERAGE(S53:S55)</f>
        <v>0.27687659165855405</v>
      </c>
    </row>
    <row r="57" spans="1:20" ht="15.75" thickBot="1" x14ac:dyDescent="0.3">
      <c r="A57" s="302"/>
      <c r="B57" s="302"/>
      <c r="C57" s="530"/>
      <c r="D57" s="391" t="s">
        <v>162</v>
      </c>
      <c r="E57" s="399">
        <f>STDEV(E53:E55)</f>
        <v>3.5196780155766209E-2</v>
      </c>
      <c r="F57" s="399">
        <f t="shared" ref="F57:S57" si="101">STDEV(F53:F55)</f>
        <v>4.5654499595695064E-2</v>
      </c>
      <c r="G57" s="399">
        <f t="shared" si="101"/>
        <v>2.1733231083604129E-2</v>
      </c>
      <c r="H57" s="399">
        <f t="shared" si="101"/>
        <v>3.5196780155766174E-5</v>
      </c>
      <c r="I57" s="399">
        <f t="shared" si="101"/>
        <v>4.565449959569515E-5</v>
      </c>
      <c r="J57" s="399">
        <f t="shared" si="101"/>
        <v>2.1733231083604194E-5</v>
      </c>
      <c r="K57" s="399">
        <f t="shared" si="101"/>
        <v>2.4050233860990735E-8</v>
      </c>
      <c r="L57" s="399">
        <f t="shared" si="101"/>
        <v>1.2456783203937036E-8</v>
      </c>
      <c r="M57" s="399">
        <f t="shared" si="101"/>
        <v>4.3418471912247888E-3</v>
      </c>
      <c r="N57" s="399">
        <f t="shared" si="101"/>
        <v>9.1111457843860144</v>
      </c>
      <c r="O57" s="399">
        <f t="shared" si="101"/>
        <v>5.3348981660673491</v>
      </c>
      <c r="P57" s="399">
        <f t="shared" si="101"/>
        <v>5.0969692721721556</v>
      </c>
      <c r="Q57" s="399">
        <f t="shared" si="101"/>
        <v>2.887952916214115E-3</v>
      </c>
      <c r="R57" s="399">
        <f t="shared" si="101"/>
        <v>0.2887952916214111</v>
      </c>
      <c r="S57" s="400">
        <f t="shared" si="101"/>
        <v>4.3418471912247888E-3</v>
      </c>
    </row>
    <row r="58" spans="1:20" x14ac:dyDescent="0.25">
      <c r="A58" s="529" t="s">
        <v>296</v>
      </c>
      <c r="B58" s="532" t="s">
        <v>134</v>
      </c>
      <c r="C58" s="530"/>
      <c r="D58" s="113" t="s">
        <v>135</v>
      </c>
      <c r="E58" s="392">
        <f>'Porosity and Density'!E42</f>
        <v>2.8807999999999998</v>
      </c>
      <c r="F58" s="393">
        <f>'Porosity and Density'!F42</f>
        <v>3.4950000000000001</v>
      </c>
      <c r="G58" s="393">
        <f>'Porosity and Density'!G42</f>
        <v>1.8380000000000001</v>
      </c>
      <c r="H58" s="393">
        <f>'Porosity and Density'!H42</f>
        <v>2.8807999999999998E-3</v>
      </c>
      <c r="I58" s="393">
        <f>'Porosity and Density'!I42</f>
        <v>3.4950000000000003E-3</v>
      </c>
      <c r="J58" s="393">
        <f>'Porosity and Density'!J42</f>
        <v>1.8380000000000002E-3</v>
      </c>
      <c r="K58" s="393">
        <f>'Porosity and Density'!K42</f>
        <v>1.6599879783610499E-6</v>
      </c>
      <c r="L58" s="393">
        <f>'Porosity and Density'!L42</f>
        <v>6.1530755359647418E-7</v>
      </c>
      <c r="M58" s="393">
        <f>'Porosity and Density'!M42</f>
        <v>0.37066988533494299</v>
      </c>
      <c r="N58" s="393">
        <f>'Porosity and Density'!N42</f>
        <v>1735.4342546771272</v>
      </c>
      <c r="O58" s="393">
        <f>'Porosity and Density'!O42</f>
        <v>2757.5897199846581</v>
      </c>
      <c r="P58" s="393">
        <f>'Porosity and Density'!P42</f>
        <v>2105.4369342184673</v>
      </c>
      <c r="Q58" s="393">
        <f>'Porosity and Density'!Q42</f>
        <v>0.21320466537073055</v>
      </c>
      <c r="R58" s="418">
        <f>Q58*100</f>
        <v>21.320466537073056</v>
      </c>
      <c r="S58" s="394">
        <f>'Porosity and Density'!R42</f>
        <v>0.37066988533494299</v>
      </c>
    </row>
    <row r="59" spans="1:20" x14ac:dyDescent="0.25">
      <c r="A59" s="530"/>
      <c r="B59" s="530"/>
      <c r="C59" s="530"/>
      <c r="D59" s="114" t="s">
        <v>136</v>
      </c>
      <c r="E59" s="395">
        <f>'Porosity and Density'!E43</f>
        <v>2.9188999999999998</v>
      </c>
      <c r="F59" s="396">
        <f>'Porosity and Density'!F43</f>
        <v>3.5409999999999999</v>
      </c>
      <c r="G59" s="396">
        <f>'Porosity and Density'!G43</f>
        <v>1.865</v>
      </c>
      <c r="H59" s="396">
        <f>'Porosity and Density'!H43</f>
        <v>2.9188999999999999E-3</v>
      </c>
      <c r="I59" s="396">
        <f>'Porosity and Density'!I43</f>
        <v>3.5409999999999999E-3</v>
      </c>
      <c r="J59" s="396">
        <f>'Porosity and Density'!J43</f>
        <v>1.8650000000000001E-3</v>
      </c>
      <c r="K59" s="396">
        <f>'Porosity and Density'!K43</f>
        <v>1.6790222400320574E-6</v>
      </c>
      <c r="L59" s="396">
        <f>'Porosity and Density'!L43</f>
        <v>6.2322179923862952E-7</v>
      </c>
      <c r="M59" s="396">
        <f>'Porosity and Density'!M43</f>
        <v>0.37118138424821007</v>
      </c>
      <c r="N59" s="396">
        <f>'Porosity and Density'!N43</f>
        <v>1738.4522553699287</v>
      </c>
      <c r="O59" s="396">
        <f>'Porosity and Density'!O43</f>
        <v>2764.6322990796098</v>
      </c>
      <c r="P59" s="396">
        <f>'Porosity and Density'!P43</f>
        <v>2108.9655131264922</v>
      </c>
      <c r="Q59" s="396">
        <f>'Porosity and Density'!Q43</f>
        <v>0.21312823323854876</v>
      </c>
      <c r="R59" s="419">
        <f>Q59*100</f>
        <v>21.312823323854875</v>
      </c>
      <c r="S59" s="397">
        <f>'Porosity and Density'!R43</f>
        <v>0.37118138424821007</v>
      </c>
      <c r="T59" s="116"/>
    </row>
    <row r="60" spans="1:20" ht="15.75" thickBot="1" x14ac:dyDescent="0.3">
      <c r="A60" s="530"/>
      <c r="B60" s="531"/>
      <c r="C60" s="530"/>
      <c r="D60" s="115" t="s">
        <v>137</v>
      </c>
      <c r="E60" s="398">
        <f>'Porosity and Density'!E44</f>
        <v>2.8647</v>
      </c>
      <c r="F60" s="399">
        <f>'Porosity and Density'!F44</f>
        <v>3.4569999999999999</v>
      </c>
      <c r="G60" s="399">
        <f>'Porosity and Density'!G44</f>
        <v>1.8280000000000001</v>
      </c>
      <c r="H60" s="399">
        <f>'Porosity and Density'!H44</f>
        <v>2.8647E-3</v>
      </c>
      <c r="I60" s="399">
        <f>'Porosity and Density'!I44</f>
        <v>3.457E-3</v>
      </c>
      <c r="J60" s="399">
        <f>'Porosity and Density'!J44</f>
        <v>1.8280000000000002E-3</v>
      </c>
      <c r="K60" s="399">
        <f>'Porosity and Density'!K44</f>
        <v>1.6319374874774591E-6</v>
      </c>
      <c r="L60" s="399">
        <f>'Porosity and Density'!L44</f>
        <v>5.9336806251252257E-7</v>
      </c>
      <c r="M60" s="399">
        <f>'Porosity and Density'!M44</f>
        <v>0.36359729895641507</v>
      </c>
      <c r="N60" s="399">
        <f>'Porosity and Density'!N44</f>
        <v>1755.3981215469616</v>
      </c>
      <c r="O60" s="399">
        <f>'Porosity and Density'!O44</f>
        <v>2758.313436866983</v>
      </c>
      <c r="P60" s="399">
        <f>'Porosity and Density'!P44</f>
        <v>2118.3409453652553</v>
      </c>
      <c r="Q60" s="399">
        <f>'Porosity and Density'!Q44</f>
        <v>0.20675812476000979</v>
      </c>
      <c r="R60" s="419">
        <f>Q60*100</f>
        <v>20.675812476000978</v>
      </c>
      <c r="S60" s="400">
        <f>'Porosity and Density'!R44</f>
        <v>0.36359729895641507</v>
      </c>
      <c r="T60" s="116"/>
    </row>
    <row r="61" spans="1:20" x14ac:dyDescent="0.25">
      <c r="A61" s="530"/>
      <c r="B61" s="302"/>
      <c r="C61" s="530"/>
      <c r="D61" s="390" t="s">
        <v>161</v>
      </c>
      <c r="E61" s="393">
        <f>AVERAGE(E58:E60)</f>
        <v>2.8881333333333337</v>
      </c>
      <c r="F61" s="393">
        <f t="shared" ref="F61" si="102">AVERAGE(F58:F60)</f>
        <v>3.497666666666666</v>
      </c>
      <c r="G61" s="393">
        <f t="shared" ref="G61" si="103">AVERAGE(G58:G60)</f>
        <v>1.8436666666666668</v>
      </c>
      <c r="H61" s="393">
        <f t="shared" ref="H61" si="104">AVERAGE(H58:H60)</f>
        <v>2.8881333333333329E-3</v>
      </c>
      <c r="I61" s="393">
        <f t="shared" ref="I61" si="105">AVERAGE(I58:I60)</f>
        <v>3.4976666666666667E-3</v>
      </c>
      <c r="J61" s="393">
        <f t="shared" ref="J61" si="106">AVERAGE(J58:J60)</f>
        <v>1.8436666666666671E-3</v>
      </c>
      <c r="K61" s="393">
        <f t="shared" ref="K61" si="107">AVERAGE(K58:K60)</f>
        <v>1.6569825686235222E-6</v>
      </c>
      <c r="L61" s="393">
        <f t="shared" ref="L61" si="108">AVERAGE(L58:L60)</f>
        <v>6.1063247178254206E-7</v>
      </c>
      <c r="M61" s="393">
        <f t="shared" ref="M61" si="109">AVERAGE(M58:M60)</f>
        <v>0.36848285617985604</v>
      </c>
      <c r="N61" s="393">
        <f t="shared" ref="N61" si="110">AVERAGE(N58:N60)</f>
        <v>1743.0948771980056</v>
      </c>
      <c r="O61" s="393">
        <f t="shared" ref="O61" si="111">AVERAGE(O58:O60)</f>
        <v>2760.1784853104168</v>
      </c>
      <c r="P61" s="393">
        <f t="shared" ref="P61" si="112">AVERAGE(P58:P60)</f>
        <v>2110.9144642367378</v>
      </c>
      <c r="Q61" s="393">
        <f t="shared" ref="Q61:R61" si="113">AVERAGE(Q58:Q60)</f>
        <v>0.21103034112309638</v>
      </c>
      <c r="R61" s="393">
        <f t="shared" si="113"/>
        <v>21.103034112309636</v>
      </c>
      <c r="S61" s="394">
        <f t="shared" ref="S61" si="114">AVERAGE(S58:S60)</f>
        <v>0.36848285617985604</v>
      </c>
    </row>
    <row r="62" spans="1:20" ht="15.75" thickBot="1" x14ac:dyDescent="0.3">
      <c r="A62" s="530"/>
      <c r="B62" s="302"/>
      <c r="C62" s="530"/>
      <c r="D62" s="391" t="s">
        <v>162</v>
      </c>
      <c r="E62" s="399">
        <f>STDEV(E58:E60)</f>
        <v>2.7834211562990766E-2</v>
      </c>
      <c r="F62" s="399">
        <f t="shared" ref="F62:S62" si="115">STDEV(F58:F60)</f>
        <v>4.2063444144926312E-2</v>
      </c>
      <c r="G62" s="399">
        <f t="shared" si="115"/>
        <v>1.9139836293274079E-2</v>
      </c>
      <c r="H62" s="399">
        <f t="shared" si="115"/>
        <v>2.7834211562990822E-5</v>
      </c>
      <c r="I62" s="399">
        <f t="shared" si="115"/>
        <v>4.2063444144926214E-5</v>
      </c>
      <c r="J62" s="399">
        <f t="shared" si="115"/>
        <v>1.9139836293274077E-5</v>
      </c>
      <c r="K62" s="399">
        <f t="shared" si="115"/>
        <v>2.3685815302618536E-8</v>
      </c>
      <c r="L62" s="399">
        <f t="shared" si="115"/>
        <v>1.5466211287938152E-8</v>
      </c>
      <c r="M62" s="399">
        <f t="shared" si="115"/>
        <v>4.2387391783649002E-3</v>
      </c>
      <c r="N62" s="399">
        <f t="shared" si="115"/>
        <v>10.761247519596504</v>
      </c>
      <c r="O62" s="399">
        <f t="shared" si="115"/>
        <v>3.8740527034913987</v>
      </c>
      <c r="P62" s="399">
        <f t="shared" si="115"/>
        <v>6.6691216619360114</v>
      </c>
      <c r="Q62" s="399">
        <f t="shared" si="115"/>
        <v>3.7000452642469081E-3</v>
      </c>
      <c r="R62" s="399">
        <f t="shared" si="115"/>
        <v>0.37000452642469173</v>
      </c>
      <c r="S62" s="400">
        <f t="shared" si="115"/>
        <v>4.2387391783649002E-3</v>
      </c>
    </row>
    <row r="63" spans="1:20" x14ac:dyDescent="0.25">
      <c r="A63" s="530"/>
      <c r="B63" s="532" t="s">
        <v>20</v>
      </c>
      <c r="C63" s="530"/>
      <c r="D63" s="113" t="s">
        <v>135</v>
      </c>
      <c r="E63" s="392">
        <f>'Porosity and Density'!E45</f>
        <v>3.1000999999999999</v>
      </c>
      <c r="F63" s="393">
        <f>'Porosity and Density'!F45</f>
        <v>3.52</v>
      </c>
      <c r="G63" s="393">
        <f>'Porosity and Density'!G45</f>
        <v>1.9450000000000001</v>
      </c>
      <c r="H63" s="393">
        <f>'Porosity and Density'!H45</f>
        <v>3.1000999999999997E-3</v>
      </c>
      <c r="I63" s="393">
        <f>'Porosity and Density'!I45</f>
        <v>3.5200000000000001E-3</v>
      </c>
      <c r="J63" s="393">
        <f>'Porosity and Density'!J45</f>
        <v>1.9450000000000001E-3</v>
      </c>
      <c r="K63" s="393">
        <f>'Porosity and Density'!K45</f>
        <v>1.5778401122019636E-6</v>
      </c>
      <c r="L63" s="393">
        <f>'Porosity and Density'!L45</f>
        <v>4.2065718292927307E-7</v>
      </c>
      <c r="M63" s="393">
        <f>'Porosity and Density'!M45</f>
        <v>0.26660317460317484</v>
      </c>
      <c r="N63" s="393">
        <f>'Porosity and Density'!N45</f>
        <v>1964.7744888888888</v>
      </c>
      <c r="O63" s="393">
        <f>'Porosity and Density'!O45</f>
        <v>2679.0059908233056</v>
      </c>
      <c r="P63" s="393">
        <f>'Porosity and Density'!P45</f>
        <v>2230.8977777777777</v>
      </c>
      <c r="Q63" s="393">
        <f>'Porosity and Density'!Q45</f>
        <v>0.13544724363730215</v>
      </c>
      <c r="R63" s="418">
        <f>Q63*100</f>
        <v>13.544724363730214</v>
      </c>
      <c r="S63" s="394">
        <f>'Porosity and Density'!R45</f>
        <v>0.26660317460317484</v>
      </c>
      <c r="T63" s="116"/>
    </row>
    <row r="64" spans="1:20" x14ac:dyDescent="0.25">
      <c r="A64" s="530"/>
      <c r="B64" s="530"/>
      <c r="C64" s="530"/>
      <c r="D64" s="114" t="s">
        <v>136</v>
      </c>
      <c r="E64" s="395">
        <f>'Porosity and Density'!E46</f>
        <v>3.012</v>
      </c>
      <c r="F64" s="396">
        <f>'Porosity and Density'!F46</f>
        <v>3.419</v>
      </c>
      <c r="G64" s="396">
        <f>'Porosity and Density'!G46</f>
        <v>1.885</v>
      </c>
      <c r="H64" s="396">
        <f>'Porosity and Density'!H46</f>
        <v>3.0119999999999999E-3</v>
      </c>
      <c r="I64" s="396">
        <f>'Porosity and Density'!I46</f>
        <v>3.4190000000000002E-3</v>
      </c>
      <c r="J64" s="396">
        <f>'Porosity and Density'!J46</f>
        <v>1.885E-3</v>
      </c>
      <c r="K64" s="396">
        <f>'Porosity and Density'!K46</f>
        <v>1.5367661791224205E-6</v>
      </c>
      <c r="L64" s="396">
        <f>'Porosity and Density'!L46</f>
        <v>4.0773392105790444E-7</v>
      </c>
      <c r="M64" s="396">
        <f>'Porosity and Density'!M46</f>
        <v>0.26531942633637562</v>
      </c>
      <c r="N64" s="396">
        <f>'Porosity and Density'!N46</f>
        <v>1959.959843546284</v>
      </c>
      <c r="O64" s="396">
        <f>'Porosity and Density'!O46</f>
        <v>2667.7714285714287</v>
      </c>
      <c r="P64" s="396">
        <f>'Porosity and Density'!P46</f>
        <v>2224.8016949152543</v>
      </c>
      <c r="Q64" s="396">
        <f>'Porosity and Density'!Q46</f>
        <v>0.13512616201859237</v>
      </c>
      <c r="R64" s="419">
        <f>Q64*100</f>
        <v>13.512616201859236</v>
      </c>
      <c r="S64" s="397">
        <f>'Porosity and Density'!R46</f>
        <v>0.26531942633637562</v>
      </c>
      <c r="T64" s="117"/>
    </row>
    <row r="65" spans="1:20" ht="15.75" thickBot="1" x14ac:dyDescent="0.3">
      <c r="A65" s="533"/>
      <c r="B65" s="531"/>
      <c r="C65" s="530"/>
      <c r="D65" s="115" t="s">
        <v>137</v>
      </c>
      <c r="E65" s="398">
        <f>'Porosity and Density'!E47</f>
        <v>3.0828000000000002</v>
      </c>
      <c r="F65" s="399">
        <f>'Porosity and Density'!F47</f>
        <v>3.4790000000000001</v>
      </c>
      <c r="G65" s="399">
        <f>'Porosity and Density'!G47</f>
        <v>1.931</v>
      </c>
      <c r="H65" s="399">
        <f>'Porosity and Density'!H47</f>
        <v>3.0828000000000001E-3</v>
      </c>
      <c r="I65" s="399">
        <f>'Porosity and Density'!I47</f>
        <v>3.4790000000000003E-3</v>
      </c>
      <c r="J65" s="399">
        <f>'Porosity and Density'!J47</f>
        <v>1.931E-3</v>
      </c>
      <c r="K65" s="399">
        <f>'Porosity and Density'!K47</f>
        <v>1.5507914245642159E-6</v>
      </c>
      <c r="L65" s="399">
        <f>'Porosity and Density'!L47</f>
        <v>3.9691444600280522E-7</v>
      </c>
      <c r="M65" s="399">
        <f>'Porosity and Density'!M47</f>
        <v>0.25594315245478044</v>
      </c>
      <c r="N65" s="399">
        <f>'Porosity and Density'!N47</f>
        <v>1987.8882170542631</v>
      </c>
      <c r="O65" s="399">
        <f>'Porosity and Density'!O47</f>
        <v>2671.6886264976556</v>
      </c>
      <c r="P65" s="399">
        <f>'Porosity and Density'!P47</f>
        <v>2243.3706718346252</v>
      </c>
      <c r="Q65" s="399">
        <f>'Porosity and Density'!Q47</f>
        <v>0.12851952770208908</v>
      </c>
      <c r="R65" s="419">
        <f>Q65*100</f>
        <v>12.851952770208907</v>
      </c>
      <c r="S65" s="400">
        <f>'Porosity and Density'!R47</f>
        <v>0.25594315245478044</v>
      </c>
      <c r="T65" s="117"/>
    </row>
    <row r="66" spans="1:20" x14ac:dyDescent="0.25">
      <c r="A66" s="302"/>
      <c r="B66" s="302"/>
      <c r="C66" s="530"/>
      <c r="D66" s="390" t="s">
        <v>161</v>
      </c>
      <c r="E66" s="393">
        <f>AVERAGE(E63:E65)</f>
        <v>3.0649666666666668</v>
      </c>
      <c r="F66" s="393">
        <f t="shared" ref="F66" si="116">AVERAGE(F63:F65)</f>
        <v>3.4726666666666666</v>
      </c>
      <c r="G66" s="393">
        <f t="shared" ref="G66" si="117">AVERAGE(G63:G65)</f>
        <v>1.9203333333333334</v>
      </c>
      <c r="H66" s="393">
        <f t="shared" ref="H66" si="118">AVERAGE(H63:H65)</f>
        <v>3.0649666666666664E-3</v>
      </c>
      <c r="I66" s="393">
        <f t="shared" ref="I66" si="119">AVERAGE(I63:I65)</f>
        <v>3.4726666666666669E-3</v>
      </c>
      <c r="J66" s="393">
        <f t="shared" ref="J66" si="120">AVERAGE(J63:J65)</f>
        <v>1.9203333333333336E-3</v>
      </c>
      <c r="K66" s="393">
        <f t="shared" ref="K66" si="121">AVERAGE(K63:K65)</f>
        <v>1.5551325719628666E-6</v>
      </c>
      <c r="L66" s="393">
        <f t="shared" ref="L66" si="122">AVERAGE(L63:L65)</f>
        <v>4.0843518332999426E-7</v>
      </c>
      <c r="M66" s="393">
        <f t="shared" ref="M66" si="123">AVERAGE(M63:M65)</f>
        <v>0.26262191779811034</v>
      </c>
      <c r="N66" s="393">
        <f t="shared" ref="N66" si="124">AVERAGE(N63:N65)</f>
        <v>1970.8741831631453</v>
      </c>
      <c r="O66" s="393">
        <f t="shared" ref="O66" si="125">AVERAGE(O63:O65)</f>
        <v>2672.8220152974632</v>
      </c>
      <c r="P66" s="393">
        <f t="shared" ref="P66" si="126">AVERAGE(P63:P65)</f>
        <v>2233.0233815092192</v>
      </c>
      <c r="Q66" s="393">
        <f t="shared" ref="Q66:R66" si="127">AVERAGE(Q63:Q65)</f>
        <v>0.13303097778599451</v>
      </c>
      <c r="R66" s="393">
        <f t="shared" si="127"/>
        <v>13.303097778599451</v>
      </c>
      <c r="S66" s="394">
        <f t="shared" ref="S66" si="128">AVERAGE(S63:S65)</f>
        <v>0.26262191779811034</v>
      </c>
    </row>
    <row r="67" spans="1:20" ht="15.75" thickBot="1" x14ac:dyDescent="0.3">
      <c r="A67" s="302"/>
      <c r="B67" s="302"/>
      <c r="C67" s="530"/>
      <c r="D67" s="391" t="s">
        <v>162</v>
      </c>
      <c r="E67" s="399">
        <f>STDEV(E63:E65)</f>
        <v>4.6678938862546253E-2</v>
      </c>
      <c r="F67" s="399">
        <f t="shared" ref="F67:S67" si="129">STDEV(F63:F65)</f>
        <v>5.0796981537620252E-2</v>
      </c>
      <c r="G67" s="399">
        <f t="shared" si="129"/>
        <v>3.1390019645316167E-2</v>
      </c>
      <c r="H67" s="399">
        <f t="shared" si="129"/>
        <v>4.6678938862546242E-5</v>
      </c>
      <c r="I67" s="399">
        <f t="shared" si="129"/>
        <v>5.0796981537620251E-5</v>
      </c>
      <c r="J67" s="399">
        <f t="shared" si="129"/>
        <v>3.1390019645316213E-5</v>
      </c>
      <c r="K67" s="399">
        <f t="shared" si="129"/>
        <v>2.0878246219649407E-8</v>
      </c>
      <c r="L67" s="399">
        <f t="shared" si="129"/>
        <v>1.1886892603643623E-8</v>
      </c>
      <c r="M67" s="399">
        <f t="shared" si="129"/>
        <v>5.8194872872595485E-3</v>
      </c>
      <c r="N67" s="399">
        <f t="shared" si="129"/>
        <v>14.929943549117864</v>
      </c>
      <c r="O67" s="399">
        <f t="shared" si="129"/>
        <v>5.7023920311104224</v>
      </c>
      <c r="P67" s="399">
        <f t="shared" si="129"/>
        <v>9.4652189290776896</v>
      </c>
      <c r="Q67" s="399">
        <f t="shared" si="129"/>
        <v>3.9103273195662579E-3</v>
      </c>
      <c r="R67" s="399">
        <f t="shared" si="129"/>
        <v>0.39103273195662569</v>
      </c>
      <c r="S67" s="400">
        <f t="shared" si="129"/>
        <v>5.8194872872595485E-3</v>
      </c>
    </row>
    <row r="68" spans="1:20" x14ac:dyDescent="0.25">
      <c r="A68" s="529" t="s">
        <v>297</v>
      </c>
      <c r="B68" s="532" t="s">
        <v>134</v>
      </c>
      <c r="C68" s="530"/>
      <c r="D68" s="113" t="s">
        <v>135</v>
      </c>
      <c r="E68" s="392">
        <f>'Porosity and Density'!E48</f>
        <v>2.8786999999999998</v>
      </c>
      <c r="F68" s="393">
        <f>'Porosity and Density'!F48</f>
        <v>3.3580000000000001</v>
      </c>
      <c r="G68" s="393">
        <f>'Porosity and Density'!G48</f>
        <v>1.8340000000000001</v>
      </c>
      <c r="H68" s="393">
        <f>'Porosity and Density'!H48</f>
        <v>2.8786999999999997E-3</v>
      </c>
      <c r="I68" s="393">
        <f>'Porosity and Density'!I48</f>
        <v>3.3580000000000003E-3</v>
      </c>
      <c r="J68" s="393">
        <f>'Porosity and Density'!J48</f>
        <v>1.8340000000000001E-3</v>
      </c>
      <c r="K68" s="393">
        <f>'Porosity and Density'!K48</f>
        <v>1.5267481466639954E-6</v>
      </c>
      <c r="L68" s="393">
        <f>'Porosity and Density'!L48</f>
        <v>4.8016429573231879E-7</v>
      </c>
      <c r="M68" s="393">
        <f>'Porosity and Density'!M48</f>
        <v>0.31450131233595841</v>
      </c>
      <c r="N68" s="393">
        <f>'Porosity and Density'!N48</f>
        <v>1885.5107217847765</v>
      </c>
      <c r="O68" s="393">
        <f>'Porosity and Density'!O48</f>
        <v>2750.5679525222563</v>
      </c>
      <c r="P68" s="393">
        <f>'Porosity and Density'!P48</f>
        <v>2199.4459317585302</v>
      </c>
      <c r="Q68" s="393">
        <f>'Porosity and Density'!Q48</f>
        <v>0.1664987668044606</v>
      </c>
      <c r="R68" s="418">
        <f>Q68*100</f>
        <v>16.649876680446059</v>
      </c>
      <c r="S68" s="394">
        <f>'Porosity and Density'!R48</f>
        <v>0.31450131233595841</v>
      </c>
      <c r="T68" s="117"/>
    </row>
    <row r="69" spans="1:20" x14ac:dyDescent="0.25">
      <c r="A69" s="530"/>
      <c r="B69" s="530"/>
      <c r="C69" s="530"/>
      <c r="D69" s="114" t="s">
        <v>136</v>
      </c>
      <c r="E69" s="395">
        <f>'Porosity and Density'!E49</f>
        <v>2.8959999999999999</v>
      </c>
      <c r="F69" s="396">
        <f>'Porosity and Density'!F49</f>
        <v>3.3540000000000001</v>
      </c>
      <c r="G69" s="396">
        <f>'Porosity and Density'!G49</f>
        <v>1.8420000000000001</v>
      </c>
      <c r="H69" s="396">
        <f>'Porosity and Density'!H49</f>
        <v>2.8960000000000001E-3</v>
      </c>
      <c r="I69" s="396">
        <f>'Porosity and Density'!I49</f>
        <v>3.3540000000000002E-3</v>
      </c>
      <c r="J69" s="396">
        <f>'Porosity and Density'!J49</f>
        <v>1.8420000000000001E-3</v>
      </c>
      <c r="K69" s="396">
        <f>'Porosity and Density'!K49</f>
        <v>1.5147265077138851E-6</v>
      </c>
      <c r="L69" s="396">
        <f>'Porosity and Density'!L49</f>
        <v>4.5882588659587264E-7</v>
      </c>
      <c r="M69" s="396">
        <f>'Porosity and Density'!M49</f>
        <v>0.30291005291005296</v>
      </c>
      <c r="N69" s="396">
        <f>'Porosity and Density'!N49</f>
        <v>1911.8962962962962</v>
      </c>
      <c r="O69" s="396">
        <f>'Porosity and Density'!O49</f>
        <v>2742.6823529411768</v>
      </c>
      <c r="P69" s="396">
        <f>'Porosity and Density'!P49</f>
        <v>2214.2611111111109</v>
      </c>
      <c r="Q69" s="396">
        <f>'Porosity and Density'!Q49</f>
        <v>0.15814917127071826</v>
      </c>
      <c r="R69" s="419">
        <f>Q69*100</f>
        <v>15.814917127071826</v>
      </c>
      <c r="S69" s="397">
        <f>'Porosity and Density'!R49</f>
        <v>0.30291005291005296</v>
      </c>
    </row>
    <row r="70" spans="1:20" ht="15.75" thickBot="1" x14ac:dyDescent="0.3">
      <c r="A70" s="530"/>
      <c r="B70" s="531"/>
      <c r="C70" s="530"/>
      <c r="D70" s="115" t="s">
        <v>137</v>
      </c>
      <c r="E70" s="398">
        <f>'Porosity and Density'!E50</f>
        <v>2.9144999999999999</v>
      </c>
      <c r="F70" s="399">
        <f>'Porosity and Density'!F50</f>
        <v>3.3879999999999999</v>
      </c>
      <c r="G70" s="399">
        <f>'Porosity and Density'!G50</f>
        <v>1.8560000000000001</v>
      </c>
      <c r="H70" s="399">
        <f>'Porosity and Density'!H50</f>
        <v>2.9145E-3</v>
      </c>
      <c r="I70" s="399">
        <f>'Porosity and Density'!I50</f>
        <v>3.388E-3</v>
      </c>
      <c r="J70" s="399">
        <f>'Porosity and Density'!J50</f>
        <v>1.8560000000000002E-3</v>
      </c>
      <c r="K70" s="399">
        <f>'Porosity and Density'!K50</f>
        <v>1.5347625726307349E-6</v>
      </c>
      <c r="L70" s="399">
        <f>'Porosity and Density'!L50</f>
        <v>4.743538369064315E-7</v>
      </c>
      <c r="M70" s="399">
        <f>'Porosity and Density'!M50</f>
        <v>0.30907310704960839</v>
      </c>
      <c r="N70" s="399">
        <f>'Porosity and Density'!N50</f>
        <v>1898.9907963446481</v>
      </c>
      <c r="O70" s="399">
        <f>'Porosity and Density'!O50</f>
        <v>2748.4684931506858</v>
      </c>
      <c r="P70" s="399">
        <f>'Porosity and Density'!P50</f>
        <v>2207.5075718015673</v>
      </c>
      <c r="Q70" s="399">
        <f>'Porosity and Density'!Q50</f>
        <v>0.16246354434722937</v>
      </c>
      <c r="R70" s="419">
        <f>Q70*100</f>
        <v>16.246354434722939</v>
      </c>
      <c r="S70" s="400">
        <f>'Porosity and Density'!R50</f>
        <v>0.30907310704960839</v>
      </c>
    </row>
    <row r="71" spans="1:20" x14ac:dyDescent="0.25">
      <c r="A71" s="530"/>
      <c r="B71" s="302"/>
      <c r="C71" s="530"/>
      <c r="D71" s="390" t="s">
        <v>161</v>
      </c>
      <c r="E71" s="393">
        <f>AVERAGE(E68:E70)</f>
        <v>2.8963999999999999</v>
      </c>
      <c r="F71" s="393">
        <f t="shared" ref="F71" si="130">AVERAGE(F68:F70)</f>
        <v>3.3666666666666667</v>
      </c>
      <c r="G71" s="393">
        <f t="shared" ref="G71" si="131">AVERAGE(G68:G70)</f>
        <v>1.8440000000000001</v>
      </c>
      <c r="H71" s="393">
        <f t="shared" ref="H71" si="132">AVERAGE(H68:H70)</f>
        <v>2.8963999999999999E-3</v>
      </c>
      <c r="I71" s="393">
        <f t="shared" ref="I71" si="133">AVERAGE(I68:I70)</f>
        <v>3.3666666666666671E-3</v>
      </c>
      <c r="J71" s="393">
        <f t="shared" ref="J71" si="134">AVERAGE(J68:J70)</f>
        <v>1.8440000000000002E-3</v>
      </c>
      <c r="K71" s="393">
        <f t="shared" ref="K71" si="135">AVERAGE(K68:K70)</f>
        <v>1.5254124090028717E-6</v>
      </c>
      <c r="L71" s="393">
        <f t="shared" ref="L71" si="136">AVERAGE(L68:L70)</f>
        <v>4.7111467307820761E-7</v>
      </c>
      <c r="M71" s="393">
        <f t="shared" ref="M71" si="137">AVERAGE(M68:M70)</f>
        <v>0.30882815743187325</v>
      </c>
      <c r="N71" s="393">
        <f t="shared" ref="N71" si="138">AVERAGE(N68:N70)</f>
        <v>1898.7992714752402</v>
      </c>
      <c r="O71" s="393">
        <f t="shared" ref="O71" si="139">AVERAGE(O68:O70)</f>
        <v>2747.2395995380393</v>
      </c>
      <c r="P71" s="393">
        <f t="shared" ref="P71" si="140">AVERAGE(P68:P70)</f>
        <v>2207.0715382237358</v>
      </c>
      <c r="Q71" s="393">
        <f t="shared" ref="Q71:R71" si="141">AVERAGE(Q68:Q70)</f>
        <v>0.16237049414080276</v>
      </c>
      <c r="R71" s="393">
        <f t="shared" si="141"/>
        <v>16.237049414080275</v>
      </c>
      <c r="S71" s="394">
        <f t="shared" ref="S71" si="142">AVERAGE(S68:S70)</f>
        <v>0.30882815743187325</v>
      </c>
    </row>
    <row r="72" spans="1:20" ht="15.75" thickBot="1" x14ac:dyDescent="0.3">
      <c r="A72" s="530"/>
      <c r="B72" s="302"/>
      <c r="C72" s="530"/>
      <c r="D72" s="391" t="s">
        <v>162</v>
      </c>
      <c r="E72" s="399">
        <f>STDEV(E68:E70)</f>
        <v>1.7903351641522347E-2</v>
      </c>
      <c r="F72" s="399">
        <f t="shared" ref="F72:S72" si="143">STDEV(F68:F70)</f>
        <v>1.8583146486355027E-2</v>
      </c>
      <c r="G72" s="399">
        <f t="shared" si="143"/>
        <v>1.1135528725660053E-2</v>
      </c>
      <c r="H72" s="399">
        <f t="shared" si="143"/>
        <v>1.7903351641522481E-5</v>
      </c>
      <c r="I72" s="399">
        <f t="shared" si="143"/>
        <v>1.8583146486354969E-5</v>
      </c>
      <c r="J72" s="399">
        <f t="shared" si="143"/>
        <v>1.1135528725660101E-5</v>
      </c>
      <c r="K72" s="399">
        <f t="shared" si="143"/>
        <v>1.008459819043689E-8</v>
      </c>
      <c r="L72" s="399">
        <f t="shared" si="143"/>
        <v>1.1031820468451596E-8</v>
      </c>
      <c r="M72" s="399">
        <f t="shared" si="143"/>
        <v>5.7995106695377229E-3</v>
      </c>
      <c r="N72" s="399">
        <f t="shared" si="143"/>
        <v>13.193829880191773</v>
      </c>
      <c r="O72" s="399">
        <f t="shared" si="143"/>
        <v>4.0839080329608812</v>
      </c>
      <c r="P72" s="399">
        <f t="shared" si="143"/>
        <v>7.4172082870195384</v>
      </c>
      <c r="Q72" s="399">
        <f t="shared" si="143"/>
        <v>4.175575427406329E-3</v>
      </c>
      <c r="R72" s="399">
        <f t="shared" si="143"/>
        <v>0.41755754274063234</v>
      </c>
      <c r="S72" s="400">
        <f t="shared" si="143"/>
        <v>5.7995106695377229E-3</v>
      </c>
    </row>
    <row r="73" spans="1:20" x14ac:dyDescent="0.25">
      <c r="A73" s="530"/>
      <c r="B73" s="532" t="s">
        <v>20</v>
      </c>
      <c r="C73" s="530"/>
      <c r="D73" s="113" t="s">
        <v>135</v>
      </c>
      <c r="E73" s="392">
        <f>'Porosity and Density'!E51</f>
        <v>3.0331999999999999</v>
      </c>
      <c r="F73" s="393">
        <f>'Porosity and Density'!F51</f>
        <v>3.2909999999999999</v>
      </c>
      <c r="G73" s="393">
        <f>'Porosity and Density'!G51</f>
        <v>1.893</v>
      </c>
      <c r="H73" s="393">
        <f>'Porosity and Density'!H51</f>
        <v>3.0331999999999998E-3</v>
      </c>
      <c r="I73" s="393">
        <f>'Porosity and Density'!I51</f>
        <v>3.2910000000000001E-3</v>
      </c>
      <c r="J73" s="393">
        <f>'Porosity and Density'!J51</f>
        <v>1.8930000000000002E-3</v>
      </c>
      <c r="K73" s="393">
        <f>'Porosity and Density'!K51</f>
        <v>1.400520937687838E-6</v>
      </c>
      <c r="L73" s="393">
        <f>'Porosity and Density'!L51</f>
        <v>2.5826487677820103E-7</v>
      </c>
      <c r="M73" s="393">
        <f>'Porosity and Density'!M51</f>
        <v>0.18440629470672409</v>
      </c>
      <c r="N73" s="393">
        <f>'Porosity and Density'!N51</f>
        <v>2165.7655507868385</v>
      </c>
      <c r="O73" s="393">
        <f>'Porosity and Density'!O51</f>
        <v>2655.446623399404</v>
      </c>
      <c r="P73" s="393">
        <f>'Porosity and Density'!P51</f>
        <v>2349.8399141630903</v>
      </c>
      <c r="Q73" s="393">
        <f>'Porosity and Density'!Q51</f>
        <v>8.4992746933931274E-2</v>
      </c>
      <c r="R73" s="418">
        <f>Q73*100</f>
        <v>8.4992746933931276</v>
      </c>
      <c r="S73" s="394">
        <f>'Porosity and Density'!R51</f>
        <v>0.18440629470672409</v>
      </c>
    </row>
    <row r="74" spans="1:20" x14ac:dyDescent="0.25">
      <c r="A74" s="530"/>
      <c r="B74" s="530"/>
      <c r="C74" s="530"/>
      <c r="D74" s="114" t="s">
        <v>136</v>
      </c>
      <c r="E74" s="395">
        <f>'Porosity and Density'!E52</f>
        <v>3.0825999999999998</v>
      </c>
      <c r="F74" s="396">
        <f>'Porosity and Density'!F52</f>
        <v>3.3439999999999999</v>
      </c>
      <c r="G74" s="396">
        <f>'Porosity and Density'!G52</f>
        <v>1.9219999999999999</v>
      </c>
      <c r="H74" s="396">
        <f>'Porosity and Density'!H52</f>
        <v>3.0826E-3</v>
      </c>
      <c r="I74" s="396">
        <f>'Porosity and Density'!I52</f>
        <v>3.3439999999999998E-3</v>
      </c>
      <c r="J74" s="396">
        <f>'Porosity and Density'!J52</f>
        <v>1.9219999999999999E-3</v>
      </c>
      <c r="K74" s="396">
        <f>'Porosity and Density'!K52</f>
        <v>1.4245642155880583E-6</v>
      </c>
      <c r="L74" s="396">
        <f>'Porosity and Density'!L52</f>
        <v>2.6187136846323357E-7</v>
      </c>
      <c r="M74" s="396">
        <f>'Porosity and Density'!M52</f>
        <v>0.18382559774964824</v>
      </c>
      <c r="N74" s="396">
        <f>'Porosity and Density'!N52</f>
        <v>2163.8898171589312</v>
      </c>
      <c r="O74" s="396">
        <f>'Porosity and Density'!O52</f>
        <v>2651.2591073582626</v>
      </c>
      <c r="P74" s="396">
        <f>'Porosity and Density'!P52</f>
        <v>2347.3845288326302</v>
      </c>
      <c r="Q74" s="396">
        <f>'Porosity and Density'!Q52</f>
        <v>8.479854668137278E-2</v>
      </c>
      <c r="R74" s="419">
        <f>Q74*100</f>
        <v>8.4798546681372784</v>
      </c>
      <c r="S74" s="397">
        <f>'Porosity and Density'!R52</f>
        <v>0.18382559774964824</v>
      </c>
    </row>
    <row r="75" spans="1:20" ht="15.75" thickBot="1" x14ac:dyDescent="0.3">
      <c r="A75" s="531"/>
      <c r="B75" s="531"/>
      <c r="C75" s="531"/>
      <c r="D75" s="115" t="s">
        <v>137</v>
      </c>
      <c r="E75" s="398">
        <f>'Porosity and Density'!E53</f>
        <v>3.0823999999999998</v>
      </c>
      <c r="F75" s="399">
        <f>'Porosity and Density'!F53</f>
        <v>3.3359999999999999</v>
      </c>
      <c r="G75" s="399">
        <f>'Porosity and Density'!G53</f>
        <v>1.921</v>
      </c>
      <c r="H75" s="399">
        <f>'Porosity and Density'!H53</f>
        <v>3.0823999999999999E-3</v>
      </c>
      <c r="I75" s="399">
        <f>'Porosity and Density'!I53</f>
        <v>3.336E-3</v>
      </c>
      <c r="J75" s="399">
        <f>'Porosity and Density'!J53</f>
        <v>1.9210000000000002E-3</v>
      </c>
      <c r="K75" s="399">
        <f>'Porosity and Density'!K53</f>
        <v>1.4175515928671607E-6</v>
      </c>
      <c r="L75" s="399">
        <f>'Porosity and Density'!L53</f>
        <v>2.5405730314566229E-7</v>
      </c>
      <c r="M75" s="399">
        <f>'Porosity and Density'!M53</f>
        <v>0.1792226148409895</v>
      </c>
      <c r="N75" s="399">
        <f>'Porosity and Density'!N53</f>
        <v>2174.45348409894</v>
      </c>
      <c r="O75" s="399">
        <f>'Porosity and Density'!O53</f>
        <v>2649.2609609092483</v>
      </c>
      <c r="P75" s="399">
        <f>'Porosity and Density'!P53</f>
        <v>2353.3534982332158</v>
      </c>
      <c r="Q75" s="399">
        <f>'Porosity and Density'!Q53</f>
        <v>8.2273553075525599E-2</v>
      </c>
      <c r="R75" s="419">
        <f>Q75*100</f>
        <v>8.2273553075525605</v>
      </c>
      <c r="S75" s="400">
        <f>'Porosity and Density'!R53</f>
        <v>0.1792226148409895</v>
      </c>
    </row>
    <row r="76" spans="1:20" x14ac:dyDescent="0.25">
      <c r="A76" s="336"/>
      <c r="B76" s="302"/>
      <c r="C76" s="381"/>
      <c r="D76" s="390" t="s">
        <v>161</v>
      </c>
      <c r="E76" s="393">
        <f>AVERAGE(E73:E75)</f>
        <v>3.0660666666666665</v>
      </c>
      <c r="F76" s="393">
        <f t="shared" ref="F76" si="144">AVERAGE(F73:F75)</f>
        <v>3.3236666666666665</v>
      </c>
      <c r="G76" s="393">
        <f t="shared" ref="G76" si="145">AVERAGE(G73:G75)</f>
        <v>1.9119999999999999</v>
      </c>
      <c r="H76" s="393">
        <f t="shared" ref="H76" si="146">AVERAGE(H73:H75)</f>
        <v>3.0660666666666669E-3</v>
      </c>
      <c r="I76" s="393">
        <f t="shared" ref="I76" si="147">AVERAGE(I73:I75)</f>
        <v>3.323666666666667E-3</v>
      </c>
      <c r="J76" s="393">
        <f t="shared" ref="J76" si="148">AVERAGE(J73:J75)</f>
        <v>1.9119999999999999E-3</v>
      </c>
      <c r="K76" s="393">
        <f t="shared" ref="K76" si="149">AVERAGE(K73:K75)</f>
        <v>1.4142122487143523E-6</v>
      </c>
      <c r="L76" s="393">
        <f t="shared" ref="L76" si="150">AVERAGE(L73:L75)</f>
        <v>2.5806451612903233E-7</v>
      </c>
      <c r="M76" s="393">
        <f t="shared" ref="M76" si="151">AVERAGE(M73:M75)</f>
        <v>0.18248483576578725</v>
      </c>
      <c r="N76" s="393">
        <f t="shared" ref="N76" si="152">AVERAGE(N73:N75)</f>
        <v>2168.0362840149032</v>
      </c>
      <c r="O76" s="393">
        <f t="shared" ref="O76" si="153">AVERAGE(O73:O75)</f>
        <v>2651.9888972223052</v>
      </c>
      <c r="P76" s="393">
        <f t="shared" ref="P76" si="154">AVERAGE(P73:P75)</f>
        <v>2350.1926470763124</v>
      </c>
      <c r="Q76" s="393">
        <f t="shared" ref="Q76:R76" si="155">AVERAGE(Q73:Q75)</f>
        <v>8.4021615563609875E-2</v>
      </c>
      <c r="R76" s="393">
        <f t="shared" si="155"/>
        <v>8.4021615563609888</v>
      </c>
      <c r="S76" s="394">
        <f t="shared" ref="S76" si="156">AVERAGE(S73:S75)</f>
        <v>0.18248483576578725</v>
      </c>
    </row>
    <row r="77" spans="1:20" ht="15.75" thickBot="1" x14ac:dyDescent="0.3">
      <c r="A77" s="336"/>
      <c r="B77" s="302"/>
      <c r="C77" s="381"/>
      <c r="D77" s="391" t="s">
        <v>162</v>
      </c>
      <c r="E77" s="399">
        <f>STDEV(E73:E75)</f>
        <v>2.8463543934888539E-2</v>
      </c>
      <c r="F77" s="399">
        <f t="shared" ref="F77:S77" si="157">STDEV(F73:F75)</f>
        <v>2.8571547618799566E-2</v>
      </c>
      <c r="G77" s="399">
        <f t="shared" si="157"/>
        <v>1.6462077633154309E-2</v>
      </c>
      <c r="H77" s="399">
        <f t="shared" si="157"/>
        <v>2.8463543934888692E-5</v>
      </c>
      <c r="I77" s="399">
        <f t="shared" si="157"/>
        <v>2.8571547618799463E-5</v>
      </c>
      <c r="J77" s="399">
        <f t="shared" si="157"/>
        <v>1.6462077633154255E-5</v>
      </c>
      <c r="K77" s="399">
        <f t="shared" si="157"/>
        <v>1.2364595325969127E-8</v>
      </c>
      <c r="L77" s="399">
        <f t="shared" si="157"/>
        <v>3.9108838501186744E-9</v>
      </c>
      <c r="M77" s="399">
        <f t="shared" si="157"/>
        <v>2.8400468764847235E-3</v>
      </c>
      <c r="N77" s="399">
        <f t="shared" si="157"/>
        <v>5.6360391100165561</v>
      </c>
      <c r="O77" s="399">
        <f t="shared" si="157"/>
        <v>3.1567467501803095</v>
      </c>
      <c r="P77" s="399">
        <f t="shared" si="157"/>
        <v>3.0000773835576697</v>
      </c>
      <c r="Q77" s="399">
        <f t="shared" si="157"/>
        <v>1.5169773502623604E-3</v>
      </c>
      <c r="R77" s="399">
        <f t="shared" si="157"/>
        <v>0.15169773502623585</v>
      </c>
      <c r="S77" s="400">
        <f t="shared" si="157"/>
        <v>2.8400468764847235E-3</v>
      </c>
    </row>
    <row r="78" spans="1:20" x14ac:dyDescent="0.25">
      <c r="A78" s="108" t="s">
        <v>273</v>
      </c>
      <c r="B78" s="148" t="s">
        <v>274</v>
      </c>
      <c r="C78" s="148" t="s">
        <v>275</v>
      </c>
      <c r="D78" s="109" t="s">
        <v>6</v>
      </c>
      <c r="E78" s="150" t="s">
        <v>276</v>
      </c>
      <c r="F78" s="150" t="s">
        <v>277</v>
      </c>
      <c r="G78" s="150" t="s">
        <v>278</v>
      </c>
      <c r="H78" s="150" t="s">
        <v>276</v>
      </c>
      <c r="I78" s="109" t="s">
        <v>277</v>
      </c>
      <c r="J78" s="109" t="s">
        <v>278</v>
      </c>
      <c r="K78" s="109" t="s">
        <v>279</v>
      </c>
      <c r="L78" s="109" t="s">
        <v>280</v>
      </c>
      <c r="M78" s="109" t="s">
        <v>281</v>
      </c>
      <c r="N78" s="109" t="s">
        <v>282</v>
      </c>
      <c r="O78" s="109" t="s">
        <v>283</v>
      </c>
      <c r="P78" s="109" t="s">
        <v>284</v>
      </c>
      <c r="Q78" s="109" t="s">
        <v>285</v>
      </c>
      <c r="R78" s="416" t="s">
        <v>285</v>
      </c>
      <c r="S78" s="110" t="s">
        <v>286</v>
      </c>
      <c r="T78" s="117"/>
    </row>
    <row r="79" spans="1:20" ht="15.75" thickBot="1" x14ac:dyDescent="0.3">
      <c r="A79" s="111"/>
      <c r="B79" s="149"/>
      <c r="C79" s="149"/>
      <c r="D79" s="112"/>
      <c r="E79" s="112" t="s">
        <v>120</v>
      </c>
      <c r="F79" s="112" t="s">
        <v>120</v>
      </c>
      <c r="G79" s="112" t="s">
        <v>120</v>
      </c>
      <c r="H79" s="112" t="s">
        <v>28</v>
      </c>
      <c r="I79" s="112" t="s">
        <v>28</v>
      </c>
      <c r="J79" s="112" t="s">
        <v>28</v>
      </c>
      <c r="K79" s="112" t="s">
        <v>287</v>
      </c>
      <c r="L79" s="112" t="s">
        <v>291</v>
      </c>
      <c r="M79" s="112" t="s">
        <v>289</v>
      </c>
      <c r="N79" s="112" t="s">
        <v>289</v>
      </c>
      <c r="O79" s="112" t="s">
        <v>289</v>
      </c>
      <c r="P79" s="112" t="s">
        <v>289</v>
      </c>
      <c r="Q79" s="340" t="s">
        <v>290</v>
      </c>
      <c r="R79" s="417" t="s">
        <v>301</v>
      </c>
      <c r="S79" s="341" t="s">
        <v>291</v>
      </c>
      <c r="T79" s="117"/>
    </row>
    <row r="80" spans="1:20" x14ac:dyDescent="0.25">
      <c r="A80" s="529" t="s">
        <v>295</v>
      </c>
      <c r="B80" s="532" t="s">
        <v>134</v>
      </c>
      <c r="C80" s="532" t="s">
        <v>123</v>
      </c>
      <c r="D80" s="113" t="s">
        <v>135</v>
      </c>
      <c r="E80" s="392">
        <f>'Porosity and Density'!E56</f>
        <v>3.0070000000000001</v>
      </c>
      <c r="F80" s="393">
        <f>'Porosity and Density'!F56</f>
        <v>3.661</v>
      </c>
      <c r="G80" s="393">
        <f>'Porosity and Density'!G56</f>
        <v>1.929</v>
      </c>
      <c r="H80" s="393">
        <f>'Porosity and Density'!H56</f>
        <v>3.0070000000000001E-3</v>
      </c>
      <c r="I80" s="393">
        <f>'Porosity and Density'!I56</f>
        <v>3.6610000000000002E-3</v>
      </c>
      <c r="J80" s="393">
        <f>'Porosity and Density'!J56</f>
        <v>1.9290000000000002E-3</v>
      </c>
      <c r="K80" s="393">
        <f>'Porosity and Density'!K56</f>
        <v>1.7351232217992387E-6</v>
      </c>
      <c r="L80" s="393">
        <f>'Porosity and Density'!L56</f>
        <v>6.5517932278100583E-7</v>
      </c>
      <c r="M80" s="393">
        <f>'Porosity and Density'!M56</f>
        <v>0.37759815242494227</v>
      </c>
      <c r="N80" s="393">
        <f>'Porosity and Density'!N56</f>
        <v>1733.0181293302542</v>
      </c>
      <c r="O80" s="393">
        <f>'Porosity and Density'!O56</f>
        <v>2784.4038961038959</v>
      </c>
      <c r="P80" s="393">
        <f>'Porosity and Density'!P56</f>
        <v>2109.9366050808317</v>
      </c>
      <c r="Q80" s="393">
        <f>'Porosity and Density'!Q56</f>
        <v>0.21749251745926174</v>
      </c>
      <c r="R80" s="418">
        <f>Q80*100</f>
        <v>21.749251745926173</v>
      </c>
      <c r="S80" s="394">
        <f>'Porosity and Density'!R56</f>
        <v>0.37759815242494227</v>
      </c>
      <c r="T80" s="117"/>
    </row>
    <row r="81" spans="1:20" x14ac:dyDescent="0.25">
      <c r="A81" s="530"/>
      <c r="B81" s="530"/>
      <c r="C81" s="530"/>
      <c r="D81" s="114" t="s">
        <v>136</v>
      </c>
      <c r="E81" s="395">
        <f>'Porosity and Density'!E57</f>
        <v>2.8893</v>
      </c>
      <c r="F81" s="396">
        <f>'Porosity and Density'!F57</f>
        <v>3.504</v>
      </c>
      <c r="G81" s="396">
        <f>'Porosity and Density'!G57</f>
        <v>1.851</v>
      </c>
      <c r="H81" s="396">
        <f>'Porosity and Density'!H57</f>
        <v>2.8893E-3</v>
      </c>
      <c r="I81" s="396">
        <f>'Porosity and Density'!I57</f>
        <v>3.5040000000000002E-3</v>
      </c>
      <c r="J81" s="396">
        <f>'Porosity and Density'!J57</f>
        <v>1.851E-3</v>
      </c>
      <c r="K81" s="396">
        <f>'Porosity and Density'!K57</f>
        <v>1.6559807653776798E-6</v>
      </c>
      <c r="L81" s="396">
        <f>'Porosity and Density'!L57</f>
        <v>6.1580845521939505E-7</v>
      </c>
      <c r="M81" s="396">
        <f>'Porosity and Density'!M57</f>
        <v>0.37186932849364801</v>
      </c>
      <c r="N81" s="396">
        <f>'Porosity and Density'!N57</f>
        <v>1744.7666424682395</v>
      </c>
      <c r="O81" s="396">
        <f>'Porosity and Density'!O57</f>
        <v>2777.7128575556203</v>
      </c>
      <c r="P81" s="396">
        <f>'Porosity and Density'!P57</f>
        <v>2115.9666061705989</v>
      </c>
      <c r="Q81" s="396">
        <f>'Porosity and Density'!Q57</f>
        <v>0.21275049319904479</v>
      </c>
      <c r="R81" s="419">
        <f>Q81*100</f>
        <v>21.275049319904479</v>
      </c>
      <c r="S81" s="397">
        <f>'Porosity and Density'!R57</f>
        <v>0.37186932849364801</v>
      </c>
    </row>
    <row r="82" spans="1:20" ht="15.75" thickBot="1" x14ac:dyDescent="0.3">
      <c r="A82" s="530"/>
      <c r="B82" s="531"/>
      <c r="C82" s="530"/>
      <c r="D82" s="115" t="s">
        <v>137</v>
      </c>
      <c r="E82" s="398">
        <f>'Porosity and Density'!E58</f>
        <v>2.9674999999999998</v>
      </c>
      <c r="F82" s="399">
        <f>'Porosity and Density'!F58</f>
        <v>3.5979999999999999</v>
      </c>
      <c r="G82" s="399">
        <f>'Porosity and Density'!G58</f>
        <v>1.901</v>
      </c>
      <c r="H82" s="399">
        <f>'Porosity and Density'!H58</f>
        <v>2.9674999999999997E-3</v>
      </c>
      <c r="I82" s="399">
        <f>'Porosity and Density'!I58</f>
        <v>3.5980000000000001E-3</v>
      </c>
      <c r="J82" s="399">
        <f>'Porosity and Density'!J58</f>
        <v>1.9010000000000001E-3</v>
      </c>
      <c r="K82" s="399">
        <f>'Porosity and Density'!K58</f>
        <v>1.7000601081947504E-6</v>
      </c>
      <c r="L82" s="399">
        <f>'Porosity and Density'!L58</f>
        <v>6.3163694650370709E-7</v>
      </c>
      <c r="M82" s="399">
        <f>'Porosity and Density'!M58</f>
        <v>0.37153800824985295</v>
      </c>
      <c r="N82" s="399">
        <f>'Porosity and Density'!N58</f>
        <v>1745.5265173836181</v>
      </c>
      <c r="O82" s="399">
        <f>'Porosity and Density'!O58</f>
        <v>2777.4575714955477</v>
      </c>
      <c r="P82" s="399">
        <f>'Porosity and Density'!P58</f>
        <v>2116.3957572186214</v>
      </c>
      <c r="Q82" s="399">
        <f>'Porosity and Density'!Q58</f>
        <v>0.212468407750632</v>
      </c>
      <c r="R82" s="419">
        <f>Q82*100</f>
        <v>21.246840775063198</v>
      </c>
      <c r="S82" s="400">
        <f>'Porosity and Density'!R58</f>
        <v>0.37153800824985295</v>
      </c>
    </row>
    <row r="83" spans="1:20" x14ac:dyDescent="0.25">
      <c r="A83" s="530"/>
      <c r="B83" s="302"/>
      <c r="C83" s="530"/>
      <c r="D83" s="390" t="s">
        <v>161</v>
      </c>
      <c r="E83" s="393">
        <f>AVERAGE(E80:E82)</f>
        <v>2.9545999999999997</v>
      </c>
      <c r="F83" s="393">
        <f t="shared" ref="F83" si="158">AVERAGE(F80:F82)</f>
        <v>3.5876666666666668</v>
      </c>
      <c r="G83" s="393">
        <f t="shared" ref="G83" si="159">AVERAGE(G80:G82)</f>
        <v>1.8936666666666666</v>
      </c>
      <c r="H83" s="393">
        <f t="shared" ref="H83" si="160">AVERAGE(H80:H82)</f>
        <v>2.9545999999999999E-3</v>
      </c>
      <c r="I83" s="393">
        <f t="shared" ref="I83" si="161">AVERAGE(I80:I82)</f>
        <v>3.5876666666666665E-3</v>
      </c>
      <c r="J83" s="393">
        <f t="shared" ref="J83" si="162">AVERAGE(J80:J82)</f>
        <v>1.8936666666666668E-3</v>
      </c>
      <c r="K83" s="393">
        <f t="shared" ref="K83" si="163">AVERAGE(K80:K82)</f>
        <v>1.6970546984572231E-6</v>
      </c>
      <c r="L83" s="393">
        <f t="shared" ref="L83" si="164">AVERAGE(L80:L82)</f>
        <v>6.3420824150136932E-7</v>
      </c>
      <c r="M83" s="393">
        <f t="shared" ref="M83" si="165">AVERAGE(M80:M82)</f>
        <v>0.37366849638948113</v>
      </c>
      <c r="N83" s="393">
        <f t="shared" ref="N83" si="166">AVERAGE(N80:N82)</f>
        <v>1741.1037630607041</v>
      </c>
      <c r="O83" s="393">
        <f t="shared" ref="O83" si="167">AVERAGE(O80:O82)</f>
        <v>2779.8581083850218</v>
      </c>
      <c r="P83" s="393">
        <f t="shared" ref="P83" si="168">AVERAGE(P80:P82)</f>
        <v>2114.099656156684</v>
      </c>
      <c r="Q83" s="393">
        <f t="shared" ref="Q83:R83" si="169">AVERAGE(Q80:Q82)</f>
        <v>0.21423713946964618</v>
      </c>
      <c r="R83" s="393">
        <f t="shared" si="169"/>
        <v>21.423713946964615</v>
      </c>
      <c r="S83" s="394">
        <f t="shared" ref="S83" si="170">AVERAGE(S80:S82)</f>
        <v>0.37366849638948113</v>
      </c>
    </row>
    <row r="84" spans="1:20" ht="15.75" thickBot="1" x14ac:dyDescent="0.3">
      <c r="A84" s="530"/>
      <c r="B84" s="302"/>
      <c r="C84" s="530"/>
      <c r="D84" s="391" t="s">
        <v>162</v>
      </c>
      <c r="E84" s="399">
        <f>STDEV(E80:E82)</f>
        <v>5.9901001661074121E-2</v>
      </c>
      <c r="F84" s="399">
        <f t="shared" ref="F84:S84" si="171">STDEV(F80:F82)</f>
        <v>7.9008438367894188E-2</v>
      </c>
      <c r="G84" s="399">
        <f t="shared" si="171"/>
        <v>3.9513710700633219E-2</v>
      </c>
      <c r="H84" s="399">
        <f t="shared" si="171"/>
        <v>5.9901001661074084E-5</v>
      </c>
      <c r="I84" s="399">
        <f t="shared" si="171"/>
        <v>7.900843836789419E-5</v>
      </c>
      <c r="J84" s="399">
        <f t="shared" si="171"/>
        <v>3.9513710700633265E-5</v>
      </c>
      <c r="K84" s="399">
        <f t="shared" si="171"/>
        <v>3.9656732945080131E-8</v>
      </c>
      <c r="L84" s="399">
        <f t="shared" si="171"/>
        <v>1.9810981086564744E-8</v>
      </c>
      <c r="M84" s="399">
        <f t="shared" si="171"/>
        <v>3.4072115716175509E-3</v>
      </c>
      <c r="N84" s="399">
        <f t="shared" si="171"/>
        <v>7.0126640507723881</v>
      </c>
      <c r="O84" s="399">
        <f t="shared" si="171"/>
        <v>3.9388364058336376</v>
      </c>
      <c r="P84" s="399">
        <f t="shared" si="171"/>
        <v>3.6116877426794534</v>
      </c>
      <c r="Q84" s="399">
        <f t="shared" si="171"/>
        <v>2.8227659204239103E-3</v>
      </c>
      <c r="R84" s="399">
        <f t="shared" si="171"/>
        <v>0.28227659204239153</v>
      </c>
      <c r="S84" s="400">
        <f t="shared" si="171"/>
        <v>3.4072115716175509E-3</v>
      </c>
    </row>
    <row r="85" spans="1:20" x14ac:dyDescent="0.25">
      <c r="A85" s="530"/>
      <c r="B85" s="532" t="s">
        <v>20</v>
      </c>
      <c r="C85" s="530"/>
      <c r="D85" s="113" t="s">
        <v>135</v>
      </c>
      <c r="E85" s="392">
        <f>'Porosity and Density'!E59</f>
        <v>3.0438000000000001</v>
      </c>
      <c r="F85" s="393">
        <f>'Porosity and Density'!F59</f>
        <v>3.516</v>
      </c>
      <c r="G85" s="393">
        <f>'Porosity and Density'!G59</f>
        <v>1.9079999999999999</v>
      </c>
      <c r="H85" s="393">
        <f>'Porosity and Density'!H59</f>
        <v>3.0438000000000002E-3</v>
      </c>
      <c r="I85" s="393">
        <f>'Porosity and Density'!I59</f>
        <v>3.516E-3</v>
      </c>
      <c r="J85" s="393">
        <f>'Porosity and Density'!J59</f>
        <v>1.908E-3</v>
      </c>
      <c r="K85" s="393">
        <f>'Porosity and Density'!K59</f>
        <v>1.6108996193147667E-6</v>
      </c>
      <c r="L85" s="393">
        <f>'Porosity and Density'!L59</f>
        <v>4.7305149268683618E-7</v>
      </c>
      <c r="M85" s="393">
        <f>'Porosity and Density'!M59</f>
        <v>0.29365671641791036</v>
      </c>
      <c r="N85" s="393">
        <f>'Porosity and Density'!N59</f>
        <v>1889.503208955224</v>
      </c>
      <c r="O85" s="393">
        <f>'Porosity and Density'!O59</f>
        <v>2675.0494453248807</v>
      </c>
      <c r="P85" s="393">
        <f>'Porosity and Density'!P59</f>
        <v>2182.6313432835818</v>
      </c>
      <c r="Q85" s="393">
        <f>'Porosity and Density'!Q59</f>
        <v>0.15513502858269265</v>
      </c>
      <c r="R85" s="418">
        <f>Q85*100</f>
        <v>15.513502858269264</v>
      </c>
      <c r="S85" s="394">
        <f>'Porosity and Density'!R59</f>
        <v>0.29365671641791036</v>
      </c>
    </row>
    <row r="86" spans="1:20" x14ac:dyDescent="0.25">
      <c r="A86" s="530"/>
      <c r="B86" s="530"/>
      <c r="C86" s="530"/>
      <c r="D86" s="114" t="s">
        <v>136</v>
      </c>
      <c r="E86" s="395">
        <f>'Porosity and Density'!E60</f>
        <v>3.0409999999999999</v>
      </c>
      <c r="F86" s="396">
        <f>'Porosity and Density'!F60</f>
        <v>3.5030000000000001</v>
      </c>
      <c r="G86" s="396">
        <f>'Porosity and Density'!G60</f>
        <v>1.9079999999999999</v>
      </c>
      <c r="H86" s="396">
        <f>'Porosity and Density'!H60</f>
        <v>3.0409999999999999E-3</v>
      </c>
      <c r="I86" s="396">
        <f>'Porosity and Density'!I60</f>
        <v>3.503E-3</v>
      </c>
      <c r="J86" s="396">
        <f>'Porosity and Density'!J60</f>
        <v>1.908E-3</v>
      </c>
      <c r="K86" s="396">
        <f>'Porosity and Density'!K60</f>
        <v>1.5978761771188138E-6</v>
      </c>
      <c r="L86" s="396">
        <f>'Porosity and Density'!L60</f>
        <v>4.6283309957924278E-7</v>
      </c>
      <c r="M86" s="396">
        <f>'Porosity and Density'!M60</f>
        <v>0.28965517241379318</v>
      </c>
      <c r="N86" s="396">
        <f>'Porosity and Density'!N60</f>
        <v>1903.1512225705328</v>
      </c>
      <c r="O86" s="396">
        <f>'Porosity and Density'!O60</f>
        <v>2679.1934686672553</v>
      </c>
      <c r="P86" s="396">
        <f>'Porosity and Density'!P60</f>
        <v>2192.2850156739814</v>
      </c>
      <c r="Q86" s="396">
        <f>'Porosity and Density'!Q60</f>
        <v>0.15192370930614935</v>
      </c>
      <c r="R86" s="419">
        <f>Q86*100</f>
        <v>15.192370930614935</v>
      </c>
      <c r="S86" s="397">
        <f>'Porosity and Density'!R60</f>
        <v>0.28965517241379318</v>
      </c>
    </row>
    <row r="87" spans="1:20" ht="15.75" thickBot="1" x14ac:dyDescent="0.3">
      <c r="A87" s="533"/>
      <c r="B87" s="531"/>
      <c r="C87" s="530"/>
      <c r="D87" s="115" t="s">
        <v>137</v>
      </c>
      <c r="E87" s="398">
        <f>'Porosity and Density'!E61</f>
        <v>2.9792000000000001</v>
      </c>
      <c r="F87" s="399">
        <f>'Porosity and Density'!F61</f>
        <v>3.4359999999999999</v>
      </c>
      <c r="G87" s="399">
        <f>'Porosity and Density'!G61</f>
        <v>1.869</v>
      </c>
      <c r="H87" s="399">
        <f>'Porosity and Density'!H61</f>
        <v>2.9792E-3</v>
      </c>
      <c r="I87" s="399">
        <f>'Porosity and Density'!I61</f>
        <v>3.4359999999999998E-3</v>
      </c>
      <c r="J87" s="399">
        <f>'Porosity and Density'!J61</f>
        <v>1.869E-3</v>
      </c>
      <c r="K87" s="399">
        <f>'Porosity and Density'!K61</f>
        <v>1.5698256862352232E-6</v>
      </c>
      <c r="L87" s="399">
        <f>'Porosity and Density'!L61</f>
        <v>4.5762372270086136E-7</v>
      </c>
      <c r="M87" s="399">
        <f>'Porosity and Density'!M61</f>
        <v>0.29151244416081679</v>
      </c>
      <c r="N87" s="399">
        <f>'Porosity and Density'!N61</f>
        <v>1897.7903254626679</v>
      </c>
      <c r="O87" s="399">
        <f>'Porosity and Density'!O61</f>
        <v>2678.650189155107</v>
      </c>
      <c r="P87" s="399">
        <f>'Porosity and Density'!P61</f>
        <v>2188.7780472239951</v>
      </c>
      <c r="Q87" s="399">
        <f>'Porosity and Density'!Q61</f>
        <v>0.15332975295381304</v>
      </c>
      <c r="R87" s="419">
        <f>Q87*100</f>
        <v>15.332975295381305</v>
      </c>
      <c r="S87" s="400">
        <f>'Porosity and Density'!R61</f>
        <v>0.29151244416081679</v>
      </c>
    </row>
    <row r="88" spans="1:20" x14ac:dyDescent="0.25">
      <c r="A88" s="336"/>
      <c r="B88" s="302"/>
      <c r="C88" s="530"/>
      <c r="D88" s="390" t="s">
        <v>161</v>
      </c>
      <c r="E88" s="393">
        <f>AVERAGE(E85:E87)</f>
        <v>3.0213333333333332</v>
      </c>
      <c r="F88" s="393">
        <f t="shared" ref="F88" si="172">AVERAGE(F85:F87)</f>
        <v>3.4849999999999999</v>
      </c>
      <c r="G88" s="393">
        <f t="shared" ref="G88" si="173">AVERAGE(G85:G87)</f>
        <v>1.8949999999999998</v>
      </c>
      <c r="H88" s="393">
        <f t="shared" ref="H88" si="174">AVERAGE(H85:H87)</f>
        <v>3.0213333333333329E-3</v>
      </c>
      <c r="I88" s="393">
        <f t="shared" ref="I88" si="175">AVERAGE(I85:I87)</f>
        <v>3.4849999999999998E-3</v>
      </c>
      <c r="J88" s="393">
        <f t="shared" ref="J88" si="176">AVERAGE(J85:J87)</f>
        <v>1.895E-3</v>
      </c>
      <c r="K88" s="393">
        <f t="shared" ref="K88" si="177">AVERAGE(K85:K87)</f>
        <v>1.5928671608896013E-6</v>
      </c>
      <c r="L88" s="393">
        <f t="shared" ref="L88" si="178">AVERAGE(L85:L87)</f>
        <v>4.6450277165564681E-7</v>
      </c>
      <c r="M88" s="393">
        <f t="shared" ref="M88" si="179">AVERAGE(M85:M87)</f>
        <v>0.29160811099750678</v>
      </c>
      <c r="N88" s="393">
        <f t="shared" ref="N88" si="180">AVERAGE(N85:N87)</f>
        <v>1896.8149189961416</v>
      </c>
      <c r="O88" s="393">
        <f t="shared" ref="O88" si="181">AVERAGE(O85:O87)</f>
        <v>2677.6310343824143</v>
      </c>
      <c r="P88" s="393">
        <f t="shared" ref="P88" si="182">AVERAGE(P85:P87)</f>
        <v>2187.898135393853</v>
      </c>
      <c r="Q88" s="393">
        <f t="shared" ref="Q88:R88" si="183">AVERAGE(Q85:Q87)</f>
        <v>0.153462830280885</v>
      </c>
      <c r="R88" s="393">
        <f t="shared" si="183"/>
        <v>15.3462830280885</v>
      </c>
      <c r="S88" s="394">
        <f t="shared" ref="S88" si="184">AVERAGE(S85:S87)</f>
        <v>0.29160811099750678</v>
      </c>
    </row>
    <row r="89" spans="1:20" ht="15.75" thickBot="1" x14ac:dyDescent="0.3">
      <c r="A89" s="336"/>
      <c r="B89" s="302"/>
      <c r="C89" s="530"/>
      <c r="D89" s="391" t="s">
        <v>162</v>
      </c>
      <c r="E89" s="399">
        <f>STDEV(E85:E87)</f>
        <v>3.6515384885460682E-2</v>
      </c>
      <c r="F89" s="399">
        <f t="shared" ref="F89:S89" si="185">STDEV(F85:F87)</f>
        <v>4.2930175867331423E-2</v>
      </c>
      <c r="G89" s="399">
        <f t="shared" si="185"/>
        <v>2.2516660498395361E-2</v>
      </c>
      <c r="H89" s="399">
        <f t="shared" si="185"/>
        <v>3.6515384885460734E-5</v>
      </c>
      <c r="I89" s="399">
        <f t="shared" si="185"/>
        <v>4.2930175867331485E-5</v>
      </c>
      <c r="J89" s="399">
        <f t="shared" si="185"/>
        <v>2.251666049839539E-5</v>
      </c>
      <c r="K89" s="399">
        <f t="shared" si="185"/>
        <v>2.0990109036021962E-8</v>
      </c>
      <c r="L89" s="399">
        <f t="shared" si="185"/>
        <v>7.8482402688168732E-9</v>
      </c>
      <c r="M89" s="399">
        <f t="shared" si="185"/>
        <v>2.0024866321534411E-3</v>
      </c>
      <c r="N89" s="399">
        <f t="shared" si="185"/>
        <v>6.8760913491692346</v>
      </c>
      <c r="O89" s="399">
        <f t="shared" si="185"/>
        <v>2.252163338562061</v>
      </c>
      <c r="P89" s="399">
        <f t="shared" si="185"/>
        <v>4.8866175701510803</v>
      </c>
      <c r="Q89" s="399">
        <f t="shared" si="185"/>
        <v>1.6097903761701773E-3</v>
      </c>
      <c r="R89" s="399">
        <f t="shared" si="185"/>
        <v>0.16097903761701721</v>
      </c>
      <c r="S89" s="400">
        <f t="shared" si="185"/>
        <v>2.0024866321534411E-3</v>
      </c>
    </row>
    <row r="90" spans="1:20" x14ac:dyDescent="0.25">
      <c r="A90" s="529" t="s">
        <v>296</v>
      </c>
      <c r="B90" s="532" t="s">
        <v>134</v>
      </c>
      <c r="C90" s="530"/>
      <c r="D90" s="113" t="s">
        <v>135</v>
      </c>
      <c r="E90" s="392">
        <f>'Porosity and Density'!E62</f>
        <v>2.8651</v>
      </c>
      <c r="F90" s="393">
        <f>'Porosity and Density'!F62</f>
        <v>3.45</v>
      </c>
      <c r="G90" s="393">
        <f>'Porosity and Density'!G62</f>
        <v>1.835</v>
      </c>
      <c r="H90" s="393">
        <f>'Porosity and Density'!H62</f>
        <v>2.8651000000000002E-3</v>
      </c>
      <c r="I90" s="393">
        <f>'Porosity and Density'!I62</f>
        <v>3.4500000000000004E-3</v>
      </c>
      <c r="J90" s="393">
        <f>'Porosity and Density'!J62</f>
        <v>1.835E-3</v>
      </c>
      <c r="K90" s="393">
        <f>'Porosity and Density'!K62</f>
        <v>1.6179122420356645E-6</v>
      </c>
      <c r="L90" s="393">
        <f>'Porosity and Density'!L62</f>
        <v>5.859547184932881E-7</v>
      </c>
      <c r="M90" s="393">
        <f>'Porosity and Density'!M62</f>
        <v>0.36216718266253878</v>
      </c>
      <c r="N90" s="393">
        <f>'Porosity and Density'!N62</f>
        <v>1770.8624272445818</v>
      </c>
      <c r="O90" s="393">
        <f>'Porosity and Density'!O62</f>
        <v>2776.3739636928453</v>
      </c>
      <c r="P90" s="393">
        <f>'Porosity and Density'!P62</f>
        <v>2132.377708978328</v>
      </c>
      <c r="Q90" s="393">
        <f>'Porosity and Density'!Q62</f>
        <v>0.20414645213081573</v>
      </c>
      <c r="R90" s="418">
        <f>Q90*100</f>
        <v>20.414645213081574</v>
      </c>
      <c r="S90" s="394">
        <f>'Porosity and Density'!R62</f>
        <v>0.36216718266253878</v>
      </c>
    </row>
    <row r="91" spans="1:20" x14ac:dyDescent="0.25">
      <c r="A91" s="530"/>
      <c r="B91" s="530"/>
      <c r="C91" s="530"/>
      <c r="D91" s="114" t="s">
        <v>136</v>
      </c>
      <c r="E91" s="395">
        <f>'Porosity and Density'!E63</f>
        <v>2.8910999999999998</v>
      </c>
      <c r="F91" s="396">
        <f>'Porosity and Density'!F63</f>
        <v>3.4689999999999999</v>
      </c>
      <c r="G91" s="396">
        <f>'Porosity and Density'!G63</f>
        <v>1.851</v>
      </c>
      <c r="H91" s="396">
        <f>'Porosity and Density'!H63</f>
        <v>2.8910999999999997E-3</v>
      </c>
      <c r="I91" s="396">
        <f>'Porosity and Density'!I63</f>
        <v>3.4689999999999999E-3</v>
      </c>
      <c r="J91" s="396">
        <f>'Porosity and Density'!J63</f>
        <v>1.851E-3</v>
      </c>
      <c r="K91" s="396">
        <f>'Porosity and Density'!K63</f>
        <v>1.6209176517731916E-6</v>
      </c>
      <c r="L91" s="396">
        <f>'Porosity and Density'!L63</f>
        <v>5.7894209577239039E-7</v>
      </c>
      <c r="M91" s="396">
        <f>'Porosity and Density'!M63</f>
        <v>0.35716934487021024</v>
      </c>
      <c r="N91" s="396">
        <f>'Porosity and Density'!N63</f>
        <v>1783.6192954264525</v>
      </c>
      <c r="O91" s="396">
        <f>'Porosity and Density'!O63</f>
        <v>2774.6332275742725</v>
      </c>
      <c r="P91" s="396">
        <f>'Porosity and Density'!P63</f>
        <v>2140.1457354758963</v>
      </c>
      <c r="Q91" s="396">
        <f>'Porosity and Density'!Q63</f>
        <v>0.19988931548545541</v>
      </c>
      <c r="R91" s="419">
        <f>Q91*100</f>
        <v>19.988931548545541</v>
      </c>
      <c r="S91" s="397">
        <f>'Porosity and Density'!R63</f>
        <v>0.35716934487021024</v>
      </c>
      <c r="T91" s="116"/>
    </row>
    <row r="92" spans="1:20" ht="15.75" thickBot="1" x14ac:dyDescent="0.3">
      <c r="A92" s="530"/>
      <c r="B92" s="531"/>
      <c r="C92" s="530"/>
      <c r="D92" s="115" t="s">
        <v>137</v>
      </c>
      <c r="E92" s="398">
        <f>'Porosity and Density'!E64</f>
        <v>2.9567999999999999</v>
      </c>
      <c r="F92" s="399">
        <f>'Porosity and Density'!F64</f>
        <v>3.544</v>
      </c>
      <c r="G92" s="399">
        <f>'Porosity and Density'!G64</f>
        <v>1.893</v>
      </c>
      <c r="H92" s="399">
        <f>'Porosity and Density'!H64</f>
        <v>2.9567999999999999E-3</v>
      </c>
      <c r="I92" s="399">
        <f>'Porosity and Density'!I64</f>
        <v>3.5440000000000003E-3</v>
      </c>
      <c r="J92" s="399">
        <f>'Porosity and Density'!J64</f>
        <v>1.8930000000000002E-3</v>
      </c>
      <c r="K92" s="399">
        <f>'Porosity and Density'!K64</f>
        <v>1.6539771588859949E-6</v>
      </c>
      <c r="L92" s="399">
        <f>'Porosity and Density'!L64</f>
        <v>5.8825886595872611E-7</v>
      </c>
      <c r="M92" s="399">
        <f>'Porosity and Density'!M64</f>
        <v>0.35566323440339209</v>
      </c>
      <c r="N92" s="399">
        <f>'Porosity and Density'!N64</f>
        <v>1787.6909509388247</v>
      </c>
      <c r="O92" s="399">
        <f>'Porosity and Density'!O64</f>
        <v>2774.4667794698262</v>
      </c>
      <c r="P92" s="399">
        <f>'Porosity and Density'!P64</f>
        <v>2142.7139915202906</v>
      </c>
      <c r="Q92" s="399">
        <f>'Porosity and Density'!Q64</f>
        <v>0.19859307359307374</v>
      </c>
      <c r="R92" s="419">
        <f>Q92*100</f>
        <v>19.859307359307373</v>
      </c>
      <c r="S92" s="400">
        <f>'Porosity and Density'!R64</f>
        <v>0.35566323440339209</v>
      </c>
      <c r="T92" s="116"/>
    </row>
    <row r="93" spans="1:20" x14ac:dyDescent="0.25">
      <c r="A93" s="530"/>
      <c r="B93" s="302"/>
      <c r="C93" s="530"/>
      <c r="D93" s="390" t="s">
        <v>161</v>
      </c>
      <c r="E93" s="393">
        <f>AVERAGE(E90:E92)</f>
        <v>2.9043333333333332</v>
      </c>
      <c r="F93" s="393">
        <f t="shared" ref="F93" si="186">AVERAGE(F90:F92)</f>
        <v>3.4876666666666671</v>
      </c>
      <c r="G93" s="393">
        <f t="shared" ref="G93" si="187">AVERAGE(G90:G92)</f>
        <v>1.8596666666666666</v>
      </c>
      <c r="H93" s="393">
        <f t="shared" ref="H93" si="188">AVERAGE(H90:H92)</f>
        <v>2.904333333333333E-3</v>
      </c>
      <c r="I93" s="393">
        <f t="shared" ref="I93" si="189">AVERAGE(I90:I92)</f>
        <v>3.4876666666666667E-3</v>
      </c>
      <c r="J93" s="393">
        <f t="shared" ref="J93" si="190">AVERAGE(J90:J92)</f>
        <v>1.8596666666666668E-3</v>
      </c>
      <c r="K93" s="393">
        <f t="shared" ref="K93" si="191">AVERAGE(K90:K92)</f>
        <v>1.6309356842316169E-6</v>
      </c>
      <c r="L93" s="393">
        <f t="shared" ref="L93" si="192">AVERAGE(L90:L92)</f>
        <v>5.8438522674146824E-7</v>
      </c>
      <c r="M93" s="393">
        <f t="shared" ref="M93" si="193">AVERAGE(M90:M92)</f>
        <v>0.35833325397871368</v>
      </c>
      <c r="N93" s="393">
        <f t="shared" ref="N93" si="194">AVERAGE(N90:N92)</f>
        <v>1780.7242245366197</v>
      </c>
      <c r="O93" s="393">
        <f t="shared" ref="O93" si="195">AVERAGE(O90:O92)</f>
        <v>2775.1579902456483</v>
      </c>
      <c r="P93" s="393">
        <f t="shared" ref="P93" si="196">AVERAGE(P90:P92)</f>
        <v>2138.4124786581715</v>
      </c>
      <c r="Q93" s="393">
        <f t="shared" ref="Q93:R93" si="197">AVERAGE(Q90:Q92)</f>
        <v>0.20087628040311498</v>
      </c>
      <c r="R93" s="393">
        <f t="shared" si="197"/>
        <v>20.087628040311497</v>
      </c>
      <c r="S93" s="394">
        <f t="shared" ref="S93" si="198">AVERAGE(S90:S92)</f>
        <v>0.35833325397871368</v>
      </c>
    </row>
    <row r="94" spans="1:20" ht="15.75" thickBot="1" x14ac:dyDescent="0.3">
      <c r="A94" s="530"/>
      <c r="B94" s="302"/>
      <c r="C94" s="530"/>
      <c r="D94" s="391" t="s">
        <v>162</v>
      </c>
      <c r="E94" s="399">
        <f>STDEV(E90:E92)</f>
        <v>4.7260589642251931E-2</v>
      </c>
      <c r="F94" s="399">
        <f t="shared" ref="F94:S94" si="199">STDEV(F90:F92)</f>
        <v>4.9702447961175227E-2</v>
      </c>
      <c r="G94" s="399">
        <f t="shared" si="199"/>
        <v>2.9955522584881322E-2</v>
      </c>
      <c r="H94" s="399">
        <f t="shared" si="199"/>
        <v>4.7260589642251846E-5</v>
      </c>
      <c r="I94" s="399">
        <f t="shared" si="199"/>
        <v>4.9702447961175288E-5</v>
      </c>
      <c r="J94" s="399">
        <f t="shared" si="199"/>
        <v>2.9955522584881361E-5</v>
      </c>
      <c r="K94" s="399">
        <f t="shared" si="199"/>
        <v>2.001100416293146E-8</v>
      </c>
      <c r="L94" s="399">
        <f t="shared" si="199"/>
        <v>4.8526312393918392E-9</v>
      </c>
      <c r="M94" s="399">
        <f t="shared" si="199"/>
        <v>3.4046070329859361E-3</v>
      </c>
      <c r="N94" s="399">
        <f t="shared" si="199"/>
        <v>8.7798564353178215</v>
      </c>
      <c r="O94" s="399">
        <f t="shared" si="199"/>
        <v>1.0563473912899897</v>
      </c>
      <c r="P94" s="399">
        <f t="shared" si="199"/>
        <v>5.3817114930068772</v>
      </c>
      <c r="Q94" s="399">
        <f t="shared" si="199"/>
        <v>2.9052673039466387E-3</v>
      </c>
      <c r="R94" s="399">
        <f t="shared" si="199"/>
        <v>0.2905267303946652</v>
      </c>
      <c r="S94" s="400">
        <f t="shared" si="199"/>
        <v>3.4046070329859361E-3</v>
      </c>
    </row>
    <row r="95" spans="1:20" x14ac:dyDescent="0.25">
      <c r="A95" s="530"/>
      <c r="B95" s="532" t="s">
        <v>20</v>
      </c>
      <c r="C95" s="530"/>
      <c r="D95" s="113" t="s">
        <v>135</v>
      </c>
      <c r="E95" s="392">
        <f>'Porosity and Density'!E65</f>
        <v>2.9792999999999998</v>
      </c>
      <c r="F95" s="393">
        <f>'Porosity and Density'!F65</f>
        <v>3.4039999999999999</v>
      </c>
      <c r="G95" s="393">
        <f>'Porosity and Density'!G65</f>
        <v>1.8660000000000001</v>
      </c>
      <c r="H95" s="393">
        <f>'Porosity and Density'!H65</f>
        <v>2.9792999999999998E-3</v>
      </c>
      <c r="I95" s="393">
        <f>'Porosity and Density'!I65</f>
        <v>3.4039999999999999E-3</v>
      </c>
      <c r="J95" s="393">
        <f>'Porosity and Density'!J65</f>
        <v>1.866E-3</v>
      </c>
      <c r="K95" s="393">
        <f>'Porosity and Density'!K65</f>
        <v>1.5407733921057901E-6</v>
      </c>
      <c r="L95" s="393">
        <f>'Porosity and Density'!L65</f>
        <v>4.2546583850931684E-7</v>
      </c>
      <c r="M95" s="393">
        <f>'Porosity and Density'!M65</f>
        <v>0.27613784135240582</v>
      </c>
      <c r="N95" s="393">
        <f>'Porosity and Density'!N65</f>
        <v>1933.6393107932381</v>
      </c>
      <c r="O95" s="393">
        <f>'Porosity and Density'!O65</f>
        <v>2671.2811102128812</v>
      </c>
      <c r="P95" s="393">
        <f>'Porosity and Density'!P65</f>
        <v>2209.2801040312097</v>
      </c>
      <c r="Q95" s="393">
        <f>'Porosity and Density'!Q65</f>
        <v>0.1425502634847112</v>
      </c>
      <c r="R95" s="418">
        <f>Q95*100</f>
        <v>14.255026348471119</v>
      </c>
      <c r="S95" s="394">
        <f>'Porosity and Density'!R65</f>
        <v>0.27613784135240582</v>
      </c>
      <c r="T95" s="116"/>
    </row>
    <row r="96" spans="1:20" x14ac:dyDescent="0.25">
      <c r="A96" s="530"/>
      <c r="B96" s="530"/>
      <c r="C96" s="530"/>
      <c r="D96" s="114" t="s">
        <v>136</v>
      </c>
      <c r="E96" s="395">
        <f>'Porosity and Density'!E66</f>
        <v>2.9842</v>
      </c>
      <c r="F96" s="396">
        <f>'Porosity and Density'!F66</f>
        <v>3.3980000000000001</v>
      </c>
      <c r="G96" s="396">
        <f>'Porosity and Density'!G66</f>
        <v>1.86</v>
      </c>
      <c r="H96" s="396">
        <f>'Porosity and Density'!H66</f>
        <v>2.9842000000000002E-3</v>
      </c>
      <c r="I96" s="396">
        <f>'Porosity and Density'!I66</f>
        <v>3.3980000000000004E-3</v>
      </c>
      <c r="J96" s="396">
        <f>'Porosity and Density'!J66</f>
        <v>1.8600000000000001E-3</v>
      </c>
      <c r="K96" s="396">
        <f>'Porosity and Density'!K66</f>
        <v>1.5407733921057906E-6</v>
      </c>
      <c r="L96" s="396">
        <f>'Porosity and Density'!L66</f>
        <v>4.1454618312963351E-7</v>
      </c>
      <c r="M96" s="396">
        <f>'Porosity and Density'!M66</f>
        <v>0.26905071521456447</v>
      </c>
      <c r="N96" s="396">
        <f>'Porosity and Density'!N66</f>
        <v>1936.8195318595579</v>
      </c>
      <c r="O96" s="396">
        <f>'Porosity and Density'!O66</f>
        <v>2649.7317559153175</v>
      </c>
      <c r="P96" s="396">
        <f>'Porosity and Density'!P66</f>
        <v>2205.3859557867358</v>
      </c>
      <c r="Q96" s="396">
        <f>'Porosity and Density'!Q66</f>
        <v>0.1386636284431339</v>
      </c>
      <c r="R96" s="419">
        <f>Q96*100</f>
        <v>13.86636284431339</v>
      </c>
      <c r="S96" s="397">
        <f>'Porosity and Density'!R66</f>
        <v>0.26905071521456447</v>
      </c>
      <c r="T96" s="117"/>
    </row>
    <row r="97" spans="1:20" ht="15.75" thickBot="1" x14ac:dyDescent="0.3">
      <c r="A97" s="533"/>
      <c r="B97" s="531"/>
      <c r="C97" s="530"/>
      <c r="D97" s="115" t="s">
        <v>137</v>
      </c>
      <c r="E97" s="398">
        <f>'Porosity and Density'!E67</f>
        <v>3.0301</v>
      </c>
      <c r="F97" s="399">
        <f>'Porosity and Density'!F67</f>
        <v>3.431</v>
      </c>
      <c r="G97" s="399">
        <f>'Porosity and Density'!G67</f>
        <v>1.891</v>
      </c>
      <c r="H97" s="399">
        <f>'Porosity and Density'!H67</f>
        <v>3.0301E-3</v>
      </c>
      <c r="I97" s="399">
        <f>'Porosity and Density'!I67</f>
        <v>3.431E-3</v>
      </c>
      <c r="J97" s="399">
        <f>'Porosity and Density'!J67</f>
        <v>1.8910000000000001E-3</v>
      </c>
      <c r="K97" s="399">
        <f>'Porosity and Density'!K67</f>
        <v>1.5427769985974753E-6</v>
      </c>
      <c r="L97" s="399">
        <f>'Porosity and Density'!L67</f>
        <v>4.0162292125826493E-7</v>
      </c>
      <c r="M97" s="399">
        <f>'Porosity and Density'!M67</f>
        <v>0.2603246753246754</v>
      </c>
      <c r="N97" s="399">
        <f>'Porosity and Density'!N67</f>
        <v>1964.0557272727274</v>
      </c>
      <c r="O97" s="399">
        <f>'Porosity and Density'!O67</f>
        <v>2655.2943727504176</v>
      </c>
      <c r="P97" s="399">
        <f>'Porosity and Density'!P67</f>
        <v>2223.9118181818185</v>
      </c>
      <c r="Q97" s="399">
        <f>'Porosity and Density'!Q67</f>
        <v>0.13230586449292103</v>
      </c>
      <c r="R97" s="419">
        <f>Q97*100</f>
        <v>13.230586449292103</v>
      </c>
      <c r="S97" s="400">
        <f>'Porosity and Density'!R67</f>
        <v>0.2603246753246754</v>
      </c>
      <c r="T97" s="117"/>
    </row>
    <row r="98" spans="1:20" x14ac:dyDescent="0.25">
      <c r="A98" s="336"/>
      <c r="B98" s="302"/>
      <c r="C98" s="530"/>
      <c r="D98" s="390" t="s">
        <v>161</v>
      </c>
      <c r="E98" s="393">
        <f>AVERAGE(E95:E97)</f>
        <v>2.9978666666666669</v>
      </c>
      <c r="F98" s="393">
        <f t="shared" ref="F98" si="200">AVERAGE(F95:F97)</f>
        <v>3.411</v>
      </c>
      <c r="G98" s="393">
        <f t="shared" ref="G98" si="201">AVERAGE(G95:G97)</f>
        <v>1.8723333333333334</v>
      </c>
      <c r="H98" s="393">
        <f t="shared" ref="H98" si="202">AVERAGE(H95:H97)</f>
        <v>2.9978666666666668E-3</v>
      </c>
      <c r="I98" s="393">
        <f t="shared" ref="I98" si="203">AVERAGE(I95:I97)</f>
        <v>3.4110000000000004E-3</v>
      </c>
      <c r="J98" s="393">
        <f t="shared" ref="J98" si="204">AVERAGE(J95:J97)</f>
        <v>1.8723333333333335E-3</v>
      </c>
      <c r="K98" s="393">
        <f t="shared" ref="K98" si="205">AVERAGE(K95:K97)</f>
        <v>1.5414412609363521E-6</v>
      </c>
      <c r="L98" s="393">
        <f t="shared" ref="L98" si="206">AVERAGE(L95:L97)</f>
        <v>4.1387831429907174E-7</v>
      </c>
      <c r="M98" s="393">
        <f t="shared" ref="M98" si="207">AVERAGE(M95:M97)</f>
        <v>0.26850441063054858</v>
      </c>
      <c r="N98" s="393">
        <f t="shared" ref="N98" si="208">AVERAGE(N95:N97)</f>
        <v>1944.8381899751746</v>
      </c>
      <c r="O98" s="393">
        <f t="shared" ref="O98" si="209">AVERAGE(O95:O97)</f>
        <v>2658.7690796262054</v>
      </c>
      <c r="P98" s="393">
        <f t="shared" ref="P98" si="210">AVERAGE(P95:P97)</f>
        <v>2212.8592926665883</v>
      </c>
      <c r="Q98" s="393">
        <f t="shared" ref="Q98:R98" si="211">AVERAGE(Q95:Q97)</f>
        <v>0.13783991880692203</v>
      </c>
      <c r="R98" s="393">
        <f t="shared" si="211"/>
        <v>13.783991880692204</v>
      </c>
      <c r="S98" s="394">
        <f t="shared" ref="S98" si="212">AVERAGE(S95:S97)</f>
        <v>0.26850441063054858</v>
      </c>
    </row>
    <row r="99" spans="1:20" ht="15.75" thickBot="1" x14ac:dyDescent="0.3">
      <c r="A99" s="336"/>
      <c r="B99" s="302"/>
      <c r="C99" s="530"/>
      <c r="D99" s="391" t="s">
        <v>162</v>
      </c>
      <c r="E99" s="399">
        <f>STDEV(E95:E97)</f>
        <v>2.8022193585323353E-2</v>
      </c>
      <c r="F99" s="399">
        <f t="shared" ref="F99:S99" si="213">STDEV(F95:F97)</f>
        <v>1.7578395831246943E-2</v>
      </c>
      <c r="G99" s="399">
        <f t="shared" si="213"/>
        <v>1.6441816606851317E-2</v>
      </c>
      <c r="H99" s="399">
        <f t="shared" si="213"/>
        <v>2.8022193585323272E-5</v>
      </c>
      <c r="I99" s="399">
        <f t="shared" si="213"/>
        <v>1.7578395831246825E-5</v>
      </c>
      <c r="J99" s="399">
        <f t="shared" si="213"/>
        <v>1.6441816606851374E-5</v>
      </c>
      <c r="K99" s="399">
        <f t="shared" si="213"/>
        <v>1.1567827473243818E-9</v>
      </c>
      <c r="L99" s="399">
        <f t="shared" si="213"/>
        <v>1.1935481236265848E-8</v>
      </c>
      <c r="M99" s="399">
        <f t="shared" si="213"/>
        <v>7.9207254389373604E-3</v>
      </c>
      <c r="N99" s="399">
        <f t="shared" si="213"/>
        <v>16.718664909160495</v>
      </c>
      <c r="O99" s="399">
        <f t="shared" si="213"/>
        <v>11.1869950641344</v>
      </c>
      <c r="P99" s="399">
        <f t="shared" si="213"/>
        <v>9.7677959559001959</v>
      </c>
      <c r="Q99" s="399">
        <f t="shared" si="213"/>
        <v>5.1716342532452005E-3</v>
      </c>
      <c r="R99" s="399">
        <f t="shared" si="213"/>
        <v>0.51716342532452009</v>
      </c>
      <c r="S99" s="400">
        <f t="shared" si="213"/>
        <v>7.9207254389373604E-3</v>
      </c>
    </row>
    <row r="100" spans="1:20" x14ac:dyDescent="0.25">
      <c r="A100" s="529" t="s">
        <v>297</v>
      </c>
      <c r="B100" s="532" t="s">
        <v>134</v>
      </c>
      <c r="C100" s="530"/>
      <c r="D100" s="113" t="s">
        <v>135</v>
      </c>
      <c r="E100" s="392">
        <f>'Porosity and Density'!E68</f>
        <v>2.9416000000000002</v>
      </c>
      <c r="F100" s="393">
        <f>'Porosity and Density'!F68</f>
        <v>3.3610000000000002</v>
      </c>
      <c r="G100" s="393">
        <f>'Porosity and Density'!G68</f>
        <v>1.875</v>
      </c>
      <c r="H100" s="393">
        <f>'Porosity and Density'!H68</f>
        <v>2.9416000000000004E-3</v>
      </c>
      <c r="I100" s="393">
        <f>'Porosity and Density'!I68</f>
        <v>3.3610000000000003E-3</v>
      </c>
      <c r="J100" s="393">
        <f>'Porosity and Density'!J68</f>
        <v>1.8749999999999999E-3</v>
      </c>
      <c r="K100" s="393">
        <f>'Porosity and Density'!K68</f>
        <v>1.4886796233219798E-6</v>
      </c>
      <c r="L100" s="393">
        <f>'Porosity and Density'!L68</f>
        <v>4.2015628130635131E-7</v>
      </c>
      <c r="M100" s="393">
        <f>'Porosity and Density'!M68</f>
        <v>0.28223418573351267</v>
      </c>
      <c r="N100" s="393">
        <f>'Porosity and Density'!N68</f>
        <v>1975.9792193808883</v>
      </c>
      <c r="O100" s="393">
        <f>'Porosity and Density'!O68</f>
        <v>2752.9581098818671</v>
      </c>
      <c r="P100" s="393">
        <f>'Porosity and Density'!P68</f>
        <v>2257.7053835800807</v>
      </c>
      <c r="Q100" s="393">
        <f>'Porosity and Density'!Q68</f>
        <v>0.14257546913244487</v>
      </c>
      <c r="R100" s="418">
        <f>Q100*100</f>
        <v>14.257546913244488</v>
      </c>
      <c r="S100" s="394">
        <f>'Porosity and Density'!R68</f>
        <v>0.28223418573351267</v>
      </c>
      <c r="T100" s="117"/>
    </row>
    <row r="101" spans="1:20" x14ac:dyDescent="0.25">
      <c r="A101" s="530"/>
      <c r="B101" s="530"/>
      <c r="C101" s="530"/>
      <c r="D101" s="114" t="s">
        <v>136</v>
      </c>
      <c r="E101" s="395">
        <f>'Porosity and Density'!E69</f>
        <v>2.8702999999999999</v>
      </c>
      <c r="F101" s="396">
        <f>'Porosity and Density'!F69</f>
        <v>3.2749999999999999</v>
      </c>
      <c r="G101" s="396">
        <f>'Porosity and Density'!G69</f>
        <v>1.833</v>
      </c>
      <c r="H101" s="396">
        <f>'Porosity and Density'!H69</f>
        <v>2.8703000000000001E-3</v>
      </c>
      <c r="I101" s="396">
        <f>'Porosity and Density'!I69</f>
        <v>3.2750000000000001E-3</v>
      </c>
      <c r="J101" s="396">
        <f>'Porosity and Density'!J69</f>
        <v>1.833E-3</v>
      </c>
      <c r="K101" s="396">
        <f>'Porosity and Density'!K69</f>
        <v>1.444600280504909E-6</v>
      </c>
      <c r="L101" s="396">
        <f>'Porosity and Density'!L69</f>
        <v>4.0542977359246643E-7</v>
      </c>
      <c r="M101" s="396">
        <f>'Porosity and Density'!M69</f>
        <v>0.28065187239944517</v>
      </c>
      <c r="N101" s="396">
        <f>'Porosity and Density'!N69</f>
        <v>1986.9164077669902</v>
      </c>
      <c r="O101" s="396">
        <f>'Porosity and Density'!O69</f>
        <v>2762.1068736141901</v>
      </c>
      <c r="P101" s="396">
        <f>'Porosity and Density'!P69</f>
        <v>2267.0631067961162</v>
      </c>
      <c r="Q101" s="396">
        <f>'Porosity and Density'!Q69</f>
        <v>0.14099571473365155</v>
      </c>
      <c r="R101" s="419">
        <f>Q101*100</f>
        <v>14.099571473365154</v>
      </c>
      <c r="S101" s="397">
        <f>'Porosity and Density'!R69</f>
        <v>0.28065187239944517</v>
      </c>
    </row>
    <row r="102" spans="1:20" ht="15.75" thickBot="1" x14ac:dyDescent="0.3">
      <c r="A102" s="530"/>
      <c r="B102" s="531"/>
      <c r="C102" s="530"/>
      <c r="D102" s="115" t="s">
        <v>137</v>
      </c>
      <c r="E102" s="398">
        <f>'Porosity and Density'!E70</f>
        <v>2.9841000000000002</v>
      </c>
      <c r="F102" s="399">
        <f>'Porosity and Density'!F70</f>
        <v>3.387</v>
      </c>
      <c r="G102" s="399">
        <f>'Porosity and Density'!G70</f>
        <v>1.905</v>
      </c>
      <c r="H102" s="399">
        <f>'Porosity and Density'!H70</f>
        <v>2.9841000000000004E-3</v>
      </c>
      <c r="I102" s="399">
        <f>'Porosity and Density'!I70</f>
        <v>3.3870000000000003E-3</v>
      </c>
      <c r="J102" s="399">
        <f>'Porosity and Density'!J70</f>
        <v>1.905E-3</v>
      </c>
      <c r="K102" s="399">
        <f>'Porosity and Density'!K70</f>
        <v>1.4846724103386097E-6</v>
      </c>
      <c r="L102" s="399">
        <f>'Porosity and Density'!L70</f>
        <v>4.0362652774994976E-7</v>
      </c>
      <c r="M102" s="399">
        <f>'Porosity and Density'!M70</f>
        <v>0.27186234817813754</v>
      </c>
      <c r="N102" s="399">
        <f>'Porosity and Density'!N70</f>
        <v>2009.9383400809716</v>
      </c>
      <c r="O102" s="399">
        <f>'Porosity and Density'!O70</f>
        <v>2760.3823742007221</v>
      </c>
      <c r="P102" s="399">
        <f>'Porosity and Density'!P70</f>
        <v>2281.3113360323887</v>
      </c>
      <c r="Q102" s="399">
        <f>'Porosity and Density'!Q70</f>
        <v>0.13501558258771482</v>
      </c>
      <c r="R102" s="419">
        <f>Q102*100</f>
        <v>13.501558258771482</v>
      </c>
      <c r="S102" s="400">
        <f>'Porosity and Density'!R70</f>
        <v>0.27186234817813754</v>
      </c>
    </row>
    <row r="103" spans="1:20" x14ac:dyDescent="0.25">
      <c r="A103" s="530"/>
      <c r="B103" s="302"/>
      <c r="C103" s="530"/>
      <c r="D103" s="390" t="s">
        <v>161</v>
      </c>
      <c r="E103" s="393">
        <f>AVERAGE(E100:E102)</f>
        <v>2.9319999999999999</v>
      </c>
      <c r="F103" s="393">
        <f t="shared" ref="F103" si="214">AVERAGE(F100:F102)</f>
        <v>3.3409999999999997</v>
      </c>
      <c r="G103" s="393">
        <f t="shared" ref="G103" si="215">AVERAGE(G100:G102)</f>
        <v>1.8710000000000002</v>
      </c>
      <c r="H103" s="393">
        <f t="shared" ref="H103" si="216">AVERAGE(H100:H102)</f>
        <v>2.9320000000000001E-3</v>
      </c>
      <c r="I103" s="393">
        <f t="shared" ref="I103" si="217">AVERAGE(I100:I102)</f>
        <v>3.3410000000000002E-3</v>
      </c>
      <c r="J103" s="393">
        <f t="shared" ref="J103" si="218">AVERAGE(J100:J102)</f>
        <v>1.8710000000000001E-3</v>
      </c>
      <c r="K103" s="393">
        <f t="shared" ref="K103" si="219">AVERAGE(K100:K102)</f>
        <v>1.4726507713884996E-6</v>
      </c>
      <c r="L103" s="393">
        <f t="shared" ref="L103" si="220">AVERAGE(L100:L102)</f>
        <v>4.0973752754958922E-7</v>
      </c>
      <c r="M103" s="393">
        <f t="shared" ref="M103" si="221">AVERAGE(M100:M102)</f>
        <v>0.2782494687703651</v>
      </c>
      <c r="N103" s="393">
        <f t="shared" ref="N103" si="222">AVERAGE(N100:N102)</f>
        <v>1990.9446557429499</v>
      </c>
      <c r="O103" s="393">
        <f t="shared" ref="O103" si="223">AVERAGE(O100:O102)</f>
        <v>2758.4824525655931</v>
      </c>
      <c r="P103" s="393">
        <f t="shared" ref="P103" si="224">AVERAGE(P100:P102)</f>
        <v>2268.6932754695285</v>
      </c>
      <c r="Q103" s="393">
        <f t="shared" ref="Q103:R103" si="225">AVERAGE(Q100:Q102)</f>
        <v>0.13952892215127041</v>
      </c>
      <c r="R103" s="393">
        <f t="shared" si="225"/>
        <v>13.952892215127042</v>
      </c>
      <c r="S103" s="394">
        <f t="shared" ref="S103" si="226">AVERAGE(S100:S102)</f>
        <v>0.2782494687703651</v>
      </c>
    </row>
    <row r="104" spans="1:20" ht="15.75" thickBot="1" x14ac:dyDescent="0.3">
      <c r="A104" s="530"/>
      <c r="B104" s="302"/>
      <c r="C104" s="530"/>
      <c r="D104" s="391" t="s">
        <v>162</v>
      </c>
      <c r="E104" s="399">
        <f>STDEV(E100:E102)</f>
        <v>5.7504173761562923E-2</v>
      </c>
      <c r="F104" s="399">
        <f t="shared" ref="F104:S104" si="227">STDEV(F100:F102)</f>
        <v>5.8617403559011468E-2</v>
      </c>
      <c r="G104" s="399">
        <f t="shared" si="227"/>
        <v>3.6166282640050278E-2</v>
      </c>
      <c r="H104" s="399">
        <f t="shared" si="227"/>
        <v>5.7504173761562881E-5</v>
      </c>
      <c r="I104" s="399">
        <f t="shared" si="227"/>
        <v>5.8617403559011449E-5</v>
      </c>
      <c r="J104" s="399">
        <f t="shared" si="227"/>
        <v>3.6166282640050252E-5</v>
      </c>
      <c r="K104" s="399">
        <f t="shared" si="227"/>
        <v>2.4374924986168016E-8</v>
      </c>
      <c r="L104" s="399">
        <f t="shared" si="227"/>
        <v>9.067841323885877E-9</v>
      </c>
      <c r="M104" s="399">
        <f t="shared" si="227"/>
        <v>5.587701760700477E-3</v>
      </c>
      <c r="N104" s="399">
        <f t="shared" si="227"/>
        <v>17.334230758749424</v>
      </c>
      <c r="O104" s="399">
        <f t="shared" si="227"/>
        <v>4.8613008672772517</v>
      </c>
      <c r="P104" s="399">
        <f t="shared" si="227"/>
        <v>11.887107941925459</v>
      </c>
      <c r="Q104" s="399">
        <f t="shared" si="227"/>
        <v>3.9876787109913801E-3</v>
      </c>
      <c r="R104" s="399">
        <f t="shared" si="227"/>
        <v>0.39876787109913803</v>
      </c>
      <c r="S104" s="400">
        <f t="shared" si="227"/>
        <v>5.587701760700477E-3</v>
      </c>
    </row>
    <row r="105" spans="1:20" x14ac:dyDescent="0.25">
      <c r="A105" s="530"/>
      <c r="B105" s="532" t="s">
        <v>20</v>
      </c>
      <c r="C105" s="530"/>
      <c r="D105" s="113" t="s">
        <v>135</v>
      </c>
      <c r="E105" s="392">
        <f>'Porosity and Density'!E71</f>
        <v>3.0831</v>
      </c>
      <c r="F105" s="393">
        <f>'Porosity and Density'!F71</f>
        <v>3.43</v>
      </c>
      <c r="G105" s="393">
        <f>'Porosity and Density'!G71</f>
        <v>1.91</v>
      </c>
      <c r="H105" s="393">
        <f>'Porosity and Density'!H71</f>
        <v>3.0831000000000001E-3</v>
      </c>
      <c r="I105" s="393">
        <f>'Porosity and Density'!I71</f>
        <v>3.4300000000000003E-3</v>
      </c>
      <c r="J105" s="393">
        <f>'Porosity and Density'!J71</f>
        <v>1.91E-3</v>
      </c>
      <c r="K105" s="393">
        <f>'Porosity and Density'!K71</f>
        <v>1.5227409336806253E-6</v>
      </c>
      <c r="L105" s="393">
        <f>'Porosity and Density'!L71</f>
        <v>3.4752554598276921E-7</v>
      </c>
      <c r="M105" s="393">
        <f>'Porosity and Density'!M71</f>
        <v>0.22822368421052644</v>
      </c>
      <c r="N105" s="393">
        <f>'Porosity and Density'!N71</f>
        <v>2024.7042236842103</v>
      </c>
      <c r="O105" s="393">
        <f>'Porosity and Density'!O71</f>
        <v>2623.433995396812</v>
      </c>
      <c r="P105" s="393">
        <f>'Porosity and Density'!P71</f>
        <v>2252.5171052631581</v>
      </c>
      <c r="Q105" s="393">
        <f>'Porosity and Density'!Q71</f>
        <v>0.11251662287956934</v>
      </c>
      <c r="R105" s="418">
        <f>Q105*100</f>
        <v>11.251662287956934</v>
      </c>
      <c r="S105" s="394">
        <f>'Porosity and Density'!R71</f>
        <v>0.22822368421052644</v>
      </c>
    </row>
    <row r="106" spans="1:20" x14ac:dyDescent="0.25">
      <c r="A106" s="530"/>
      <c r="B106" s="530"/>
      <c r="C106" s="530"/>
      <c r="D106" s="114" t="s">
        <v>136</v>
      </c>
      <c r="E106" s="395">
        <f>'Porosity and Density'!E72</f>
        <v>3.0554999999999999</v>
      </c>
      <c r="F106" s="396">
        <f>'Porosity and Density'!F72</f>
        <v>3.4</v>
      </c>
      <c r="G106" s="396">
        <f>'Porosity and Density'!G72</f>
        <v>1.893</v>
      </c>
      <c r="H106" s="396">
        <f>'Porosity and Density'!H72</f>
        <v>3.0555000000000001E-3</v>
      </c>
      <c r="I106" s="396">
        <f>'Porosity and Density'!I72</f>
        <v>3.3999999999999998E-3</v>
      </c>
      <c r="J106" s="396">
        <f>'Porosity and Density'!J72</f>
        <v>1.8930000000000002E-3</v>
      </c>
      <c r="K106" s="396">
        <f>'Porosity and Density'!K72</f>
        <v>1.509717491484672E-6</v>
      </c>
      <c r="L106" s="396">
        <f>'Porosity and Density'!L72</f>
        <v>3.4512121819274667E-7</v>
      </c>
      <c r="M106" s="396">
        <f>'Porosity and Density'!M72</f>
        <v>0.22859986728599854</v>
      </c>
      <c r="N106" s="396">
        <f>'Porosity and Density'!N72</f>
        <v>2023.8885865958864</v>
      </c>
      <c r="O106" s="396">
        <f>'Porosity and Density'!O72</f>
        <v>2623.6559999999999</v>
      </c>
      <c r="P106" s="396">
        <f>'Porosity and Density'!P72</f>
        <v>2252.07697412077</v>
      </c>
      <c r="Q106" s="396">
        <f>'Porosity and Density'!Q72</f>
        <v>0.11274750450008174</v>
      </c>
      <c r="R106" s="419">
        <f>Q106*100</f>
        <v>11.274750450008174</v>
      </c>
      <c r="S106" s="397">
        <f>'Porosity and Density'!R72</f>
        <v>0.22859986728599854</v>
      </c>
    </row>
    <row r="107" spans="1:20" ht="15.75" thickBot="1" x14ac:dyDescent="0.3">
      <c r="A107" s="531"/>
      <c r="B107" s="531"/>
      <c r="C107" s="531"/>
      <c r="D107" s="115" t="s">
        <v>137</v>
      </c>
      <c r="E107" s="398">
        <f>'Porosity and Density'!E73</f>
        <v>3.0434999999999999</v>
      </c>
      <c r="F107" s="399">
        <f>'Porosity and Density'!F73</f>
        <v>3.387</v>
      </c>
      <c r="G107" s="399">
        <f>'Porosity and Density'!G73</f>
        <v>1.8839999999999999</v>
      </c>
      <c r="H107" s="399">
        <f>'Porosity and Density'!H73</f>
        <v>3.0434999999999998E-3</v>
      </c>
      <c r="I107" s="399">
        <f>'Porosity and Density'!I73</f>
        <v>3.3870000000000003E-3</v>
      </c>
      <c r="J107" s="399">
        <f>'Porosity and Density'!J73</f>
        <v>1.884E-3</v>
      </c>
      <c r="K107" s="399">
        <f>'Porosity and Density'!K73</f>
        <v>1.5057102785013025E-6</v>
      </c>
      <c r="L107" s="399">
        <f>'Porosity and Density'!L73</f>
        <v>3.4411941494690489E-7</v>
      </c>
      <c r="M107" s="399">
        <f>'Porosity and Density'!M73</f>
        <v>0.22854291417165695</v>
      </c>
      <c r="N107" s="399">
        <f>'Porosity and Density'!N73</f>
        <v>2021.305189620758</v>
      </c>
      <c r="O107" s="399">
        <f>'Porosity and Density'!O73</f>
        <v>2620.1135834411389</v>
      </c>
      <c r="P107" s="399">
        <f>'Porosity and Density'!P73</f>
        <v>2249.4367265469059</v>
      </c>
      <c r="Q107" s="399">
        <f>'Porosity and Density'!Q73</f>
        <v>0.11286347954657484</v>
      </c>
      <c r="R107" s="419">
        <f>Q107*100</f>
        <v>11.286347954657485</v>
      </c>
      <c r="S107" s="400">
        <f>'Porosity and Density'!R73</f>
        <v>0.22854291417165695</v>
      </c>
    </row>
    <row r="108" spans="1:20" x14ac:dyDescent="0.25">
      <c r="A108" s="336"/>
      <c r="B108" s="302"/>
      <c r="C108" s="381"/>
      <c r="D108" s="390" t="s">
        <v>161</v>
      </c>
      <c r="E108" s="393">
        <f>AVERAGE(E105:E107)</f>
        <v>3.0607000000000002</v>
      </c>
      <c r="F108" s="393">
        <f t="shared" ref="F108" si="228">AVERAGE(F105:F107)</f>
        <v>3.4056666666666668</v>
      </c>
      <c r="G108" s="393">
        <f t="shared" ref="G108" si="229">AVERAGE(G105:G107)</f>
        <v>1.8956666666666664</v>
      </c>
      <c r="H108" s="393">
        <f t="shared" ref="H108" si="230">AVERAGE(H105:H107)</f>
        <v>3.0607E-3</v>
      </c>
      <c r="I108" s="393">
        <f t="shared" ref="I108" si="231">AVERAGE(I105:I107)</f>
        <v>3.4056666666666667E-3</v>
      </c>
      <c r="J108" s="393">
        <f t="shared" ref="J108" si="232">AVERAGE(J105:J107)</f>
        <v>1.8956666666666668E-3</v>
      </c>
      <c r="K108" s="393">
        <f t="shared" ref="K108" si="233">AVERAGE(K105:K107)</f>
        <v>1.5127229012221997E-6</v>
      </c>
      <c r="L108" s="393">
        <f t="shared" ref="L108" si="234">AVERAGE(L105:L107)</f>
        <v>3.4558872637414027E-7</v>
      </c>
      <c r="M108" s="393">
        <f t="shared" ref="M108" si="235">AVERAGE(M105:M107)</f>
        <v>0.22845548855606065</v>
      </c>
      <c r="N108" s="393">
        <f t="shared" ref="N108" si="236">AVERAGE(N105:N107)</f>
        <v>2023.2993333002851</v>
      </c>
      <c r="O108" s="393">
        <f t="shared" ref="O108" si="237">AVERAGE(O105:O107)</f>
        <v>2622.4011929459834</v>
      </c>
      <c r="P108" s="393">
        <f t="shared" ref="P108" si="238">AVERAGE(P105:P107)</f>
        <v>2251.3436019769447</v>
      </c>
      <c r="Q108" s="393">
        <f t="shared" ref="Q108:R108" si="239">AVERAGE(Q105:Q107)</f>
        <v>0.11270920230874197</v>
      </c>
      <c r="R108" s="393">
        <f t="shared" si="239"/>
        <v>11.270920230874198</v>
      </c>
      <c r="S108" s="394">
        <f t="shared" ref="S108" si="240">AVERAGE(S105:S107)</f>
        <v>0.22845548855606065</v>
      </c>
    </row>
    <row r="109" spans="1:20" ht="15.75" thickBot="1" x14ac:dyDescent="0.3">
      <c r="A109" s="336"/>
      <c r="B109" s="302"/>
      <c r="C109" s="381"/>
      <c r="D109" s="391" t="s">
        <v>162</v>
      </c>
      <c r="E109" s="399">
        <f>STDEV(E105:E107)</f>
        <v>2.0305664234395331E-2</v>
      </c>
      <c r="F109" s="399">
        <f t="shared" ref="F109:S109" si="241">STDEV(F105:F107)</f>
        <v>2.205296654269755E-2</v>
      </c>
      <c r="G109" s="399">
        <f t="shared" si="241"/>
        <v>1.3203534880225574E-2</v>
      </c>
      <c r="H109" s="399">
        <f t="shared" si="241"/>
        <v>2.0305664234395422E-5</v>
      </c>
      <c r="I109" s="399">
        <f t="shared" si="241"/>
        <v>2.2052966542697551E-5</v>
      </c>
      <c r="J109" s="399">
        <f t="shared" si="241"/>
        <v>1.3203534880225552E-5</v>
      </c>
      <c r="K109" s="399">
        <f t="shared" si="241"/>
        <v>8.9042220169461675E-9</v>
      </c>
      <c r="L109" s="399">
        <f t="shared" si="241"/>
        <v>1.7505299435091071E-9</v>
      </c>
      <c r="M109" s="399">
        <f t="shared" si="241"/>
        <v>2.027581200956141E-4</v>
      </c>
      <c r="N109" s="399">
        <f t="shared" si="241"/>
        <v>1.774478155940546</v>
      </c>
      <c r="O109" s="399">
        <f t="shared" si="241"/>
        <v>1.9842352294904684</v>
      </c>
      <c r="P109" s="399">
        <f t="shared" si="241"/>
        <v>1.6660009858607956</v>
      </c>
      <c r="Q109" s="399">
        <f t="shared" si="241"/>
        <v>1.7657202569379941E-4</v>
      </c>
      <c r="R109" s="399">
        <f t="shared" si="241"/>
        <v>1.7657202569380175E-2</v>
      </c>
      <c r="S109" s="400">
        <f t="shared" si="241"/>
        <v>2.027581200956141E-4</v>
      </c>
    </row>
    <row r="110" spans="1:20" x14ac:dyDescent="0.25">
      <c r="N110" s="92"/>
      <c r="O110" s="92"/>
      <c r="P110" s="92"/>
      <c r="T110" s="117"/>
    </row>
    <row r="111" spans="1:20" ht="15.75" thickBot="1" x14ac:dyDescent="0.3"/>
    <row r="112" spans="1:20" x14ac:dyDescent="0.25">
      <c r="A112" s="108" t="s">
        <v>273</v>
      </c>
      <c r="B112" s="148" t="s">
        <v>274</v>
      </c>
      <c r="C112" s="148" t="s">
        <v>275</v>
      </c>
      <c r="D112" s="109" t="s">
        <v>6</v>
      </c>
      <c r="E112" s="150" t="s">
        <v>276</v>
      </c>
      <c r="F112" s="150" t="s">
        <v>277</v>
      </c>
      <c r="G112" s="150" t="s">
        <v>278</v>
      </c>
      <c r="H112" s="150" t="s">
        <v>276</v>
      </c>
      <c r="I112" s="109" t="s">
        <v>277</v>
      </c>
      <c r="J112" s="109" t="s">
        <v>278</v>
      </c>
      <c r="K112" s="109" t="s">
        <v>279</v>
      </c>
      <c r="L112" s="109" t="s">
        <v>280</v>
      </c>
      <c r="M112" s="109" t="s">
        <v>281</v>
      </c>
      <c r="N112" s="109" t="s">
        <v>282</v>
      </c>
      <c r="O112" s="109" t="s">
        <v>283</v>
      </c>
      <c r="P112" s="109" t="s">
        <v>284</v>
      </c>
      <c r="Q112" s="109" t="s">
        <v>285</v>
      </c>
      <c r="R112" s="416" t="s">
        <v>285</v>
      </c>
      <c r="S112" s="110" t="s">
        <v>286</v>
      </c>
      <c r="T112" s="117"/>
    </row>
    <row r="113" spans="1:20" ht="15.75" thickBot="1" x14ac:dyDescent="0.3">
      <c r="A113" s="111"/>
      <c r="B113" s="149"/>
      <c r="C113" s="149"/>
      <c r="D113" s="112"/>
      <c r="E113" s="112" t="s">
        <v>120</v>
      </c>
      <c r="F113" s="112" t="s">
        <v>120</v>
      </c>
      <c r="G113" s="112" t="s">
        <v>120</v>
      </c>
      <c r="H113" s="112" t="s">
        <v>28</v>
      </c>
      <c r="I113" s="112" t="s">
        <v>28</v>
      </c>
      <c r="J113" s="112" t="s">
        <v>28</v>
      </c>
      <c r="K113" s="112" t="s">
        <v>287</v>
      </c>
      <c r="L113" s="112" t="s">
        <v>291</v>
      </c>
      <c r="M113" s="112" t="s">
        <v>289</v>
      </c>
      <c r="N113" s="112" t="s">
        <v>289</v>
      </c>
      <c r="O113" s="112" t="s">
        <v>289</v>
      </c>
      <c r="P113" s="112" t="s">
        <v>289</v>
      </c>
      <c r="Q113" s="340" t="s">
        <v>290</v>
      </c>
      <c r="R113" s="417" t="s">
        <v>301</v>
      </c>
      <c r="S113" s="341" t="s">
        <v>291</v>
      </c>
      <c r="T113" s="117"/>
    </row>
    <row r="114" spans="1:20" x14ac:dyDescent="0.25">
      <c r="A114" s="529" t="s">
        <v>298</v>
      </c>
      <c r="B114" s="532" t="s">
        <v>134</v>
      </c>
      <c r="C114" s="532" t="s">
        <v>124</v>
      </c>
      <c r="D114" s="113" t="s">
        <v>135</v>
      </c>
      <c r="E114" s="392">
        <f>'Porosity and Density'!E78</f>
        <v>3.0055000000000001</v>
      </c>
      <c r="F114" s="393">
        <f>'Porosity and Density'!F78</f>
        <v>3.625</v>
      </c>
      <c r="G114" s="393">
        <f>'Porosity and Density'!G78</f>
        <v>1.9319999999999999</v>
      </c>
      <c r="H114" s="393">
        <f>'Porosity and Density'!H78</f>
        <v>3.0054999999999999E-3</v>
      </c>
      <c r="I114" s="393">
        <f>'Porosity and Density'!I78</f>
        <v>3.6250000000000002E-3</v>
      </c>
      <c r="J114" s="393">
        <f>'Porosity and Density'!J78</f>
        <v>1.9319999999999999E-3</v>
      </c>
      <c r="K114" s="393">
        <f>'Porosity and Density'!K78</f>
        <v>1.6960528952113807E-6</v>
      </c>
      <c r="L114" s="393">
        <f>'Porosity and Density'!L78</f>
        <v>6.2061711079943918E-7</v>
      </c>
      <c r="M114" s="393">
        <f>'Porosity and Density'!M78</f>
        <v>0.36591848789131726</v>
      </c>
      <c r="N114" s="393">
        <f>'Porosity and Density'!N78</f>
        <v>1772.0555818074422</v>
      </c>
      <c r="O114" s="393">
        <f>'Porosity and Density'!O78</f>
        <v>2794.6810433162555</v>
      </c>
      <c r="P114" s="393">
        <f>'Porosity and Density'!P78</f>
        <v>2137.3154164205548</v>
      </c>
      <c r="Q114" s="393">
        <f>'Porosity and Density'!Q78</f>
        <v>0.20612210946597914</v>
      </c>
      <c r="R114" s="418">
        <f>Q114*100</f>
        <v>20.612210946597916</v>
      </c>
      <c r="S114" s="394">
        <f>'Porosity and Density'!R78</f>
        <v>0.36591848789131726</v>
      </c>
      <c r="T114" s="117"/>
    </row>
    <row r="115" spans="1:20" x14ac:dyDescent="0.25">
      <c r="A115" s="530"/>
      <c r="B115" s="530"/>
      <c r="C115" s="530"/>
      <c r="D115" s="114" t="s">
        <v>136</v>
      </c>
      <c r="E115" s="395">
        <f>'Porosity and Density'!E79</f>
        <v>2.8841999999999999</v>
      </c>
      <c r="F115" s="396">
        <f>'Porosity and Density'!F79</f>
        <v>3.48</v>
      </c>
      <c r="G115" s="396">
        <f>'Porosity and Density'!G79</f>
        <v>1.8540000000000001</v>
      </c>
      <c r="H115" s="396">
        <f>'Porosity and Density'!H79</f>
        <v>2.8842E-3</v>
      </c>
      <c r="I115" s="396">
        <f>'Porosity and Density'!I79</f>
        <v>3.48E-3</v>
      </c>
      <c r="J115" s="396">
        <f>'Porosity and Density'!J79</f>
        <v>1.8540000000000002E-3</v>
      </c>
      <c r="K115" s="396">
        <f>'Porosity and Density'!K79</f>
        <v>1.6289320777399315E-6</v>
      </c>
      <c r="L115" s="396">
        <f>'Porosity and Density'!L79</f>
        <v>5.9687437387297138E-7</v>
      </c>
      <c r="M115" s="396">
        <f>'Porosity and Density'!M79</f>
        <v>0.36642066420664215</v>
      </c>
      <c r="N115" s="396">
        <f>'Porosity and Density'!N79</f>
        <v>1770.6078966789671</v>
      </c>
      <c r="O115" s="396">
        <f>'Porosity and Density'!O79</f>
        <v>2794.6111822947014</v>
      </c>
      <c r="P115" s="396">
        <f>'Porosity and Density'!P79</f>
        <v>2136.3690036900375</v>
      </c>
      <c r="Q115" s="396">
        <f>'Porosity and Density'!Q79</f>
        <v>0.20657374661951322</v>
      </c>
      <c r="R115" s="419">
        <f>Q115*100</f>
        <v>20.657374661951323</v>
      </c>
      <c r="S115" s="397">
        <f>'Porosity and Density'!R79</f>
        <v>0.36642066420664215</v>
      </c>
    </row>
    <row r="116" spans="1:20" ht="15.75" thickBot="1" x14ac:dyDescent="0.3">
      <c r="A116" s="530"/>
      <c r="B116" s="531"/>
      <c r="C116" s="530"/>
      <c r="D116" s="115" t="s">
        <v>137</v>
      </c>
      <c r="E116" s="398">
        <f>'Porosity and Density'!E80</f>
        <v>2.9447000000000001</v>
      </c>
      <c r="F116" s="399">
        <f>'Porosity and Density'!F80</f>
        <v>3.5510000000000002</v>
      </c>
      <c r="G116" s="399">
        <f>'Porosity and Density'!G80</f>
        <v>1.891</v>
      </c>
      <c r="H116" s="399">
        <f>'Porosity and Density'!H80</f>
        <v>2.9447000000000002E-3</v>
      </c>
      <c r="I116" s="399">
        <f>'Porosity and Density'!I80</f>
        <v>3.5510000000000003E-3</v>
      </c>
      <c r="J116" s="399">
        <f>'Porosity and Density'!J80</f>
        <v>1.8910000000000001E-3</v>
      </c>
      <c r="K116" s="399">
        <f>'Porosity and Density'!K80</f>
        <v>1.6629933880985776E-6</v>
      </c>
      <c r="L116" s="399">
        <f>'Porosity and Density'!L80</f>
        <v>6.073933079543179E-7</v>
      </c>
      <c r="M116" s="399">
        <f>'Porosity and Density'!M80</f>
        <v>0.36524096385542171</v>
      </c>
      <c r="N116" s="399">
        <f>'Porosity and Density'!N80</f>
        <v>1770.7226144578312</v>
      </c>
      <c r="O116" s="399">
        <f>'Porosity and Density'!O80</f>
        <v>2789.5981209072788</v>
      </c>
      <c r="P116" s="399">
        <f>'Porosity and Density'!P80</f>
        <v>2135.3061445783133</v>
      </c>
      <c r="Q116" s="399">
        <f>'Porosity and Density'!Q80</f>
        <v>0.20589533738581184</v>
      </c>
      <c r="R116" s="419">
        <f>Q116*100</f>
        <v>20.589533738581185</v>
      </c>
      <c r="S116" s="400">
        <f>'Porosity and Density'!R80</f>
        <v>0.36524096385542171</v>
      </c>
    </row>
    <row r="117" spans="1:20" x14ac:dyDescent="0.25">
      <c r="A117" s="530"/>
      <c r="B117" s="302"/>
      <c r="C117" s="530"/>
      <c r="D117" s="390" t="s">
        <v>161</v>
      </c>
      <c r="E117" s="393">
        <f>AVERAGE(E114:E116)</f>
        <v>2.9447999999999994</v>
      </c>
      <c r="F117" s="393">
        <f t="shared" ref="F117" si="242">AVERAGE(F114:F116)</f>
        <v>3.552</v>
      </c>
      <c r="G117" s="393">
        <f t="shared" ref="G117" si="243">AVERAGE(G114:G116)</f>
        <v>1.8923333333333332</v>
      </c>
      <c r="H117" s="393">
        <f t="shared" ref="H117" si="244">AVERAGE(H114:H116)</f>
        <v>2.9447999999999996E-3</v>
      </c>
      <c r="I117" s="393">
        <f t="shared" ref="I117" si="245">AVERAGE(I114:I116)</f>
        <v>3.552E-3</v>
      </c>
      <c r="J117" s="393">
        <f t="shared" ref="J117" si="246">AVERAGE(J114:J116)</f>
        <v>1.8923333333333335E-3</v>
      </c>
      <c r="K117" s="393">
        <f t="shared" ref="K117" si="247">AVERAGE(K114:K116)</f>
        <v>1.6626594536832968E-6</v>
      </c>
      <c r="L117" s="393">
        <f t="shared" ref="L117" si="248">AVERAGE(L114:L116)</f>
        <v>6.0829493087557615E-7</v>
      </c>
      <c r="M117" s="393">
        <f t="shared" ref="M117" si="249">AVERAGE(M114:M116)</f>
        <v>0.36586003865112704</v>
      </c>
      <c r="N117" s="393">
        <f t="shared" ref="N117" si="250">AVERAGE(N114:N116)</f>
        <v>1771.1286976480799</v>
      </c>
      <c r="O117" s="393">
        <f t="shared" ref="O117" si="251">AVERAGE(O114:O116)</f>
        <v>2792.9634488394117</v>
      </c>
      <c r="P117" s="393">
        <f t="shared" ref="P117" si="252">AVERAGE(P114:P116)</f>
        <v>2136.330188229635</v>
      </c>
      <c r="Q117" s="393">
        <f t="shared" ref="Q117:R117" si="253">AVERAGE(Q114:Q116)</f>
        <v>0.20619706449043473</v>
      </c>
      <c r="R117" s="393">
        <f t="shared" si="253"/>
        <v>20.619706449043473</v>
      </c>
      <c r="S117" s="394">
        <f t="shared" ref="S117" si="254">AVERAGE(S114:S116)</f>
        <v>0.36586003865112704</v>
      </c>
    </row>
    <row r="118" spans="1:20" ht="15.75" thickBot="1" x14ac:dyDescent="0.3">
      <c r="A118" s="530"/>
      <c r="B118" s="302"/>
      <c r="C118" s="530"/>
      <c r="D118" s="391" t="s">
        <v>162</v>
      </c>
      <c r="E118" s="399">
        <f>STDEV(E114:E116)</f>
        <v>6.0650061830141697E-2</v>
      </c>
      <c r="F118" s="399">
        <f t="shared" ref="F118:S118" si="255">STDEV(F114:F116)</f>
        <v>7.2505172229296852E-2</v>
      </c>
      <c r="G118" s="399">
        <f t="shared" si="255"/>
        <v>3.9017090272511698E-2</v>
      </c>
      <c r="H118" s="399">
        <f t="shared" si="255"/>
        <v>6.065006183014159E-5</v>
      </c>
      <c r="I118" s="399">
        <f t="shared" si="255"/>
        <v>7.250517222929693E-5</v>
      </c>
      <c r="J118" s="399">
        <f t="shared" si="255"/>
        <v>3.9017090272511643E-5</v>
      </c>
      <c r="K118" s="399">
        <f t="shared" si="255"/>
        <v>3.3561654736532015E-8</v>
      </c>
      <c r="L118" s="399">
        <f t="shared" si="255"/>
        <v>1.1897019883524114E-8</v>
      </c>
      <c r="M118" s="399">
        <f t="shared" si="255"/>
        <v>5.9201812888333243E-4</v>
      </c>
      <c r="N118" s="399">
        <f t="shared" si="255"/>
        <v>0.80475196542416072</v>
      </c>
      <c r="O118" s="399">
        <f t="shared" si="255"/>
        <v>2.9146687991398617</v>
      </c>
      <c r="P118" s="399">
        <f t="shared" si="255"/>
        <v>1.0051981466262665</v>
      </c>
      <c r="Q118" s="399">
        <f t="shared" si="255"/>
        <v>3.453599048256442E-4</v>
      </c>
      <c r="R118" s="399">
        <f t="shared" si="255"/>
        <v>3.4535990482564255E-2</v>
      </c>
      <c r="S118" s="400">
        <f t="shared" si="255"/>
        <v>5.9201812888333243E-4</v>
      </c>
    </row>
    <row r="119" spans="1:20" x14ac:dyDescent="0.25">
      <c r="A119" s="530"/>
      <c r="B119" s="532" t="s">
        <v>20</v>
      </c>
      <c r="C119" s="530"/>
      <c r="D119" s="113" t="s">
        <v>135</v>
      </c>
      <c r="E119" s="392">
        <f>'Porosity and Density'!E81</f>
        <v>3.0798000000000001</v>
      </c>
      <c r="F119" s="393">
        <f>'Porosity and Density'!F81</f>
        <v>3.484</v>
      </c>
      <c r="G119" s="393">
        <f>'Porosity and Density'!G81</f>
        <v>1.946</v>
      </c>
      <c r="H119" s="393">
        <f>'Porosity and Density'!H81</f>
        <v>3.0798000000000002E-3</v>
      </c>
      <c r="I119" s="393">
        <f>'Porosity and Density'!I81</f>
        <v>3.4840000000000001E-3</v>
      </c>
      <c r="J119" s="393">
        <f>'Porosity and Density'!J81</f>
        <v>1.946E-3</v>
      </c>
      <c r="K119" s="393">
        <f>'Porosity and Density'!K81</f>
        <v>1.5407733921057904E-6</v>
      </c>
      <c r="L119" s="393">
        <f>'Porosity and Density'!L81</f>
        <v>4.0492887196954514E-7</v>
      </c>
      <c r="M119" s="393">
        <f>'Porosity and Density'!M81</f>
        <v>0.2628088426527958</v>
      </c>
      <c r="N119" s="393">
        <f>'Porosity and Density'!N81</f>
        <v>1998.8662938881666</v>
      </c>
      <c r="O119" s="393">
        <f>'Porosity and Density'!O81</f>
        <v>2711.4626565531844</v>
      </c>
      <c r="P119" s="393">
        <f>'Porosity and Density'!P81</f>
        <v>2261.2020806241876</v>
      </c>
      <c r="Q119" s="393">
        <f>'Porosity and Density'!Q81</f>
        <v>0.1312422884602896</v>
      </c>
      <c r="R119" s="418">
        <f>Q119*100</f>
        <v>13.124228846028959</v>
      </c>
      <c r="S119" s="394">
        <f>'Porosity and Density'!R81</f>
        <v>0.2628088426527958</v>
      </c>
    </row>
    <row r="120" spans="1:20" x14ac:dyDescent="0.25">
      <c r="A120" s="530"/>
      <c r="B120" s="530"/>
      <c r="C120" s="530"/>
      <c r="D120" s="114" t="s">
        <v>136</v>
      </c>
      <c r="E120" s="395">
        <f>'Porosity and Density'!E82</f>
        <v>3.0324</v>
      </c>
      <c r="F120" s="396">
        <f>'Porosity and Density'!F82</f>
        <v>3.431</v>
      </c>
      <c r="G120" s="396">
        <f>'Porosity and Density'!G82</f>
        <v>1.915</v>
      </c>
      <c r="H120" s="396">
        <f>'Porosity and Density'!H82</f>
        <v>3.0324000000000002E-3</v>
      </c>
      <c r="I120" s="396">
        <f>'Porosity and Density'!I82</f>
        <v>3.431E-3</v>
      </c>
      <c r="J120" s="396">
        <f>'Porosity and Density'!J82</f>
        <v>1.915E-3</v>
      </c>
      <c r="K120" s="396">
        <f>'Porosity and Density'!K82</f>
        <v>1.518733720697255E-6</v>
      </c>
      <c r="L120" s="396">
        <f>'Porosity and Density'!L82</f>
        <v>3.9931877379282692E-7</v>
      </c>
      <c r="M120" s="396">
        <f>'Porosity and Density'!M82</f>
        <v>0.26292875989445902</v>
      </c>
      <c r="N120" s="396">
        <f>'Porosity and Density'!N82</f>
        <v>1996.6633773087074</v>
      </c>
      <c r="O120" s="396">
        <f>'Porosity and Density'!O82</f>
        <v>2708.915052801146</v>
      </c>
      <c r="P120" s="396">
        <f>'Porosity and Density'!P82</f>
        <v>2259.1188654353564</v>
      </c>
      <c r="Q120" s="396">
        <f>'Porosity and Density'!Q82</f>
        <v>0.13144703864925464</v>
      </c>
      <c r="R120" s="419">
        <f>Q120*100</f>
        <v>13.144703864925464</v>
      </c>
      <c r="S120" s="397">
        <f>'Porosity and Density'!R82</f>
        <v>0.26292875989445902</v>
      </c>
    </row>
    <row r="121" spans="1:20" ht="15.75" thickBot="1" x14ac:dyDescent="0.3">
      <c r="A121" s="533"/>
      <c r="B121" s="531"/>
      <c r="C121" s="530"/>
      <c r="D121" s="115" t="s">
        <v>137</v>
      </c>
      <c r="E121" s="398">
        <f>'Porosity and Density'!E83</f>
        <v>3.0457999999999998</v>
      </c>
      <c r="F121" s="399">
        <f>'Porosity and Density'!F83</f>
        <v>3.4319999999999999</v>
      </c>
      <c r="G121" s="399">
        <f>'Porosity and Density'!G83</f>
        <v>1.9259999999999999</v>
      </c>
      <c r="H121" s="399">
        <f>'Porosity and Density'!H83</f>
        <v>3.0458E-3</v>
      </c>
      <c r="I121" s="399">
        <f>'Porosity and Density'!I83</f>
        <v>3.4320000000000002E-3</v>
      </c>
      <c r="J121" s="399">
        <f>'Porosity and Density'!J83</f>
        <v>1.926E-3</v>
      </c>
      <c r="K121" s="399">
        <f>'Porosity and Density'!K83</f>
        <v>1.50871568823883E-6</v>
      </c>
      <c r="L121" s="399">
        <f>'Porosity and Density'!L83</f>
        <v>3.8689641354438004E-7</v>
      </c>
      <c r="M121" s="399">
        <f>'Porosity and Density'!M83</f>
        <v>0.25644090305444894</v>
      </c>
      <c r="N121" s="399">
        <f>'Porosity and Density'!N83</f>
        <v>2018.8031606905708</v>
      </c>
      <c r="O121" s="399">
        <f>'Porosity and Density'!O83</f>
        <v>2715.0540810859084</v>
      </c>
      <c r="P121" s="399">
        <f>'Porosity and Density'!P83</f>
        <v>2274.7824701195218</v>
      </c>
      <c r="Q121" s="399">
        <f>'Porosity and Density'!Q83</f>
        <v>0.12679755729200873</v>
      </c>
      <c r="R121" s="419">
        <f>Q121*100</f>
        <v>12.679755729200872</v>
      </c>
      <c r="S121" s="400">
        <f>'Porosity and Density'!R83</f>
        <v>0.25644090305444894</v>
      </c>
    </row>
    <row r="122" spans="1:20" x14ac:dyDescent="0.25">
      <c r="A122" s="336"/>
      <c r="B122" s="302"/>
      <c r="C122" s="530"/>
      <c r="D122" s="390" t="s">
        <v>161</v>
      </c>
      <c r="E122" s="393">
        <f>AVERAGE(E119:E121)</f>
        <v>3.0526666666666666</v>
      </c>
      <c r="F122" s="393">
        <f t="shared" ref="F122" si="256">AVERAGE(F119:F121)</f>
        <v>3.4489999999999998</v>
      </c>
      <c r="G122" s="393">
        <f t="shared" ref="G122" si="257">AVERAGE(G119:G121)</f>
        <v>1.929</v>
      </c>
      <c r="H122" s="393">
        <f t="shared" ref="H122" si="258">AVERAGE(H119:H121)</f>
        <v>3.0526666666666666E-3</v>
      </c>
      <c r="I122" s="393">
        <f t="shared" ref="I122" si="259">AVERAGE(I119:I121)</f>
        <v>3.4490000000000002E-3</v>
      </c>
      <c r="J122" s="393">
        <f t="shared" ref="J122" si="260">AVERAGE(J119:J121)</f>
        <v>1.9289999999999999E-3</v>
      </c>
      <c r="K122" s="393">
        <f t="shared" ref="K122" si="261">AVERAGE(K119:K121)</f>
        <v>1.5227409336806251E-6</v>
      </c>
      <c r="L122" s="393">
        <f t="shared" ref="L122" si="262">AVERAGE(L119:L121)</f>
        <v>3.9704801976891738E-7</v>
      </c>
      <c r="M122" s="393">
        <f t="shared" ref="M122" si="263">AVERAGE(M119:M121)</f>
        <v>0.26072616853390129</v>
      </c>
      <c r="N122" s="393">
        <f t="shared" ref="N122" si="264">AVERAGE(N119:N121)</f>
        <v>2004.7776106291483</v>
      </c>
      <c r="O122" s="393">
        <f t="shared" ref="O122" si="265">AVERAGE(O119:O121)</f>
        <v>2711.8105968134128</v>
      </c>
      <c r="P122" s="393">
        <f t="shared" ref="P122" si="266">AVERAGE(P119:P121)</f>
        <v>2265.0344720596891</v>
      </c>
      <c r="Q122" s="393">
        <f t="shared" ref="Q122:R122" si="267">AVERAGE(Q119:Q121)</f>
        <v>0.12982896146718434</v>
      </c>
      <c r="R122" s="393">
        <f t="shared" si="267"/>
        <v>12.982896146718431</v>
      </c>
      <c r="S122" s="394">
        <f t="shared" ref="S122" si="268">AVERAGE(S119:S121)</f>
        <v>0.26072616853390129</v>
      </c>
    </row>
    <row r="123" spans="1:20" ht="15.75" thickBot="1" x14ac:dyDescent="0.3">
      <c r="A123" s="336"/>
      <c r="B123" s="302"/>
      <c r="C123" s="530"/>
      <c r="D123" s="391" t="s">
        <v>162</v>
      </c>
      <c r="E123" s="399">
        <f>STDEV(E119:E121)</f>
        <v>2.443467481537942E-2</v>
      </c>
      <c r="F123" s="399">
        <f t="shared" ref="F123:S123" si="269">STDEV(F119:F121)</f>
        <v>3.031501278244823E-2</v>
      </c>
      <c r="G123" s="399">
        <f t="shared" si="269"/>
        <v>1.5716233645501676E-2</v>
      </c>
      <c r="H123" s="399">
        <f t="shared" si="269"/>
        <v>2.4434674815379347E-5</v>
      </c>
      <c r="I123" s="399">
        <f t="shared" si="269"/>
        <v>3.0315012782448257E-5</v>
      </c>
      <c r="J123" s="399">
        <f t="shared" si="269"/>
        <v>1.5716233645501712E-5</v>
      </c>
      <c r="K123" s="399">
        <f t="shared" si="269"/>
        <v>1.6400225950455634E-8</v>
      </c>
      <c r="L123" s="399">
        <f t="shared" si="269"/>
        <v>9.228197662146872E-9</v>
      </c>
      <c r="M123" s="399">
        <f t="shared" si="269"/>
        <v>3.7116330918143389E-3</v>
      </c>
      <c r="N123" s="399">
        <f t="shared" si="269"/>
        <v>12.196321218224657</v>
      </c>
      <c r="O123" s="399">
        <f t="shared" si="269"/>
        <v>3.0842687770027561</v>
      </c>
      <c r="P123" s="399">
        <f t="shared" si="269"/>
        <v>8.5060299794691669</v>
      </c>
      <c r="Q123" s="399">
        <f t="shared" si="269"/>
        <v>2.6272683751235463E-3</v>
      </c>
      <c r="R123" s="399">
        <f t="shared" si="269"/>
        <v>0.26272683751235498</v>
      </c>
      <c r="S123" s="400">
        <f t="shared" si="269"/>
        <v>3.7116330918143389E-3</v>
      </c>
    </row>
    <row r="124" spans="1:20" x14ac:dyDescent="0.25">
      <c r="A124" s="529" t="s">
        <v>299</v>
      </c>
      <c r="B124" s="532" t="s">
        <v>134</v>
      </c>
      <c r="C124" s="530"/>
      <c r="D124" s="113" t="s">
        <v>135</v>
      </c>
      <c r="E124" s="392">
        <f>'Porosity and Density'!E84</f>
        <v>2.9723999999999999</v>
      </c>
      <c r="F124" s="393">
        <f>'Porosity and Density'!F84</f>
        <v>3.5339999999999998</v>
      </c>
      <c r="G124" s="393">
        <f>'Porosity and Density'!G84</f>
        <v>1.91</v>
      </c>
      <c r="H124" s="393">
        <f>'Porosity and Density'!H84</f>
        <v>2.9724E-3</v>
      </c>
      <c r="I124" s="393">
        <f>'Porosity and Density'!I84</f>
        <v>3.5339999999999998E-3</v>
      </c>
      <c r="J124" s="393">
        <f>'Porosity and Density'!J84</f>
        <v>1.91E-3</v>
      </c>
      <c r="K124" s="393">
        <f>'Porosity and Density'!K84</f>
        <v>1.6269284712482466E-6</v>
      </c>
      <c r="L124" s="393">
        <f>'Porosity and Density'!L84</f>
        <v>5.6261270286515706E-7</v>
      </c>
      <c r="M124" s="393">
        <f>'Porosity and Density'!M84</f>
        <v>0.34581280788177332</v>
      </c>
      <c r="N124" s="393">
        <f>'Porosity and Density'!N84</f>
        <v>1827.001034482759</v>
      </c>
      <c r="O124" s="393">
        <f>'Porosity and Density'!O84</f>
        <v>2792.780195783133</v>
      </c>
      <c r="P124" s="393">
        <f>'Porosity and Density'!P84</f>
        <v>2172.1913793103449</v>
      </c>
      <c r="Q124" s="393">
        <f>'Porosity and Density'!Q84</f>
        <v>0.18893823173193372</v>
      </c>
      <c r="R124" s="418">
        <f>Q124*100</f>
        <v>18.893823173193372</v>
      </c>
      <c r="S124" s="394">
        <f>'Porosity and Density'!R84</f>
        <v>0.34581280788177332</v>
      </c>
    </row>
    <row r="125" spans="1:20" x14ac:dyDescent="0.25">
      <c r="A125" s="530"/>
      <c r="B125" s="530"/>
      <c r="C125" s="530"/>
      <c r="D125" s="114" t="s">
        <v>136</v>
      </c>
      <c r="E125" s="395">
        <f>'Porosity and Density'!E85</f>
        <v>2.984</v>
      </c>
      <c r="F125" s="396">
        <f>'Porosity and Density'!F85</f>
        <v>3.55</v>
      </c>
      <c r="G125" s="396">
        <f>'Porosity and Density'!G85</f>
        <v>1.915</v>
      </c>
      <c r="H125" s="396">
        <f>'Porosity and Density'!H85</f>
        <v>2.9840000000000001E-3</v>
      </c>
      <c r="I125" s="396">
        <f>'Porosity and Density'!I85</f>
        <v>3.5499999999999998E-3</v>
      </c>
      <c r="J125" s="396">
        <f>'Porosity and Density'!J85</f>
        <v>1.915E-3</v>
      </c>
      <c r="K125" s="396">
        <f>'Porosity and Density'!K85</f>
        <v>1.6379483069525141E-6</v>
      </c>
      <c r="L125" s="396">
        <f>'Porosity and Density'!L85</f>
        <v>5.6702063714686401E-7</v>
      </c>
      <c r="M125" s="396">
        <f>'Porosity and Density'!M85</f>
        <v>0.34617737003058091</v>
      </c>
      <c r="N125" s="396">
        <f>'Porosity and Density'!N85</f>
        <v>1821.79131498471</v>
      </c>
      <c r="O125" s="396">
        <f>'Porosity and Density'!O85</f>
        <v>2786.3693171188033</v>
      </c>
      <c r="P125" s="396">
        <f>'Porosity and Density'!P85</f>
        <v>2167.3455657492359</v>
      </c>
      <c r="Q125" s="396">
        <f>'Porosity and Density'!Q85</f>
        <v>0.18967828418230551</v>
      </c>
      <c r="R125" s="419">
        <f>Q125*100</f>
        <v>18.96782841823055</v>
      </c>
      <c r="S125" s="397">
        <f>'Porosity and Density'!R85</f>
        <v>0.34617737003058091</v>
      </c>
      <c r="T125" s="116"/>
    </row>
    <row r="126" spans="1:20" ht="15.75" thickBot="1" x14ac:dyDescent="0.3">
      <c r="A126" s="530"/>
      <c r="B126" s="531"/>
      <c r="C126" s="530"/>
      <c r="D126" s="115" t="s">
        <v>137</v>
      </c>
      <c r="E126" s="398">
        <f>'Porosity and Density'!E86</f>
        <v>3.0127999999999999</v>
      </c>
      <c r="F126" s="399">
        <f>'Porosity and Density'!F86</f>
        <v>3.5760000000000001</v>
      </c>
      <c r="G126" s="399">
        <f>'Porosity and Density'!G86</f>
        <v>1.9339999999999999</v>
      </c>
      <c r="H126" s="399">
        <f>'Porosity and Density'!H86</f>
        <v>3.0127999999999999E-3</v>
      </c>
      <c r="I126" s="399">
        <f>'Porosity and Density'!I86</f>
        <v>3.5760000000000002E-3</v>
      </c>
      <c r="J126" s="399">
        <f>'Porosity and Density'!J86</f>
        <v>1.934E-3</v>
      </c>
      <c r="K126" s="399">
        <f>'Porosity and Density'!K86</f>
        <v>1.6449609296734123E-6</v>
      </c>
      <c r="L126" s="399">
        <f>'Porosity and Density'!L86</f>
        <v>5.6421558805850556E-7</v>
      </c>
      <c r="M126" s="399">
        <f>'Porosity and Density'!M86</f>
        <v>0.34299634591961037</v>
      </c>
      <c r="N126" s="399">
        <f>'Porosity and Density'!N86</f>
        <v>1831.5328623629716</v>
      </c>
      <c r="O126" s="399">
        <f>'Porosity and Density'!O86</f>
        <v>2787.705747126437</v>
      </c>
      <c r="P126" s="399">
        <f>'Porosity and Density'!P86</f>
        <v>2173.9118148599268</v>
      </c>
      <c r="Q126" s="399">
        <f>'Porosity and Density'!Q86</f>
        <v>0.18693574083908665</v>
      </c>
      <c r="R126" s="419">
        <f>Q126*100</f>
        <v>18.693574083908665</v>
      </c>
      <c r="S126" s="400">
        <f>'Porosity and Density'!R86</f>
        <v>0.34299634591961037</v>
      </c>
      <c r="T126" s="116"/>
    </row>
    <row r="127" spans="1:20" x14ac:dyDescent="0.25">
      <c r="A127" s="530"/>
      <c r="B127" s="302"/>
      <c r="C127" s="530"/>
      <c r="D127" s="390" t="s">
        <v>161</v>
      </c>
      <c r="E127" s="393">
        <f>AVERAGE(E124:E126)</f>
        <v>2.9897333333333336</v>
      </c>
      <c r="F127" s="393">
        <f t="shared" ref="F127" si="270">AVERAGE(F124:F126)</f>
        <v>3.5533333333333332</v>
      </c>
      <c r="G127" s="393">
        <f t="shared" ref="G127" si="271">AVERAGE(G124:G126)</f>
        <v>1.9196666666666669</v>
      </c>
      <c r="H127" s="393">
        <f t="shared" ref="H127" si="272">AVERAGE(H124:H126)</f>
        <v>2.9897333333333332E-3</v>
      </c>
      <c r="I127" s="393">
        <f t="shared" ref="I127" si="273">AVERAGE(I124:I126)</f>
        <v>3.5533333333333333E-3</v>
      </c>
      <c r="J127" s="393">
        <f t="shared" ref="J127" si="274">AVERAGE(J124:J126)</f>
        <v>1.9196666666666667E-3</v>
      </c>
      <c r="K127" s="393">
        <f t="shared" ref="K127" si="275">AVERAGE(K124:K126)</f>
        <v>1.6366125692913911E-6</v>
      </c>
      <c r="L127" s="393">
        <f t="shared" ref="L127" si="276">AVERAGE(L124:L126)</f>
        <v>5.6461630935684221E-7</v>
      </c>
      <c r="M127" s="393">
        <f t="shared" ref="M127" si="277">AVERAGE(M124:M126)</f>
        <v>0.3449955079439882</v>
      </c>
      <c r="N127" s="393">
        <f t="shared" ref="N127" si="278">AVERAGE(N124:N126)</f>
        <v>1826.7750706101469</v>
      </c>
      <c r="O127" s="393">
        <f t="shared" ref="O127" si="279">AVERAGE(O124:O126)</f>
        <v>2788.9517533427911</v>
      </c>
      <c r="P127" s="393">
        <f t="shared" ref="P127" si="280">AVERAGE(P124:P126)</f>
        <v>2171.1495866398359</v>
      </c>
      <c r="Q127" s="393">
        <f t="shared" ref="Q127:R127" si="281">AVERAGE(Q124:Q126)</f>
        <v>0.18851741891777529</v>
      </c>
      <c r="R127" s="393">
        <f t="shared" si="281"/>
        <v>18.851741891777529</v>
      </c>
      <c r="S127" s="394">
        <f t="shared" ref="S127" si="282">AVERAGE(S124:S126)</f>
        <v>0.3449955079439882</v>
      </c>
    </row>
    <row r="128" spans="1:20" ht="15.75" thickBot="1" x14ac:dyDescent="0.3">
      <c r="A128" s="530"/>
      <c r="B128" s="302"/>
      <c r="C128" s="530"/>
      <c r="D128" s="391" t="s">
        <v>162</v>
      </c>
      <c r="E128" s="399">
        <f>STDEV(E124:E126)</f>
        <v>2.0801282011773524E-2</v>
      </c>
      <c r="F128" s="399">
        <f t="shared" ref="F128:S128" si="283">STDEV(F124:F126)</f>
        <v>2.119748412744633E-2</v>
      </c>
      <c r="G128" s="399">
        <f t="shared" si="283"/>
        <v>1.2662279942148377E-2</v>
      </c>
      <c r="H128" s="399">
        <f t="shared" si="283"/>
        <v>2.0801282011773471E-5</v>
      </c>
      <c r="I128" s="399">
        <f t="shared" si="283"/>
        <v>2.1197484127446394E-5</v>
      </c>
      <c r="J128" s="399">
        <f t="shared" si="283"/>
        <v>1.2662279942148345E-5</v>
      </c>
      <c r="K128" s="399">
        <f t="shared" si="283"/>
        <v>9.0901339670182844E-9</v>
      </c>
      <c r="L128" s="399">
        <f t="shared" si="283"/>
        <v>2.2311217643076556E-9</v>
      </c>
      <c r="M128" s="399">
        <f t="shared" si="283"/>
        <v>1.7408943074959074E-3</v>
      </c>
      <c r="N128" s="399">
        <f t="shared" si="283"/>
        <v>4.8747031791200932</v>
      </c>
      <c r="O128" s="399">
        <f t="shared" si="283"/>
        <v>3.3821945435743328</v>
      </c>
      <c r="P128" s="399">
        <f t="shared" si="283"/>
        <v>3.4048356527381953</v>
      </c>
      <c r="Q128" s="399">
        <f t="shared" si="283"/>
        <v>1.4188722866341659E-3</v>
      </c>
      <c r="R128" s="399">
        <f t="shared" si="283"/>
        <v>0.1418872286634163</v>
      </c>
      <c r="S128" s="400">
        <f t="shared" si="283"/>
        <v>1.7408943074959074E-3</v>
      </c>
    </row>
    <row r="129" spans="1:20" x14ac:dyDescent="0.25">
      <c r="A129" s="530"/>
      <c r="B129" s="532" t="s">
        <v>20</v>
      </c>
      <c r="C129" s="530"/>
      <c r="D129" s="113" t="s">
        <v>135</v>
      </c>
      <c r="E129" s="392">
        <f>'Porosity and Density'!E87</f>
        <v>2.9914000000000001</v>
      </c>
      <c r="F129" s="393">
        <f>'Porosity and Density'!F87</f>
        <v>3.2989999999999999</v>
      </c>
      <c r="G129" s="393">
        <f>'Porosity and Density'!G87</f>
        <v>1.8819999999999999</v>
      </c>
      <c r="H129" s="393">
        <f>'Porosity and Density'!H87</f>
        <v>2.9914E-3</v>
      </c>
      <c r="I129" s="393">
        <f>'Porosity and Density'!I87</f>
        <v>3.2989999999999998E-3</v>
      </c>
      <c r="J129" s="393">
        <f>'Porosity and Density'!J87</f>
        <v>1.882E-3</v>
      </c>
      <c r="K129" s="393">
        <f>'Porosity and Density'!K87</f>
        <v>1.4195551993588457E-6</v>
      </c>
      <c r="L129" s="393">
        <f>'Porosity and Density'!L87</f>
        <v>3.0815467842115796E-7</v>
      </c>
      <c r="M129" s="393">
        <f>'Porosity and Density'!M87</f>
        <v>0.21707833450952713</v>
      </c>
      <c r="N129" s="393">
        <f>'Porosity and Density'!N87</f>
        <v>2107.279802399436</v>
      </c>
      <c r="O129" s="393">
        <f>'Porosity and Density'!O87</f>
        <v>2691.5589327564453</v>
      </c>
      <c r="P129" s="393">
        <f>'Porosity and Density'!P87</f>
        <v>2323.9673959068459</v>
      </c>
      <c r="Q129" s="393">
        <f>'Porosity and Density'!Q87</f>
        <v>0.10282810724075681</v>
      </c>
      <c r="R129" s="418">
        <f>Q129*100</f>
        <v>10.282810724075681</v>
      </c>
      <c r="S129" s="394">
        <f>'Porosity and Density'!R87</f>
        <v>0.21707833450952713</v>
      </c>
      <c r="T129" s="116"/>
    </row>
    <row r="130" spans="1:20" x14ac:dyDescent="0.25">
      <c r="A130" s="530"/>
      <c r="B130" s="530"/>
      <c r="C130" s="530"/>
      <c r="D130" s="114" t="s">
        <v>136</v>
      </c>
      <c r="E130" s="395">
        <f>'Porosity and Density'!E88</f>
        <v>3.1103000000000001</v>
      </c>
      <c r="F130" s="396">
        <f>'Porosity and Density'!F88</f>
        <v>3.4289999999999998</v>
      </c>
      <c r="G130" s="396">
        <f>'Porosity and Density'!G88</f>
        <v>1.954</v>
      </c>
      <c r="H130" s="396">
        <f>'Porosity and Density'!H88</f>
        <v>3.1103000000000003E-3</v>
      </c>
      <c r="I130" s="396">
        <f>'Porosity and Density'!I88</f>
        <v>3.4289999999999998E-3</v>
      </c>
      <c r="J130" s="396">
        <f>'Porosity and Density'!J88</f>
        <v>1.954E-3</v>
      </c>
      <c r="K130" s="396">
        <f>'Porosity and Density'!K88</f>
        <v>1.4776597876177115E-6</v>
      </c>
      <c r="L130" s="396">
        <f>'Porosity and Density'!L88</f>
        <v>3.1927469445000945E-7</v>
      </c>
      <c r="M130" s="396">
        <f>'Porosity and Density'!M88</f>
        <v>0.21606779661016917</v>
      </c>
      <c r="N130" s="396">
        <f>'Porosity and Density'!N88</f>
        <v>2104.8823457627127</v>
      </c>
      <c r="O130" s="396">
        <f>'Porosity and Density'!O88</f>
        <v>2685.0310991957103</v>
      </c>
      <c r="P130" s="396">
        <f>'Porosity and Density'!P88</f>
        <v>2320.5612203389837</v>
      </c>
      <c r="Q130" s="396">
        <f>'Porosity and Density'!Q88</f>
        <v>0.10246600006430229</v>
      </c>
      <c r="R130" s="419">
        <f>Q130*100</f>
        <v>10.246600006430228</v>
      </c>
      <c r="S130" s="397">
        <f>'Porosity and Density'!R88</f>
        <v>0.21606779661016917</v>
      </c>
      <c r="T130" s="117"/>
    </row>
    <row r="131" spans="1:20" ht="15.75" thickBot="1" x14ac:dyDescent="0.3">
      <c r="A131" s="533"/>
      <c r="B131" s="531"/>
      <c r="C131" s="530"/>
      <c r="D131" s="115" t="s">
        <v>137</v>
      </c>
      <c r="E131" s="398">
        <f>'Porosity and Density'!E89</f>
        <v>3.0082</v>
      </c>
      <c r="F131" s="399">
        <f>'Porosity and Density'!F89</f>
        <v>3.3130000000000002</v>
      </c>
      <c r="G131" s="399">
        <f>'Porosity and Density'!G89</f>
        <v>1.8919999999999999</v>
      </c>
      <c r="H131" s="399">
        <f>'Porosity and Density'!H89</f>
        <v>3.0081999999999999E-3</v>
      </c>
      <c r="I131" s="399">
        <f>'Porosity and Density'!I89</f>
        <v>3.3130000000000004E-3</v>
      </c>
      <c r="J131" s="399">
        <f>'Porosity and Density'!J89</f>
        <v>1.892E-3</v>
      </c>
      <c r="K131" s="399">
        <f>'Porosity and Density'!K89</f>
        <v>1.4235624123422164E-6</v>
      </c>
      <c r="L131" s="399">
        <f>'Porosity and Density'!L89</f>
        <v>3.0534962933279951E-7</v>
      </c>
      <c r="M131" s="399">
        <f>'Porosity and Density'!M89</f>
        <v>0.21449683321604532</v>
      </c>
      <c r="N131" s="399">
        <f>'Porosity and Density'!N89</f>
        <v>2113.1493596059108</v>
      </c>
      <c r="O131" s="399">
        <f>'Porosity and Density'!O89</f>
        <v>2690.1856656513169</v>
      </c>
      <c r="P131" s="399">
        <f>'Porosity and Density'!P89</f>
        <v>2327.260098522167</v>
      </c>
      <c r="Q131" s="399">
        <f>'Porosity and Density'!Q89</f>
        <v>0.10132305032910062</v>
      </c>
      <c r="R131" s="419">
        <f>Q131*100</f>
        <v>10.132305032910063</v>
      </c>
      <c r="S131" s="400">
        <f>'Porosity and Density'!R89</f>
        <v>0.21449683321604532</v>
      </c>
      <c r="T131" s="117"/>
    </row>
    <row r="132" spans="1:20" x14ac:dyDescent="0.25">
      <c r="A132" s="336"/>
      <c r="B132" s="302"/>
      <c r="C132" s="530"/>
      <c r="D132" s="390" t="s">
        <v>161</v>
      </c>
      <c r="E132" s="393">
        <f>AVERAGE(E129:E131)</f>
        <v>3.0366333333333331</v>
      </c>
      <c r="F132" s="393">
        <f t="shared" ref="F132" si="284">AVERAGE(F129:F131)</f>
        <v>3.347</v>
      </c>
      <c r="G132" s="393">
        <f t="shared" ref="G132" si="285">AVERAGE(G129:G131)</f>
        <v>1.9093333333333333</v>
      </c>
      <c r="H132" s="393">
        <f t="shared" ref="H132" si="286">AVERAGE(H129:H131)</f>
        <v>3.0366333333333335E-3</v>
      </c>
      <c r="I132" s="393">
        <f t="shared" ref="I132" si="287">AVERAGE(I129:I131)</f>
        <v>3.3469999999999997E-3</v>
      </c>
      <c r="J132" s="393">
        <f t="shared" ref="J132" si="288">AVERAGE(J129:J131)</f>
        <v>1.9093333333333334E-3</v>
      </c>
      <c r="K132" s="393">
        <f t="shared" ref="K132" si="289">AVERAGE(K129:K131)</f>
        <v>1.4402591331062578E-6</v>
      </c>
      <c r="L132" s="393">
        <f t="shared" ref="L132" si="290">AVERAGE(L129:L131)</f>
        <v>3.1092633406798893E-7</v>
      </c>
      <c r="M132" s="393">
        <f t="shared" ref="M132" si="291">AVERAGE(M129:M131)</f>
        <v>0.21588098811191389</v>
      </c>
      <c r="N132" s="393">
        <f t="shared" ref="N132" si="292">AVERAGE(N129:N131)</f>
        <v>2108.4371692560198</v>
      </c>
      <c r="O132" s="393">
        <f t="shared" ref="O132" si="293">AVERAGE(O129:O131)</f>
        <v>2688.925232534491</v>
      </c>
      <c r="P132" s="393">
        <f t="shared" ref="P132" si="294">AVERAGE(P129:P131)</f>
        <v>2323.9295715893322</v>
      </c>
      <c r="Q132" s="393">
        <f t="shared" ref="Q132:R132" si="295">AVERAGE(Q129:Q131)</f>
        <v>0.10220571921138656</v>
      </c>
      <c r="R132" s="393">
        <f t="shared" si="295"/>
        <v>10.220571921138657</v>
      </c>
      <c r="S132" s="394">
        <f t="shared" ref="S132" si="296">AVERAGE(S129:S131)</f>
        <v>0.21588098811191389</v>
      </c>
    </row>
    <row r="133" spans="1:20" ht="15.75" thickBot="1" x14ac:dyDescent="0.3">
      <c r="A133" s="336"/>
      <c r="B133" s="302"/>
      <c r="C133" s="530"/>
      <c r="D133" s="391" t="s">
        <v>162</v>
      </c>
      <c r="E133" s="399">
        <f>STDEV(E129:E131)</f>
        <v>6.4347830836270895E-2</v>
      </c>
      <c r="F133" s="399">
        <f t="shared" ref="F133:S133" si="297">STDEV(F129:F131)</f>
        <v>7.1358251099644984E-2</v>
      </c>
      <c r="G133" s="399">
        <f t="shared" si="297"/>
        <v>3.9004273270160233E-2</v>
      </c>
      <c r="H133" s="399">
        <f t="shared" si="297"/>
        <v>6.4347830836271078E-5</v>
      </c>
      <c r="I133" s="399">
        <f t="shared" si="297"/>
        <v>7.1358251099644905E-5</v>
      </c>
      <c r="J133" s="399">
        <f t="shared" si="297"/>
        <v>3.9004273270160204E-5</v>
      </c>
      <c r="K133" s="399">
        <f t="shared" si="297"/>
        <v>3.2451828259550512E-8</v>
      </c>
      <c r="L133" s="399">
        <f t="shared" si="297"/>
        <v>7.3646735092665151E-9</v>
      </c>
      <c r="M133" s="399">
        <f t="shared" si="297"/>
        <v>1.3008498350414481E-3</v>
      </c>
      <c r="N133" s="399">
        <f t="shared" si="297"/>
        <v>4.2532931948604782</v>
      </c>
      <c r="O133" s="399">
        <f t="shared" si="297"/>
        <v>3.4416088506188873</v>
      </c>
      <c r="P133" s="399">
        <f t="shared" si="297"/>
        <v>3.3495992652149926</v>
      </c>
      <c r="Q133" s="399">
        <f t="shared" si="297"/>
        <v>7.8556264462289289E-4</v>
      </c>
      <c r="R133" s="399">
        <f t="shared" si="297"/>
        <v>7.8556264462288763E-2</v>
      </c>
      <c r="S133" s="400">
        <f t="shared" si="297"/>
        <v>1.3008498350414481E-3</v>
      </c>
    </row>
    <row r="134" spans="1:20" x14ac:dyDescent="0.25">
      <c r="A134" s="529" t="s">
        <v>300</v>
      </c>
      <c r="B134" s="532" t="s">
        <v>134</v>
      </c>
      <c r="C134" s="530"/>
      <c r="D134" s="113" t="s">
        <v>135</v>
      </c>
      <c r="E134" s="392">
        <f>'Porosity and Density'!E90</f>
        <v>2.9643000000000002</v>
      </c>
      <c r="F134" s="393">
        <f>'Porosity and Density'!F90</f>
        <v>3.3769999999999998</v>
      </c>
      <c r="G134" s="393">
        <f>'Porosity and Density'!G90</f>
        <v>1.8919999999999999</v>
      </c>
      <c r="H134" s="393">
        <f>'Porosity and Density'!H90</f>
        <v>2.9643E-3</v>
      </c>
      <c r="I134" s="393">
        <f>'Porosity and Density'!I90</f>
        <v>3.3769999999999998E-3</v>
      </c>
      <c r="J134" s="393">
        <f>'Porosity and Density'!J90</f>
        <v>1.892E-3</v>
      </c>
      <c r="K134" s="393">
        <f>'Porosity and Density'!K90</f>
        <v>1.4876778200761368E-6</v>
      </c>
      <c r="L134" s="393">
        <f>'Porosity and Density'!L90</f>
        <v>4.1344419955920635E-7</v>
      </c>
      <c r="M134" s="393">
        <f>'Porosity and Density'!M90</f>
        <v>0.27791245791245783</v>
      </c>
      <c r="N134" s="393">
        <f>'Porosity and Density'!N90</f>
        <v>1992.5685252525257</v>
      </c>
      <c r="O134" s="393">
        <f>'Porosity and Density'!O90</f>
        <v>2759.4556187634057</v>
      </c>
      <c r="P134" s="393">
        <f>'Porosity and Density'!P90</f>
        <v>2269.9807407407411</v>
      </c>
      <c r="Q134" s="393">
        <f>'Porosity and Density'!Q90</f>
        <v>0.13922342542927496</v>
      </c>
      <c r="R134" s="418">
        <f>Q134*100</f>
        <v>13.922342542927495</v>
      </c>
      <c r="S134" s="394">
        <f>'Porosity and Density'!R90</f>
        <v>0.27791245791245783</v>
      </c>
      <c r="T134" s="117"/>
    </row>
    <row r="135" spans="1:20" x14ac:dyDescent="0.25">
      <c r="A135" s="530"/>
      <c r="B135" s="530"/>
      <c r="C135" s="530"/>
      <c r="D135" s="114" t="s">
        <v>136</v>
      </c>
      <c r="E135" s="395">
        <f>'Porosity and Density'!E91</f>
        <v>2.9409000000000001</v>
      </c>
      <c r="F135" s="396">
        <f>'Porosity and Density'!F91</f>
        <v>3.34</v>
      </c>
      <c r="G135" s="396">
        <f>'Porosity and Density'!G91</f>
        <v>1.881</v>
      </c>
      <c r="H135" s="396">
        <f>'Porosity and Density'!H91</f>
        <v>2.9409000000000002E-3</v>
      </c>
      <c r="I135" s="396">
        <f>'Porosity and Density'!I91</f>
        <v>3.3400000000000001E-3</v>
      </c>
      <c r="J135" s="396">
        <f>'Porosity and Density'!J91</f>
        <v>1.8810000000000001E-3</v>
      </c>
      <c r="K135" s="396">
        <f>'Porosity and Density'!K91</f>
        <v>1.4616309356842315E-6</v>
      </c>
      <c r="L135" s="396">
        <f>'Porosity and Density'!L91</f>
        <v>3.998196754157482E-7</v>
      </c>
      <c r="M135" s="396">
        <f>'Porosity and Density'!M91</f>
        <v>0.27354352296093204</v>
      </c>
      <c r="N135" s="396">
        <f>'Porosity and Density'!N91</f>
        <v>2012.067429746402</v>
      </c>
      <c r="O135" s="396">
        <f>'Porosity and Density'!O91</f>
        <v>2769.7012737050668</v>
      </c>
      <c r="P135" s="396">
        <f>'Porosity and Density'!P91</f>
        <v>2285.1185743660044</v>
      </c>
      <c r="Q135" s="396">
        <f>'Porosity and Density'!Q91</f>
        <v>0.13570675643510485</v>
      </c>
      <c r="R135" s="419">
        <f>Q135*100</f>
        <v>13.570675643510485</v>
      </c>
      <c r="S135" s="397">
        <f>'Porosity and Density'!R91</f>
        <v>0.27354352296093204</v>
      </c>
    </row>
    <row r="136" spans="1:20" ht="15.75" thickBot="1" x14ac:dyDescent="0.3">
      <c r="A136" s="530"/>
      <c r="B136" s="531"/>
      <c r="C136" s="530"/>
      <c r="D136" s="115" t="s">
        <v>137</v>
      </c>
      <c r="E136" s="398">
        <f>'Porosity and Density'!E92</f>
        <v>2.9445000000000001</v>
      </c>
      <c r="F136" s="399">
        <f>'Porosity and Density'!F92</f>
        <v>3.343</v>
      </c>
      <c r="G136" s="399">
        <f>'Porosity and Density'!G92</f>
        <v>1.883</v>
      </c>
      <c r="H136" s="399">
        <f>'Porosity and Density'!H92</f>
        <v>2.9445000000000001E-3</v>
      </c>
      <c r="I136" s="399">
        <f>'Porosity and Density'!I92</f>
        <v>3.3430000000000001E-3</v>
      </c>
      <c r="J136" s="399">
        <f>'Porosity and Density'!J92</f>
        <v>1.8830000000000001E-3</v>
      </c>
      <c r="K136" s="399">
        <f>'Porosity and Density'!K92</f>
        <v>1.4626327389300741E-6</v>
      </c>
      <c r="L136" s="399">
        <f>'Porosity and Density'!L92</f>
        <v>3.9921859346824281E-7</v>
      </c>
      <c r="M136" s="399">
        <f>'Porosity and Density'!M92</f>
        <v>0.27294520547945206</v>
      </c>
      <c r="N136" s="399">
        <f>'Porosity and Density'!N92</f>
        <v>2013.1506164383563</v>
      </c>
      <c r="O136" s="399">
        <f>'Porosity and Density'!O92</f>
        <v>2768.9118228921334</v>
      </c>
      <c r="P136" s="399">
        <f>'Porosity and Density'!P92</f>
        <v>2285.6045205479454</v>
      </c>
      <c r="Q136" s="399">
        <f>'Porosity and Density'!Q92</f>
        <v>0.13533706911190355</v>
      </c>
      <c r="R136" s="419">
        <f>Q136*100</f>
        <v>13.533706911190354</v>
      </c>
      <c r="S136" s="400">
        <f>'Porosity and Density'!R92</f>
        <v>0.27294520547945206</v>
      </c>
    </row>
    <row r="137" spans="1:20" x14ac:dyDescent="0.25">
      <c r="A137" s="530"/>
      <c r="B137" s="302"/>
      <c r="C137" s="530"/>
      <c r="D137" s="390" t="s">
        <v>161</v>
      </c>
      <c r="E137" s="393">
        <f>AVERAGE(E134:E136)</f>
        <v>2.9499</v>
      </c>
      <c r="F137" s="393">
        <f t="shared" ref="F137" si="298">AVERAGE(F134:F136)</f>
        <v>3.3533333333333331</v>
      </c>
      <c r="G137" s="393">
        <f t="shared" ref="G137" si="299">AVERAGE(G134:G136)</f>
        <v>1.8853333333333333</v>
      </c>
      <c r="H137" s="393">
        <f t="shared" ref="H137" si="300">AVERAGE(H134:H136)</f>
        <v>2.9499000000000001E-3</v>
      </c>
      <c r="I137" s="393">
        <f t="shared" ref="I137" si="301">AVERAGE(I134:I136)</f>
        <v>3.3533333333333332E-3</v>
      </c>
      <c r="J137" s="393">
        <f t="shared" ref="J137" si="302">AVERAGE(J134:J136)</f>
        <v>1.8853333333333335E-3</v>
      </c>
      <c r="K137" s="393">
        <f t="shared" ref="K137" si="303">AVERAGE(K134:K136)</f>
        <v>1.4706471648968143E-6</v>
      </c>
      <c r="L137" s="393">
        <f t="shared" ref="L137" si="304">AVERAGE(L134:L136)</f>
        <v>4.0416082281439915E-7</v>
      </c>
      <c r="M137" s="393">
        <f t="shared" ref="M137" si="305">AVERAGE(M134:M136)</f>
        <v>0.27480039545094731</v>
      </c>
      <c r="N137" s="393">
        <f t="shared" ref="N137" si="306">AVERAGE(N134:N136)</f>
        <v>2005.9288571457612</v>
      </c>
      <c r="O137" s="393">
        <f t="shared" ref="O137" si="307">AVERAGE(O134:O136)</f>
        <v>2766.0229051202018</v>
      </c>
      <c r="P137" s="393">
        <f t="shared" ref="P137" si="308">AVERAGE(P134:P136)</f>
        <v>2280.2346118848968</v>
      </c>
      <c r="Q137" s="393">
        <f t="shared" ref="Q137:R137" si="309">AVERAGE(Q134:Q136)</f>
        <v>0.13675575032542778</v>
      </c>
      <c r="R137" s="393">
        <f t="shared" si="309"/>
        <v>13.675575032542776</v>
      </c>
      <c r="S137" s="394">
        <f t="shared" ref="S137" si="310">AVERAGE(S134:S136)</f>
        <v>0.27480039545094731</v>
      </c>
    </row>
    <row r="138" spans="1:20" ht="15.75" thickBot="1" x14ac:dyDescent="0.3">
      <c r="A138" s="530"/>
      <c r="B138" s="302"/>
      <c r="C138" s="530"/>
      <c r="D138" s="391" t="s">
        <v>162</v>
      </c>
      <c r="E138" s="399">
        <f>STDEV(E134:E136)</f>
        <v>1.260000000000004E-2</v>
      </c>
      <c r="F138" s="399">
        <f t="shared" ref="F138:S138" si="311">STDEV(F134:F136)</f>
        <v>2.0550750189064396E-2</v>
      </c>
      <c r="G138" s="399">
        <f t="shared" si="311"/>
        <v>5.8594652770822576E-3</v>
      </c>
      <c r="H138" s="399">
        <f t="shared" si="311"/>
        <v>1.2599999999999918E-5</v>
      </c>
      <c r="I138" s="399">
        <f t="shared" si="311"/>
        <v>2.055075018906431E-5</v>
      </c>
      <c r="J138" s="399">
        <f t="shared" si="311"/>
        <v>5.8594652770822729E-6</v>
      </c>
      <c r="K138" s="399">
        <f t="shared" si="311"/>
        <v>1.4757483332654911E-8</v>
      </c>
      <c r="L138" s="399">
        <f t="shared" si="311"/>
        <v>8.045255602926794E-9</v>
      </c>
      <c r="M138" s="399">
        <f t="shared" si="311"/>
        <v>2.7116776219562565E-3</v>
      </c>
      <c r="N138" s="399">
        <f t="shared" si="311"/>
        <v>11.583055493930111</v>
      </c>
      <c r="O138" s="399">
        <f t="shared" si="311"/>
        <v>5.70111793560105</v>
      </c>
      <c r="P138" s="399">
        <f t="shared" si="311"/>
        <v>8.8834363285639597</v>
      </c>
      <c r="Q138" s="399">
        <f t="shared" si="311"/>
        <v>2.1450483660850886E-3</v>
      </c>
      <c r="R138" s="399">
        <f t="shared" si="311"/>
        <v>0.21450483660850872</v>
      </c>
      <c r="S138" s="400">
        <f t="shared" si="311"/>
        <v>2.7116776219562565E-3</v>
      </c>
    </row>
    <row r="139" spans="1:20" x14ac:dyDescent="0.25">
      <c r="A139" s="530"/>
      <c r="B139" s="532" t="s">
        <v>20</v>
      </c>
      <c r="C139" s="530"/>
      <c r="D139" s="113" t="s">
        <v>135</v>
      </c>
      <c r="E139" s="392">
        <f>'Porosity and Density'!E93</f>
        <v>3.0381999999999998</v>
      </c>
      <c r="F139" s="393">
        <f>'Porosity and Density'!F93</f>
        <v>3.2280000000000002</v>
      </c>
      <c r="G139" s="393">
        <f>'Porosity and Density'!G93</f>
        <v>1.903</v>
      </c>
      <c r="H139" s="393">
        <f>'Porosity and Density'!H93</f>
        <v>3.0382E-3</v>
      </c>
      <c r="I139" s="393">
        <f>'Porosity and Density'!I93</f>
        <v>3.2280000000000004E-3</v>
      </c>
      <c r="J139" s="393">
        <f>'Porosity and Density'!J93</f>
        <v>1.903E-3</v>
      </c>
      <c r="K139" s="393">
        <f>'Porosity and Density'!K93</f>
        <v>1.3273893007413348E-6</v>
      </c>
      <c r="L139" s="393">
        <f>'Porosity and Density'!L93</f>
        <v>1.9014225606091002E-7</v>
      </c>
      <c r="M139" s="393">
        <f>'Porosity and Density'!M93</f>
        <v>0.14324528301886816</v>
      </c>
      <c r="N139" s="393">
        <f>'Porosity and Density'!N93</f>
        <v>2288.8537660377351</v>
      </c>
      <c r="O139" s="393">
        <f>'Porosity and Density'!O93</f>
        <v>2671.5391472868214</v>
      </c>
      <c r="P139" s="393">
        <f>'Porosity and Density'!P93</f>
        <v>2431.8412075471692</v>
      </c>
      <c r="Q139" s="393">
        <f>'Porosity and Density'!Q93</f>
        <v>6.2471200052662886E-2</v>
      </c>
      <c r="R139" s="418">
        <f>Q139*100</f>
        <v>6.2471200052662885</v>
      </c>
      <c r="S139" s="394">
        <f>'Porosity and Density'!R93</f>
        <v>0.14324528301886816</v>
      </c>
    </row>
    <row r="140" spans="1:20" x14ac:dyDescent="0.25">
      <c r="A140" s="530"/>
      <c r="B140" s="530"/>
      <c r="C140" s="530"/>
      <c r="D140" s="114" t="s">
        <v>136</v>
      </c>
      <c r="E140" s="395">
        <f>'Porosity and Density'!E94</f>
        <v>3.0383</v>
      </c>
      <c r="F140" s="396">
        <f>'Porosity and Density'!F94</f>
        <v>3.2320000000000002</v>
      </c>
      <c r="G140" s="396">
        <f>'Porosity and Density'!G94</f>
        <v>1.903</v>
      </c>
      <c r="H140" s="396">
        <f>'Porosity and Density'!H94</f>
        <v>3.0382999999999999E-3</v>
      </c>
      <c r="I140" s="396">
        <f>'Porosity and Density'!I94</f>
        <v>3.2320000000000001E-3</v>
      </c>
      <c r="J140" s="396">
        <f>'Porosity and Density'!J94</f>
        <v>1.903E-3</v>
      </c>
      <c r="K140" s="396">
        <f>'Porosity and Density'!K94</f>
        <v>1.3313965137247045E-6</v>
      </c>
      <c r="L140" s="396">
        <f>'Porosity and Density'!L94</f>
        <v>1.9404928871969566E-7</v>
      </c>
      <c r="M140" s="396">
        <f>'Porosity and Density'!M94</f>
        <v>0.14574868322046666</v>
      </c>
      <c r="N140" s="396">
        <f>'Porosity and Density'!N94</f>
        <v>2282.0399247554551</v>
      </c>
      <c r="O140" s="396">
        <f>'Porosity and Density'!O94</f>
        <v>2671.3917554831328</v>
      </c>
      <c r="P140" s="396">
        <f>'Porosity and Density'!P94</f>
        <v>2427.5262603461251</v>
      </c>
      <c r="Q140" s="396">
        <f>'Porosity and Density'!Q94</f>
        <v>6.3752756475660796E-2</v>
      </c>
      <c r="R140" s="419">
        <f>Q140*100</f>
        <v>6.3752756475660792</v>
      </c>
      <c r="S140" s="397">
        <f>'Porosity and Density'!R94</f>
        <v>0.14574868322046666</v>
      </c>
    </row>
    <row r="141" spans="1:20" ht="15.75" thickBot="1" x14ac:dyDescent="0.3">
      <c r="A141" s="531"/>
      <c r="B141" s="531"/>
      <c r="C141" s="531"/>
      <c r="D141" s="115" t="s">
        <v>137</v>
      </c>
      <c r="E141" s="398">
        <f>'Porosity and Density'!E95</f>
        <v>3.0489000000000002</v>
      </c>
      <c r="F141" s="399">
        <f>'Porosity and Density'!F95</f>
        <v>3.2360000000000002</v>
      </c>
      <c r="G141" s="399">
        <f>'Porosity and Density'!G95</f>
        <v>1.91</v>
      </c>
      <c r="H141" s="399">
        <f>'Porosity and Density'!H95</f>
        <v>3.0489000000000002E-3</v>
      </c>
      <c r="I141" s="399">
        <f>'Porosity and Density'!I95</f>
        <v>3.2360000000000002E-3</v>
      </c>
      <c r="J141" s="399">
        <f>'Porosity and Density'!J95</f>
        <v>1.91E-3</v>
      </c>
      <c r="K141" s="399">
        <f>'Porosity and Density'!K95</f>
        <v>1.328391103987177E-6</v>
      </c>
      <c r="L141" s="399">
        <f>'Porosity and Density'!L95</f>
        <v>1.8743738729713478E-7</v>
      </c>
      <c r="M141" s="399">
        <f>'Porosity and Density'!M95</f>
        <v>0.1411010558069381</v>
      </c>
      <c r="N141" s="399">
        <f>'Porosity and Density'!N95</f>
        <v>2295.182488687783</v>
      </c>
      <c r="O141" s="399">
        <f>'Porosity and Density'!O95</f>
        <v>2672.2381069452981</v>
      </c>
      <c r="P141" s="399">
        <f>'Porosity and Density'!P95</f>
        <v>2436.0295625942686</v>
      </c>
      <c r="Q141" s="399">
        <f>'Porosity and Density'!Q95</f>
        <v>6.1366394437338032E-2</v>
      </c>
      <c r="R141" s="419">
        <f>Q141*100</f>
        <v>6.1366394437338032</v>
      </c>
      <c r="S141" s="400">
        <f>'Porosity and Density'!R95</f>
        <v>0.1411010558069381</v>
      </c>
    </row>
    <row r="142" spans="1:20" x14ac:dyDescent="0.25">
      <c r="A142" s="336"/>
      <c r="B142" s="302"/>
      <c r="C142" s="381"/>
      <c r="D142" s="390" t="s">
        <v>161</v>
      </c>
      <c r="E142" s="393">
        <f>AVERAGE(E139:E141)</f>
        <v>3.0417999999999998</v>
      </c>
      <c r="F142" s="393">
        <f t="shared" ref="F142" si="312">AVERAGE(F139:F141)</f>
        <v>3.2320000000000007</v>
      </c>
      <c r="G142" s="393">
        <f t="shared" ref="G142" si="313">AVERAGE(G139:G141)</f>
        <v>1.9053333333333333</v>
      </c>
      <c r="H142" s="393">
        <f t="shared" ref="H142" si="314">AVERAGE(H139:H141)</f>
        <v>3.0418000000000003E-3</v>
      </c>
      <c r="I142" s="393">
        <f t="shared" ref="I142" si="315">AVERAGE(I139:I141)</f>
        <v>3.2320000000000001E-3</v>
      </c>
      <c r="J142" s="393">
        <f t="shared" ref="J142" si="316">AVERAGE(J139:J141)</f>
        <v>1.9053333333333333E-3</v>
      </c>
      <c r="K142" s="393">
        <f t="shared" ref="K142" si="317">AVERAGE(K139:K141)</f>
        <v>1.3290589728177387E-6</v>
      </c>
      <c r="L142" s="393">
        <f t="shared" ref="L142" si="318">AVERAGE(L139:L141)</f>
        <v>1.9054297735924683E-7</v>
      </c>
      <c r="M142" s="393">
        <f t="shared" ref="M142" si="319">AVERAGE(M139:M141)</f>
        <v>0.14336500734875765</v>
      </c>
      <c r="N142" s="393">
        <f t="shared" ref="N142" si="320">AVERAGE(N139:N141)</f>
        <v>2288.6920598269912</v>
      </c>
      <c r="O142" s="393">
        <f t="shared" ref="O142" si="321">AVERAGE(O139:O141)</f>
        <v>2671.7230032384177</v>
      </c>
      <c r="P142" s="393">
        <f t="shared" ref="P142" si="322">AVERAGE(P139:P141)</f>
        <v>2431.7990101625214</v>
      </c>
      <c r="Q142" s="393">
        <f t="shared" ref="Q142:R142" si="323">AVERAGE(Q139:Q141)</f>
        <v>6.2530116988553916E-2</v>
      </c>
      <c r="R142" s="393">
        <f t="shared" si="323"/>
        <v>6.2530116988553894</v>
      </c>
      <c r="S142" s="394">
        <f t="shared" ref="S142" si="324">AVERAGE(S139:S141)</f>
        <v>0.14336500734875765</v>
      </c>
    </row>
    <row r="143" spans="1:20" ht="15.75" thickBot="1" x14ac:dyDescent="0.3">
      <c r="A143" s="336"/>
      <c r="B143" s="302"/>
      <c r="C143" s="381"/>
      <c r="D143" s="391" t="s">
        <v>162</v>
      </c>
      <c r="E143" s="399">
        <f>STDEV(E139:E141)</f>
        <v>6.1489836558574398E-3</v>
      </c>
      <c r="F143" s="399">
        <f t="shared" ref="F143:S143" si="325">STDEV(F139:F141)</f>
        <v>4.0000000000000036E-3</v>
      </c>
      <c r="G143" s="399">
        <f t="shared" si="325"/>
        <v>4.0414518843273194E-3</v>
      </c>
      <c r="H143" s="399">
        <f t="shared" si="325"/>
        <v>6.1489836558574477E-6</v>
      </c>
      <c r="I143" s="399">
        <f t="shared" si="325"/>
        <v>3.9999999999998804E-6</v>
      </c>
      <c r="J143" s="399">
        <f t="shared" si="325"/>
        <v>4.0414518843274161E-6</v>
      </c>
      <c r="K143" s="399">
        <f t="shared" si="325"/>
        <v>2.0854197550250134E-9</v>
      </c>
      <c r="L143" s="399">
        <f t="shared" si="325"/>
        <v>3.324115412349757E-9</v>
      </c>
      <c r="M143" s="399">
        <f t="shared" si="325"/>
        <v>2.3261256587126067E-3</v>
      </c>
      <c r="N143" s="399">
        <f t="shared" si="325"/>
        <v>6.5727740226464855</v>
      </c>
      <c r="O143" s="399">
        <f t="shared" si="325"/>
        <v>0.45213931213765524</v>
      </c>
      <c r="P143" s="399">
        <f t="shared" si="325"/>
        <v>4.2518081736213862</v>
      </c>
      <c r="Q143" s="399">
        <f t="shared" si="325"/>
        <v>1.1942714718555763E-3</v>
      </c>
      <c r="R143" s="399">
        <f t="shared" si="325"/>
        <v>0.11942714718555741</v>
      </c>
      <c r="S143" s="400">
        <f t="shared" si="325"/>
        <v>2.3261256587126067E-3</v>
      </c>
    </row>
    <row r="144" spans="1:20" x14ac:dyDescent="0.25">
      <c r="A144" s="108" t="s">
        <v>273</v>
      </c>
      <c r="B144" s="148" t="s">
        <v>274</v>
      </c>
      <c r="C144" s="148" t="s">
        <v>275</v>
      </c>
      <c r="D144" s="109" t="s">
        <v>6</v>
      </c>
      <c r="E144" s="150" t="s">
        <v>276</v>
      </c>
      <c r="F144" s="150" t="s">
        <v>277</v>
      </c>
      <c r="G144" s="150" t="s">
        <v>278</v>
      </c>
      <c r="H144" s="150" t="s">
        <v>276</v>
      </c>
      <c r="I144" s="109" t="s">
        <v>277</v>
      </c>
      <c r="J144" s="109" t="s">
        <v>278</v>
      </c>
      <c r="K144" s="109" t="s">
        <v>279</v>
      </c>
      <c r="L144" s="109" t="s">
        <v>280</v>
      </c>
      <c r="M144" s="109" t="s">
        <v>281</v>
      </c>
      <c r="N144" s="109" t="s">
        <v>282</v>
      </c>
      <c r="O144" s="109" t="s">
        <v>283</v>
      </c>
      <c r="P144" s="109" t="s">
        <v>284</v>
      </c>
      <c r="Q144" s="109" t="s">
        <v>285</v>
      </c>
      <c r="R144" s="416" t="s">
        <v>285</v>
      </c>
      <c r="S144" s="110" t="s">
        <v>286</v>
      </c>
      <c r="T144" s="117"/>
    </row>
    <row r="145" spans="1:20" ht="15.75" thickBot="1" x14ac:dyDescent="0.3">
      <c r="A145" s="111"/>
      <c r="B145" s="149"/>
      <c r="C145" s="149"/>
      <c r="D145" s="112"/>
      <c r="E145" s="112" t="s">
        <v>120</v>
      </c>
      <c r="F145" s="112" t="s">
        <v>120</v>
      </c>
      <c r="G145" s="112" t="s">
        <v>120</v>
      </c>
      <c r="H145" s="112" t="s">
        <v>28</v>
      </c>
      <c r="I145" s="112" t="s">
        <v>28</v>
      </c>
      <c r="J145" s="112" t="s">
        <v>28</v>
      </c>
      <c r="K145" s="112" t="s">
        <v>287</v>
      </c>
      <c r="L145" s="112" t="s">
        <v>291</v>
      </c>
      <c r="M145" s="112" t="s">
        <v>289</v>
      </c>
      <c r="N145" s="112" t="s">
        <v>289</v>
      </c>
      <c r="O145" s="112" t="s">
        <v>289</v>
      </c>
      <c r="P145" s="112" t="s">
        <v>289</v>
      </c>
      <c r="Q145" s="340" t="s">
        <v>290</v>
      </c>
      <c r="R145" s="417" t="s">
        <v>301</v>
      </c>
      <c r="S145" s="341" t="s">
        <v>291</v>
      </c>
      <c r="T145" s="117"/>
    </row>
    <row r="146" spans="1:20" x14ac:dyDescent="0.25">
      <c r="A146" s="529" t="s">
        <v>298</v>
      </c>
      <c r="B146" s="532" t="s">
        <v>134</v>
      </c>
      <c r="C146" s="532" t="s">
        <v>125</v>
      </c>
      <c r="D146" s="113" t="s">
        <v>135</v>
      </c>
      <c r="E146" s="392">
        <f>'Porosity and Density'!E98</f>
        <v>2.8774999999999999</v>
      </c>
      <c r="F146" s="393">
        <f>'Porosity and Density'!F98</f>
        <v>3.4550000000000001</v>
      </c>
      <c r="G146" s="393">
        <f>'Porosity and Density'!G98</f>
        <v>1.847</v>
      </c>
      <c r="H146" s="393">
        <f>'Porosity and Density'!H98</f>
        <v>2.8774999999999998E-3</v>
      </c>
      <c r="I146" s="393">
        <f>'Porosity and Density'!I98</f>
        <v>3.4550000000000002E-3</v>
      </c>
      <c r="J146" s="393">
        <f>'Porosity and Density'!J98</f>
        <v>1.8470000000000001E-3</v>
      </c>
      <c r="K146" s="393">
        <f>'Porosity and Density'!K98</f>
        <v>1.6108996193147667E-6</v>
      </c>
      <c r="L146" s="393">
        <f>'Porosity and Density'!L98</f>
        <v>5.7854137447405363E-7</v>
      </c>
      <c r="M146" s="393">
        <f>'Porosity and Density'!M98</f>
        <v>0.35914179104477634</v>
      </c>
      <c r="N146" s="393">
        <f>'Porosity and Density'!N98</f>
        <v>1786.2689676616915</v>
      </c>
      <c r="O146" s="393">
        <f>'Porosity and Density'!O98</f>
        <v>2787.3076176613299</v>
      </c>
      <c r="P146" s="393">
        <f>'Porosity and Density'!P98</f>
        <v>2144.7643034825869</v>
      </c>
      <c r="Q146" s="393">
        <f>'Porosity and Density'!Q98</f>
        <v>0.20069504778453531</v>
      </c>
      <c r="R146" s="418">
        <f>Q146*100</f>
        <v>20.069504778453531</v>
      </c>
      <c r="S146" s="394">
        <f>'Porosity and Density'!R98</f>
        <v>0.35914179104477634</v>
      </c>
      <c r="T146" s="117"/>
    </row>
    <row r="147" spans="1:20" x14ac:dyDescent="0.25">
      <c r="A147" s="530"/>
      <c r="B147" s="530"/>
      <c r="C147" s="530"/>
      <c r="D147" s="114" t="s">
        <v>136</v>
      </c>
      <c r="E147" s="395">
        <f>'Porosity and Density'!E99</f>
        <v>2.9725999999999999</v>
      </c>
      <c r="F147" s="396">
        <f>'Porosity and Density'!F99</f>
        <v>3.5569999999999999</v>
      </c>
      <c r="G147" s="396">
        <f>'Porosity and Density'!G99</f>
        <v>1.91</v>
      </c>
      <c r="H147" s="396">
        <f>'Porosity and Density'!H99</f>
        <v>2.9726000000000002E-3</v>
      </c>
      <c r="I147" s="396">
        <f>'Porosity and Density'!I99</f>
        <v>3.5569999999999998E-3</v>
      </c>
      <c r="J147" s="396">
        <f>'Porosity and Density'!J99</f>
        <v>1.91E-3</v>
      </c>
      <c r="K147" s="396">
        <f>'Porosity and Density'!K99</f>
        <v>1.6499699459026244E-6</v>
      </c>
      <c r="L147" s="396">
        <f>'Porosity and Density'!L99</f>
        <v>5.8545381687036629E-7</v>
      </c>
      <c r="M147" s="396">
        <f>'Porosity and Density'!M99</f>
        <v>0.35482695810564646</v>
      </c>
      <c r="N147" s="396">
        <f>'Porosity and Density'!N99</f>
        <v>1801.6085731633277</v>
      </c>
      <c r="O147" s="396">
        <f>'Porosity and Density'!O99</f>
        <v>2792.4424242424243</v>
      </c>
      <c r="P147" s="396">
        <f>'Porosity and Density'!P99</f>
        <v>2155.7968427443843</v>
      </c>
      <c r="Q147" s="396">
        <f>'Porosity and Density'!Q99</f>
        <v>0.19659557289914542</v>
      </c>
      <c r="R147" s="419">
        <f>Q147*100</f>
        <v>19.659557289914542</v>
      </c>
      <c r="S147" s="397">
        <f>'Porosity and Density'!R99</f>
        <v>0.35482695810564646</v>
      </c>
    </row>
    <row r="148" spans="1:20" ht="15.75" thickBot="1" x14ac:dyDescent="0.3">
      <c r="A148" s="530"/>
      <c r="B148" s="531"/>
      <c r="C148" s="530"/>
      <c r="D148" s="115" t="s">
        <v>137</v>
      </c>
      <c r="E148" s="398">
        <f>'Porosity and Density'!E100</f>
        <v>2.9249000000000001</v>
      </c>
      <c r="F148" s="399">
        <f>'Porosity and Density'!F100</f>
        <v>3.4889999999999999</v>
      </c>
      <c r="G148" s="399">
        <f>'Porosity and Density'!G100</f>
        <v>1.8759999999999999</v>
      </c>
      <c r="H148" s="399">
        <f>'Porosity and Density'!H100</f>
        <v>2.9249000000000002E-3</v>
      </c>
      <c r="I148" s="399">
        <f>'Porosity and Density'!I100</f>
        <v>3.4889999999999999E-3</v>
      </c>
      <c r="J148" s="399">
        <f>'Porosity and Density'!J100</f>
        <v>1.8759999999999998E-3</v>
      </c>
      <c r="K148" s="399">
        <f>'Porosity and Density'!K100</f>
        <v>1.6159086355439791E-6</v>
      </c>
      <c r="L148" s="399">
        <f>'Porosity and Density'!L100</f>
        <v>5.6511721097976318E-7</v>
      </c>
      <c r="M148" s="399">
        <f>'Porosity and Density'!M100</f>
        <v>0.34972101673899542</v>
      </c>
      <c r="N148" s="399">
        <f>'Porosity and Density'!N100</f>
        <v>1810.065207687539</v>
      </c>
      <c r="O148" s="399">
        <f>'Porosity and Density'!O100</f>
        <v>2783.5210029554769</v>
      </c>
      <c r="P148" s="399">
        <f>'Porosity and Density'!P100</f>
        <v>2159.156726596404</v>
      </c>
      <c r="Q148" s="399">
        <f>'Porosity and Density'!Q100</f>
        <v>0.19286129440322733</v>
      </c>
      <c r="R148" s="419">
        <f>Q148*100</f>
        <v>19.286129440322732</v>
      </c>
      <c r="S148" s="400">
        <f>'Porosity and Density'!R100</f>
        <v>0.34972101673899542</v>
      </c>
    </row>
    <row r="149" spans="1:20" x14ac:dyDescent="0.25">
      <c r="A149" s="530"/>
      <c r="B149" s="302"/>
      <c r="C149" s="530"/>
      <c r="D149" s="390" t="s">
        <v>161</v>
      </c>
      <c r="E149" s="393">
        <f>AVERAGE(E146:E148)</f>
        <v>2.9249999999999994</v>
      </c>
      <c r="F149" s="393">
        <f t="shared" ref="F149" si="326">AVERAGE(F146:F148)</f>
        <v>3.5003333333333337</v>
      </c>
      <c r="G149" s="393">
        <f t="shared" ref="G149" si="327">AVERAGE(G146:G148)</f>
        <v>1.8776666666666664</v>
      </c>
      <c r="H149" s="393">
        <f t="shared" ref="H149" si="328">AVERAGE(H146:H148)</f>
        <v>2.9250000000000005E-3</v>
      </c>
      <c r="I149" s="393">
        <f t="shared" ref="I149" si="329">AVERAGE(I146:I148)</f>
        <v>3.5003333333333332E-3</v>
      </c>
      <c r="J149" s="393">
        <f t="shared" ref="J149" si="330">AVERAGE(J146:J148)</f>
        <v>1.8776666666666666E-3</v>
      </c>
      <c r="K149" s="393">
        <f t="shared" ref="K149" si="331">AVERAGE(K146:K148)</f>
        <v>1.6255927335871234E-6</v>
      </c>
      <c r="L149" s="393">
        <f t="shared" ref="L149" si="332">AVERAGE(L146:L148)</f>
        <v>5.7637080077472774E-7</v>
      </c>
      <c r="M149" s="393">
        <f t="shared" ref="M149" si="333">AVERAGE(M146:M148)</f>
        <v>0.35456325529647276</v>
      </c>
      <c r="N149" s="393">
        <f t="shared" ref="N149" si="334">AVERAGE(N146:N148)</f>
        <v>1799.3142495041859</v>
      </c>
      <c r="O149" s="393">
        <f t="shared" ref="O149" si="335">AVERAGE(O146:O148)</f>
        <v>2787.757014953077</v>
      </c>
      <c r="P149" s="393">
        <f t="shared" ref="P149" si="336">AVERAGE(P146:P148)</f>
        <v>2153.2392909411251</v>
      </c>
      <c r="Q149" s="393">
        <f t="shared" ref="Q149:R149" si="337">AVERAGE(Q146:Q148)</f>
        <v>0.19671730502896934</v>
      </c>
      <c r="R149" s="393">
        <f t="shared" si="337"/>
        <v>19.671730502896935</v>
      </c>
      <c r="S149" s="394">
        <f t="shared" ref="S149" si="338">AVERAGE(S146:S148)</f>
        <v>0.35456325529647276</v>
      </c>
    </row>
    <row r="150" spans="1:20" ht="15.75" thickBot="1" x14ac:dyDescent="0.3">
      <c r="A150" s="530"/>
      <c r="B150" s="302"/>
      <c r="C150" s="530"/>
      <c r="D150" s="391" t="s">
        <v>162</v>
      </c>
      <c r="E150" s="399">
        <f>STDEV(E146:E148)</f>
        <v>4.7550078864287894E-2</v>
      </c>
      <c r="F150" s="399">
        <f t="shared" ref="F150:S150" si="339">STDEV(F146:F148)</f>
        <v>5.1935857876166135E-2</v>
      </c>
      <c r="G150" s="399">
        <f t="shared" si="339"/>
        <v>3.1533051443419356E-2</v>
      </c>
      <c r="H150" s="399">
        <f t="shared" si="339"/>
        <v>4.7550078864288063E-5</v>
      </c>
      <c r="I150" s="399">
        <f t="shared" si="339"/>
        <v>5.1935857876166023E-5</v>
      </c>
      <c r="J150" s="399">
        <f t="shared" si="339"/>
        <v>3.1533051443419346E-5</v>
      </c>
      <c r="K150" s="399">
        <f t="shared" si="339"/>
        <v>2.1259325509112187E-8</v>
      </c>
      <c r="L150" s="399">
        <f t="shared" si="339"/>
        <v>1.0340596086569785E-8</v>
      </c>
      <c r="M150" s="399">
        <f t="shared" si="339"/>
        <v>4.7159200066148373E-3</v>
      </c>
      <c r="N150" s="399">
        <f t="shared" si="339"/>
        <v>12.062885253189208</v>
      </c>
      <c r="O150" s="399">
        <f t="shared" si="339"/>
        <v>4.4776565175515435</v>
      </c>
      <c r="P150" s="399">
        <f t="shared" si="339"/>
        <v>7.529360144896132</v>
      </c>
      <c r="Q150" s="399">
        <f t="shared" si="339"/>
        <v>3.9182951705253365E-3</v>
      </c>
      <c r="R150" s="399">
        <f t="shared" si="339"/>
        <v>0.39182951705253405</v>
      </c>
      <c r="S150" s="400">
        <f t="shared" si="339"/>
        <v>4.7159200066148373E-3</v>
      </c>
    </row>
    <row r="151" spans="1:20" x14ac:dyDescent="0.25">
      <c r="A151" s="530"/>
      <c r="B151" s="532" t="s">
        <v>20</v>
      </c>
      <c r="C151" s="530"/>
      <c r="D151" s="113" t="s">
        <v>135</v>
      </c>
      <c r="E151" s="392">
        <f>'Porosity and Density'!E101</f>
        <v>3.0095999999999998</v>
      </c>
      <c r="F151" s="393">
        <f>'Porosity and Density'!F101</f>
        <v>3.4039999999999999</v>
      </c>
      <c r="G151" s="393">
        <f>'Porosity and Density'!G101</f>
        <v>1.899</v>
      </c>
      <c r="H151" s="393">
        <f>'Porosity and Density'!H101</f>
        <v>3.0095999999999999E-3</v>
      </c>
      <c r="I151" s="393">
        <f>'Porosity and Density'!I101</f>
        <v>3.4039999999999999E-3</v>
      </c>
      <c r="J151" s="393">
        <f>'Porosity and Density'!J101</f>
        <v>1.8990000000000001E-3</v>
      </c>
      <c r="K151" s="393">
        <f>'Porosity and Density'!K101</f>
        <v>1.507713884992987E-6</v>
      </c>
      <c r="L151" s="393">
        <f>'Porosity and Density'!L101</f>
        <v>3.9511120016028855E-7</v>
      </c>
      <c r="M151" s="393">
        <f>'Porosity and Density'!M101</f>
        <v>0.26205980066445189</v>
      </c>
      <c r="N151" s="393">
        <f>'Porosity and Density'!N101</f>
        <v>1996.1346976744189</v>
      </c>
      <c r="O151" s="393">
        <f>'Porosity and Density'!O101</f>
        <v>2705.0087520259326</v>
      </c>
      <c r="P151" s="393">
        <f>'Porosity and Density'!P101</f>
        <v>2257.722790697675</v>
      </c>
      <c r="Q151" s="393">
        <f>'Porosity and Density'!Q101</f>
        <v>0.13104731525784161</v>
      </c>
      <c r="R151" s="418">
        <f>Q151*100</f>
        <v>13.10473152578416</v>
      </c>
      <c r="S151" s="394">
        <f>'Porosity and Density'!R101</f>
        <v>0.26205980066445189</v>
      </c>
    </row>
    <row r="152" spans="1:20" x14ac:dyDescent="0.25">
      <c r="A152" s="530"/>
      <c r="B152" s="530"/>
      <c r="C152" s="530"/>
      <c r="D152" s="114" t="s">
        <v>136</v>
      </c>
      <c r="E152" s="395">
        <f>'Porosity and Density'!E102</f>
        <v>3.0687000000000002</v>
      </c>
      <c r="F152" s="396">
        <f>'Porosity and Density'!F102</f>
        <v>3.464</v>
      </c>
      <c r="G152" s="396">
        <f>'Porosity and Density'!G102</f>
        <v>1.9390000000000001</v>
      </c>
      <c r="H152" s="396">
        <f>'Porosity and Density'!H102</f>
        <v>3.0687000000000002E-3</v>
      </c>
      <c r="I152" s="396">
        <f>'Porosity and Density'!I102</f>
        <v>3.4640000000000001E-3</v>
      </c>
      <c r="J152" s="396">
        <f>'Porosity and Density'!J102</f>
        <v>1.9390000000000002E-3</v>
      </c>
      <c r="K152" s="396">
        <f>'Porosity and Density'!K102</f>
        <v>1.5277499499098375E-6</v>
      </c>
      <c r="L152" s="396">
        <f>'Porosity and Density'!L102</f>
        <v>3.9601282308154665E-7</v>
      </c>
      <c r="M152" s="396">
        <f>'Porosity and Density'!M102</f>
        <v>0.25921311475409831</v>
      </c>
      <c r="N152" s="396">
        <f>'Porosity and Density'!N102</f>
        <v>2008.6402229508201</v>
      </c>
      <c r="O152" s="396">
        <f>'Porosity and Density'!O102</f>
        <v>2711.4953881561478</v>
      </c>
      <c r="P152" s="396">
        <f>'Porosity and Density'!P102</f>
        <v>2267.3867540983611</v>
      </c>
      <c r="Q152" s="396">
        <f>'Porosity and Density'!Q102</f>
        <v>0.12881676279857918</v>
      </c>
      <c r="R152" s="419">
        <f>Q152*100</f>
        <v>12.881676279857917</v>
      </c>
      <c r="S152" s="397">
        <f>'Porosity and Density'!R102</f>
        <v>0.25921311475409831</v>
      </c>
    </row>
    <row r="153" spans="1:20" ht="15.75" thickBot="1" x14ac:dyDescent="0.3">
      <c r="A153" s="533"/>
      <c r="B153" s="531"/>
      <c r="C153" s="530"/>
      <c r="D153" s="115" t="s">
        <v>137</v>
      </c>
      <c r="E153" s="398">
        <f>'Porosity and Density'!E103</f>
        <v>3.0339</v>
      </c>
      <c r="F153" s="399">
        <f>'Porosity and Density'!F103</f>
        <v>3.415</v>
      </c>
      <c r="G153" s="399">
        <f>'Porosity and Density'!G103</f>
        <v>1.9079999999999999</v>
      </c>
      <c r="H153" s="399">
        <f>'Porosity and Density'!H103</f>
        <v>3.0339E-3</v>
      </c>
      <c r="I153" s="399">
        <f>'Porosity and Density'!I103</f>
        <v>3.4150000000000001E-3</v>
      </c>
      <c r="J153" s="399">
        <f>'Porosity and Density'!J103</f>
        <v>1.908E-3</v>
      </c>
      <c r="K153" s="399">
        <f>'Porosity and Density'!K103</f>
        <v>1.5097174914846724E-6</v>
      </c>
      <c r="L153" s="399">
        <f>'Porosity and Density'!L103</f>
        <v>3.8178721699058316E-7</v>
      </c>
      <c r="M153" s="399">
        <f>'Porosity and Density'!M103</f>
        <v>0.25288652952886537</v>
      </c>
      <c r="N153" s="399">
        <f>'Porosity and Density'!N103</f>
        <v>2009.5812740544127</v>
      </c>
      <c r="O153" s="399">
        <f>'Porosity and Density'!O103</f>
        <v>2689.7939248601119</v>
      </c>
      <c r="P153" s="399">
        <f>'Porosity and Density'!P103</f>
        <v>2262.0126078301259</v>
      </c>
      <c r="Q153" s="399">
        <f>'Porosity and Density'!Q103</f>
        <v>0.1256138963050859</v>
      </c>
      <c r="R153" s="419">
        <f>Q153*100</f>
        <v>12.561389630508589</v>
      </c>
      <c r="S153" s="400">
        <f>'Porosity and Density'!R103</f>
        <v>0.25288652952886537</v>
      </c>
    </row>
    <row r="154" spans="1:20" x14ac:dyDescent="0.25">
      <c r="A154" s="336"/>
      <c r="B154" s="302"/>
      <c r="C154" s="530"/>
      <c r="D154" s="390" t="s">
        <v>161</v>
      </c>
      <c r="E154" s="393">
        <f>AVERAGE(E151:E153)</f>
        <v>3.0374000000000003</v>
      </c>
      <c r="F154" s="393">
        <f t="shared" ref="F154" si="340">AVERAGE(F151:F153)</f>
        <v>3.4276666666666671</v>
      </c>
      <c r="G154" s="393">
        <f t="shared" ref="G154" si="341">AVERAGE(G151:G153)</f>
        <v>1.9153333333333336</v>
      </c>
      <c r="H154" s="393">
        <f t="shared" ref="H154" si="342">AVERAGE(H151:H153)</f>
        <v>3.0374000000000004E-3</v>
      </c>
      <c r="I154" s="393">
        <f t="shared" ref="I154" si="343">AVERAGE(I151:I153)</f>
        <v>3.427666666666667E-3</v>
      </c>
      <c r="J154" s="393">
        <f t="shared" ref="J154" si="344">AVERAGE(J151:J153)</f>
        <v>1.9153333333333333E-3</v>
      </c>
      <c r="K154" s="393">
        <f t="shared" ref="K154" si="345">AVERAGE(K151:K153)</f>
        <v>1.5150604421291655E-6</v>
      </c>
      <c r="L154" s="393">
        <f t="shared" ref="L154" si="346">AVERAGE(L151:L153)</f>
        <v>3.9097041341080614E-7</v>
      </c>
      <c r="M154" s="393">
        <f t="shared" ref="M154" si="347">AVERAGE(M151:M153)</f>
        <v>0.25805314831580523</v>
      </c>
      <c r="N154" s="393">
        <f t="shared" ref="N154" si="348">AVERAGE(N151:N153)</f>
        <v>2004.7853982265506</v>
      </c>
      <c r="O154" s="393">
        <f t="shared" ref="O154" si="349">AVERAGE(O151:O153)</f>
        <v>2702.0993550140643</v>
      </c>
      <c r="P154" s="393">
        <f t="shared" ref="P154" si="350">AVERAGE(P151:P153)</f>
        <v>2262.3740508753872</v>
      </c>
      <c r="Q154" s="393">
        <f t="shared" ref="Q154:R154" si="351">AVERAGE(Q151:Q153)</f>
        <v>0.12849265812050223</v>
      </c>
      <c r="R154" s="393">
        <f t="shared" si="351"/>
        <v>12.849265812050222</v>
      </c>
      <c r="S154" s="394">
        <f t="shared" ref="S154" si="352">AVERAGE(S151:S153)</f>
        <v>0.25805314831580523</v>
      </c>
    </row>
    <row r="155" spans="1:20" ht="15.75" thickBot="1" x14ac:dyDescent="0.3">
      <c r="A155" s="336"/>
      <c r="B155" s="302"/>
      <c r="C155" s="530"/>
      <c r="D155" s="391" t="s">
        <v>162</v>
      </c>
      <c r="E155" s="399">
        <f>STDEV(E151:E153)</f>
        <v>2.9705050075702802E-2</v>
      </c>
      <c r="F155" s="399">
        <f t="shared" ref="F155:S155" si="353">STDEV(F151:F153)</f>
        <v>3.1942656954820361E-2</v>
      </c>
      <c r="G155" s="399">
        <f t="shared" si="353"/>
        <v>2.0984120980716225E-2</v>
      </c>
      <c r="H155" s="399">
        <f t="shared" si="353"/>
        <v>2.9705050075702768E-5</v>
      </c>
      <c r="I155" s="399">
        <f t="shared" si="353"/>
        <v>3.1942656954820412E-5</v>
      </c>
      <c r="J155" s="399">
        <f t="shared" si="353"/>
        <v>2.0984120980716267E-5</v>
      </c>
      <c r="K155" s="399">
        <f t="shared" si="353"/>
        <v>1.1035004101955719E-8</v>
      </c>
      <c r="L155" s="399">
        <f t="shared" si="353"/>
        <v>7.9656483315754878E-9</v>
      </c>
      <c r="M155" s="399">
        <f t="shared" si="353"/>
        <v>4.6953559433999294E-3</v>
      </c>
      <c r="N155" s="399">
        <f t="shared" si="353"/>
        <v>7.5064878156752641</v>
      </c>
      <c r="O155" s="399">
        <f t="shared" si="353"/>
        <v>11.13942640025957</v>
      </c>
      <c r="P155" s="399">
        <f t="shared" si="353"/>
        <v>4.842109866440012</v>
      </c>
      <c r="Q155" s="399">
        <f t="shared" si="353"/>
        <v>2.7311706758832818E-3</v>
      </c>
      <c r="R155" s="399">
        <f t="shared" si="353"/>
        <v>0.27311706758832843</v>
      </c>
      <c r="S155" s="400">
        <f t="shared" si="353"/>
        <v>4.6953559433999294E-3</v>
      </c>
    </row>
    <row r="156" spans="1:20" x14ac:dyDescent="0.25">
      <c r="A156" s="529" t="s">
        <v>299</v>
      </c>
      <c r="B156" s="532" t="s">
        <v>134</v>
      </c>
      <c r="C156" s="530"/>
      <c r="D156" s="113" t="s">
        <v>135</v>
      </c>
      <c r="E156" s="392">
        <f>'Porosity and Density'!E104</f>
        <v>2.8437999999999999</v>
      </c>
      <c r="F156" s="393">
        <f>'Porosity and Density'!F104</f>
        <v>3.35</v>
      </c>
      <c r="G156" s="393">
        <f>'Porosity and Density'!G104</f>
        <v>1.8280000000000001</v>
      </c>
      <c r="H156" s="393">
        <f>'Porosity and Density'!H104</f>
        <v>2.8438000000000001E-3</v>
      </c>
      <c r="I156" s="393">
        <f>'Porosity and Density'!I104</f>
        <v>3.3500000000000001E-3</v>
      </c>
      <c r="J156" s="393">
        <f>'Porosity and Density'!J104</f>
        <v>1.8280000000000002E-3</v>
      </c>
      <c r="K156" s="393">
        <f>'Porosity and Density'!K104</f>
        <v>1.52474454017231E-6</v>
      </c>
      <c r="L156" s="393">
        <f>'Porosity and Density'!L104</f>
        <v>5.0711280304548191E-7</v>
      </c>
      <c r="M156" s="393">
        <f>'Porosity and Density'!M104</f>
        <v>0.33258869908015776</v>
      </c>
      <c r="N156" s="393">
        <f>'Porosity and Density'!N104</f>
        <v>1865.099316688568</v>
      </c>
      <c r="O156" s="393">
        <f>'Porosity and Density'!O104</f>
        <v>2794.5276235479432</v>
      </c>
      <c r="P156" s="393">
        <f>'Porosity and Density'!P104</f>
        <v>2197.0893561103812</v>
      </c>
      <c r="Q156" s="393">
        <f>'Porosity and Density'!Q104</f>
        <v>0.17800126591180815</v>
      </c>
      <c r="R156" s="418">
        <f>Q156*100</f>
        <v>17.800126591180813</v>
      </c>
      <c r="S156" s="394">
        <f>'Porosity and Density'!R104</f>
        <v>0.33258869908015776</v>
      </c>
    </row>
    <row r="157" spans="1:20" x14ac:dyDescent="0.25">
      <c r="A157" s="530"/>
      <c r="B157" s="530"/>
      <c r="C157" s="530"/>
      <c r="D157" s="114" t="s">
        <v>136</v>
      </c>
      <c r="E157" s="395">
        <f>'Porosity and Density'!E105</f>
        <v>2.9908999999999999</v>
      </c>
      <c r="F157" s="396">
        <f>'Porosity and Density'!F105</f>
        <v>3.5179999999999998</v>
      </c>
      <c r="G157" s="396">
        <f>'Porosity and Density'!G105</f>
        <v>1.92</v>
      </c>
      <c r="H157" s="396">
        <f>'Porosity and Density'!H105</f>
        <v>2.9908999999999999E-3</v>
      </c>
      <c r="I157" s="396">
        <f>'Porosity and Density'!I105</f>
        <v>3.5179999999999999E-3</v>
      </c>
      <c r="J157" s="396">
        <f>'Porosity and Density'!J105</f>
        <v>1.92E-3</v>
      </c>
      <c r="K157" s="396">
        <f>'Porosity and Density'!K105</f>
        <v>1.6008815868563411E-6</v>
      </c>
      <c r="L157" s="396">
        <f>'Porosity and Density'!L105</f>
        <v>5.2805049088359041E-7</v>
      </c>
      <c r="M157" s="396">
        <f>'Porosity and Density'!M105</f>
        <v>0.32984981226533172</v>
      </c>
      <c r="N157" s="396">
        <f>'Porosity and Density'!N105</f>
        <v>1868.2830913642056</v>
      </c>
      <c r="O157" s="396">
        <f>'Porosity and Density'!O105</f>
        <v>2787.8572976001496</v>
      </c>
      <c r="P157" s="396">
        <f>'Porosity and Density'!P105</f>
        <v>2197.5391739674596</v>
      </c>
      <c r="Q157" s="396">
        <f>'Porosity and Density'!Q105</f>
        <v>0.17623457822060248</v>
      </c>
      <c r="R157" s="419">
        <f>Q157*100</f>
        <v>17.623457822060249</v>
      </c>
      <c r="S157" s="397">
        <f>'Porosity and Density'!R105</f>
        <v>0.32984981226533172</v>
      </c>
      <c r="T157" s="116"/>
    </row>
    <row r="158" spans="1:20" ht="15.75" thickBot="1" x14ac:dyDescent="0.3">
      <c r="A158" s="530"/>
      <c r="B158" s="531"/>
      <c r="C158" s="530"/>
      <c r="D158" s="115" t="s">
        <v>137</v>
      </c>
      <c r="E158" s="398">
        <f>'Porosity and Density'!E106</f>
        <v>2.9466999999999999</v>
      </c>
      <c r="F158" s="399">
        <f>'Porosity and Density'!F106</f>
        <v>3.4489999999999998</v>
      </c>
      <c r="G158" s="399">
        <f>'Porosity and Density'!G106</f>
        <v>1.8919999999999999</v>
      </c>
      <c r="H158" s="399">
        <f>'Porosity and Density'!H106</f>
        <v>2.9467E-3</v>
      </c>
      <c r="I158" s="399">
        <f>'Porosity and Density'!I106</f>
        <v>3.4489999999999998E-3</v>
      </c>
      <c r="J158" s="399">
        <f>'Porosity and Density'!J106</f>
        <v>1.892E-3</v>
      </c>
      <c r="K158" s="399">
        <f>'Porosity and Density'!K106</f>
        <v>1.559807653776798E-6</v>
      </c>
      <c r="L158" s="399">
        <f>'Porosity and Density'!L106</f>
        <v>5.0320577038669582E-7</v>
      </c>
      <c r="M158" s="399">
        <f>'Porosity and Density'!M106</f>
        <v>0.32260757867694273</v>
      </c>
      <c r="N158" s="399">
        <f>'Porosity and Density'!N106</f>
        <v>1889.1431856133593</v>
      </c>
      <c r="O158" s="399">
        <f>'Porosity and Density'!O106</f>
        <v>2788.8460604911347</v>
      </c>
      <c r="P158" s="399">
        <f>'Porosity and Density'!P106</f>
        <v>2211.1700706486836</v>
      </c>
      <c r="Q158" s="399">
        <f>'Porosity and Density'!Q106</f>
        <v>0.17046187260325102</v>
      </c>
      <c r="R158" s="419">
        <f>Q158*100</f>
        <v>17.046187260325102</v>
      </c>
      <c r="S158" s="400">
        <f>'Porosity and Density'!R106</f>
        <v>0.32260757867694273</v>
      </c>
      <c r="T158" s="116"/>
    </row>
    <row r="159" spans="1:20" x14ac:dyDescent="0.25">
      <c r="A159" s="530"/>
      <c r="B159" s="302"/>
      <c r="C159" s="530"/>
      <c r="D159" s="390" t="s">
        <v>161</v>
      </c>
      <c r="E159" s="393">
        <f>AVERAGE(E156:E158)</f>
        <v>2.9271333333333334</v>
      </c>
      <c r="F159" s="393">
        <f t="shared" ref="F159" si="354">AVERAGE(F156:F158)</f>
        <v>3.4390000000000001</v>
      </c>
      <c r="G159" s="393">
        <f t="shared" ref="G159" si="355">AVERAGE(G156:G158)</f>
        <v>1.8800000000000001</v>
      </c>
      <c r="H159" s="393">
        <f t="shared" ref="H159" si="356">AVERAGE(H156:H158)</f>
        <v>2.9271333333333333E-3</v>
      </c>
      <c r="I159" s="393">
        <f t="shared" ref="I159" si="357">AVERAGE(I156:I158)</f>
        <v>3.4389999999999998E-3</v>
      </c>
      <c r="J159" s="393">
        <f t="shared" ref="J159" si="358">AVERAGE(J156:J158)</f>
        <v>1.8800000000000004E-3</v>
      </c>
      <c r="K159" s="393">
        <f t="shared" ref="K159" si="359">AVERAGE(K156:K158)</f>
        <v>1.561811260268483E-6</v>
      </c>
      <c r="L159" s="393">
        <f t="shared" ref="L159" si="360">AVERAGE(L156:L158)</f>
        <v>5.1278968810525608E-7</v>
      </c>
      <c r="M159" s="393">
        <f t="shared" ref="M159" si="361">AVERAGE(M156:M158)</f>
        <v>0.32834869667414407</v>
      </c>
      <c r="N159" s="393">
        <f t="shared" ref="N159" si="362">AVERAGE(N156:N158)</f>
        <v>1874.1751978887112</v>
      </c>
      <c r="O159" s="393">
        <f t="shared" ref="O159" si="363">AVERAGE(O156:O158)</f>
        <v>2790.410327213076</v>
      </c>
      <c r="P159" s="393">
        <f t="shared" ref="P159" si="364">AVERAGE(P156:P158)</f>
        <v>2201.9328669088413</v>
      </c>
      <c r="Q159" s="393">
        <f t="shared" ref="Q159:R159" si="365">AVERAGE(Q156:Q158)</f>
        <v>0.17489923891188722</v>
      </c>
      <c r="R159" s="393">
        <f t="shared" si="365"/>
        <v>17.48992389118872</v>
      </c>
      <c r="S159" s="394">
        <f t="shared" ref="S159" si="366">AVERAGE(S156:S158)</f>
        <v>0.32834869667414407</v>
      </c>
    </row>
    <row r="160" spans="1:20" ht="15.75" thickBot="1" x14ac:dyDescent="0.3">
      <c r="A160" s="530"/>
      <c r="B160" s="302"/>
      <c r="C160" s="530"/>
      <c r="D160" s="391" t="s">
        <v>162</v>
      </c>
      <c r="E160" s="399">
        <f>STDEV(E156:E158)</f>
        <v>7.5476773469282152E-2</v>
      </c>
      <c r="F160" s="399">
        <f t="shared" ref="F160:S160" si="367">STDEV(F156:F158)</f>
        <v>8.4445248534183226E-2</v>
      </c>
      <c r="G160" s="399">
        <f t="shared" si="367"/>
        <v>4.7159304490206305E-2</v>
      </c>
      <c r="H160" s="399">
        <f t="shared" si="367"/>
        <v>7.5476773469282065E-5</v>
      </c>
      <c r="I160" s="399">
        <f t="shared" si="367"/>
        <v>8.4445248534183233E-5</v>
      </c>
      <c r="J160" s="399">
        <f t="shared" si="367"/>
        <v>4.7159304490206297E-5</v>
      </c>
      <c r="K160" s="399">
        <f t="shared" si="367"/>
        <v>3.8108047689060705E-8</v>
      </c>
      <c r="L160" s="399">
        <f t="shared" si="367"/>
        <v>1.3359839150551876E-8</v>
      </c>
      <c r="M160" s="399">
        <f t="shared" si="367"/>
        <v>5.1571021067503423E-3</v>
      </c>
      <c r="N160" s="399">
        <f t="shared" si="367"/>
        <v>13.060038196353968</v>
      </c>
      <c r="O160" s="399">
        <f t="shared" si="367"/>
        <v>3.5997930281450095</v>
      </c>
      <c r="P160" s="399">
        <f t="shared" si="367"/>
        <v>8.0028141128387578</v>
      </c>
      <c r="Q160" s="399">
        <f t="shared" si="367"/>
        <v>3.943090306768174E-3</v>
      </c>
      <c r="R160" s="399">
        <f t="shared" si="367"/>
        <v>0.39430903067681705</v>
      </c>
      <c r="S160" s="400">
        <f t="shared" si="367"/>
        <v>5.1571021067503423E-3</v>
      </c>
    </row>
    <row r="161" spans="1:20" x14ac:dyDescent="0.25">
      <c r="A161" s="530"/>
      <c r="B161" s="532" t="s">
        <v>20</v>
      </c>
      <c r="C161" s="530"/>
      <c r="D161" s="113" t="s">
        <v>135</v>
      </c>
      <c r="E161" s="392">
        <f>'Porosity and Density'!E107</f>
        <v>3.1297000000000001</v>
      </c>
      <c r="F161" s="393">
        <f>'Porosity and Density'!F107</f>
        <v>3.4590000000000001</v>
      </c>
      <c r="G161" s="393">
        <f>'Porosity and Density'!G107</f>
        <v>1.966</v>
      </c>
      <c r="H161" s="393">
        <f>'Porosity and Density'!H107</f>
        <v>3.1297E-3</v>
      </c>
      <c r="I161" s="393">
        <f>'Porosity and Density'!I107</f>
        <v>3.4590000000000003E-3</v>
      </c>
      <c r="J161" s="393">
        <f>'Porosity and Density'!J107</f>
        <v>1.9659999999999999E-3</v>
      </c>
      <c r="K161" s="393">
        <f>'Porosity and Density'!K107</f>
        <v>1.4956922460428776E-6</v>
      </c>
      <c r="L161" s="393">
        <f>'Porosity and Density'!L107</f>
        <v>3.2989380885594092E-7</v>
      </c>
      <c r="M161" s="393">
        <f>'Porosity and Density'!M107</f>
        <v>0.2205626255860684</v>
      </c>
      <c r="N161" s="393">
        <f>'Porosity and Density'!N107</f>
        <v>2092.4759142665766</v>
      </c>
      <c r="O161" s="393">
        <f>'Porosity and Density'!O107</f>
        <v>2684.5978688665459</v>
      </c>
      <c r="P161" s="393">
        <f>'Porosity and Density'!P107</f>
        <v>2312.6415271265901</v>
      </c>
      <c r="Q161" s="393">
        <f>'Porosity and Density'!Q107</f>
        <v>0.10521775250023972</v>
      </c>
      <c r="R161" s="418">
        <f>Q161*100</f>
        <v>10.521775250023973</v>
      </c>
      <c r="S161" s="394">
        <f>'Porosity and Density'!R107</f>
        <v>0.2205626255860684</v>
      </c>
      <c r="T161" s="116"/>
    </row>
    <row r="162" spans="1:20" x14ac:dyDescent="0.25">
      <c r="A162" s="530"/>
      <c r="B162" s="530"/>
      <c r="C162" s="530"/>
      <c r="D162" s="114" t="s">
        <v>136</v>
      </c>
      <c r="E162" s="395">
        <f>'Porosity and Density'!E108</f>
        <v>3.1261999999999999</v>
      </c>
      <c r="F162" s="396">
        <f>'Porosity and Density'!F108</f>
        <v>3.46</v>
      </c>
      <c r="G162" s="396">
        <f>'Porosity and Density'!G108</f>
        <v>1.962</v>
      </c>
      <c r="H162" s="396">
        <f>'Porosity and Density'!H108</f>
        <v>3.1262E-3</v>
      </c>
      <c r="I162" s="396">
        <f>'Porosity and Density'!I108</f>
        <v>3.46E-3</v>
      </c>
      <c r="J162" s="396">
        <f>'Porosity and Density'!J108</f>
        <v>1.9620000000000002E-3</v>
      </c>
      <c r="K162" s="396">
        <f>'Porosity and Density'!K108</f>
        <v>1.5007012622720894E-6</v>
      </c>
      <c r="L162" s="396">
        <f>'Porosity and Density'!L108</f>
        <v>3.3440192346223198E-7</v>
      </c>
      <c r="M162" s="396">
        <f>'Porosity and Density'!M108</f>
        <v>0.22283044058744997</v>
      </c>
      <c r="N162" s="396">
        <f>'Porosity and Density'!N108</f>
        <v>2083.1594392523371</v>
      </c>
      <c r="O162" s="396">
        <f>'Porosity and Density'!O108</f>
        <v>2680.4439443394613</v>
      </c>
      <c r="P162" s="396">
        <f>'Porosity and Density'!P108</f>
        <v>2305.5887850467293</v>
      </c>
      <c r="Q162" s="396">
        <f>'Porosity and Density'!Q108</f>
        <v>0.10677499840061416</v>
      </c>
      <c r="R162" s="419">
        <f>Q162*100</f>
        <v>10.677499840061417</v>
      </c>
      <c r="S162" s="397">
        <f>'Porosity and Density'!R108</f>
        <v>0.22283044058744997</v>
      </c>
      <c r="T162" s="117"/>
    </row>
    <row r="163" spans="1:20" ht="15.75" thickBot="1" x14ac:dyDescent="0.3">
      <c r="A163" s="533"/>
      <c r="B163" s="531"/>
      <c r="C163" s="530"/>
      <c r="D163" s="115" t="s">
        <v>137</v>
      </c>
      <c r="E163" s="398">
        <f>'Porosity and Density'!E109</f>
        <v>2.9861</v>
      </c>
      <c r="F163" s="399">
        <f>'Porosity and Density'!F109</f>
        <v>3.3079999999999998</v>
      </c>
      <c r="G163" s="399">
        <f>'Porosity and Density'!G109</f>
        <v>1.875</v>
      </c>
      <c r="H163" s="399">
        <f>'Porosity and Density'!H109</f>
        <v>2.9861000000000002E-3</v>
      </c>
      <c r="I163" s="399">
        <f>'Porosity and Density'!I109</f>
        <v>3.3079999999999997E-3</v>
      </c>
      <c r="J163" s="399">
        <f>'Porosity and Density'!J109</f>
        <v>1.8749999999999999E-3</v>
      </c>
      <c r="K163" s="399">
        <f>'Porosity and Density'!K109</f>
        <v>1.435584051292326E-6</v>
      </c>
      <c r="L163" s="399">
        <f>'Porosity and Density'!L109</f>
        <v>3.2248046483670561E-7</v>
      </c>
      <c r="M163" s="399">
        <f>'Porosity and Density'!M109</f>
        <v>0.22463363572923906</v>
      </c>
      <c r="N163" s="399">
        <f>'Porosity and Density'!N109</f>
        <v>2080.0593300767623</v>
      </c>
      <c r="O163" s="399">
        <f>'Porosity and Density'!O109</f>
        <v>2682.6793447934474</v>
      </c>
      <c r="P163" s="399">
        <f>'Porosity and Density'!P109</f>
        <v>2304.288625261689</v>
      </c>
      <c r="Q163" s="399">
        <f>'Porosity and Density'!Q109</f>
        <v>0.10779947088175196</v>
      </c>
      <c r="R163" s="419">
        <f>Q163*100</f>
        <v>10.779947088175195</v>
      </c>
      <c r="S163" s="400">
        <f>'Porosity and Density'!R109</f>
        <v>0.22463363572923906</v>
      </c>
      <c r="T163" s="117"/>
    </row>
    <row r="164" spans="1:20" x14ac:dyDescent="0.25">
      <c r="A164" s="336"/>
      <c r="B164" s="302"/>
      <c r="C164" s="530"/>
      <c r="D164" s="390" t="s">
        <v>161</v>
      </c>
      <c r="E164" s="393">
        <f>AVERAGE(E161:E163)</f>
        <v>3.0806666666666671</v>
      </c>
      <c r="F164" s="393">
        <f t="shared" ref="F164" si="368">AVERAGE(F161:F163)</f>
        <v>3.4090000000000003</v>
      </c>
      <c r="G164" s="393">
        <f t="shared" ref="G164" si="369">AVERAGE(G161:G163)</f>
        <v>1.9343333333333332</v>
      </c>
      <c r="H164" s="393">
        <f t="shared" ref="H164" si="370">AVERAGE(H161:H163)</f>
        <v>3.0806666666666669E-3</v>
      </c>
      <c r="I164" s="393">
        <f t="shared" ref="I164" si="371">AVERAGE(I161:I163)</f>
        <v>3.4090000000000001E-3</v>
      </c>
      <c r="J164" s="393">
        <f t="shared" ref="J164" si="372">AVERAGE(J161:J163)</f>
        <v>1.9343333333333333E-3</v>
      </c>
      <c r="K164" s="393">
        <f t="shared" ref="K164" si="373">AVERAGE(K161:K163)</f>
        <v>1.4773258532024312E-6</v>
      </c>
      <c r="L164" s="393">
        <f t="shared" ref="L164" si="374">AVERAGE(L161:L163)</f>
        <v>3.2892539905162614E-7</v>
      </c>
      <c r="M164" s="393">
        <f t="shared" ref="M164" si="375">AVERAGE(M161:M163)</f>
        <v>0.22267556730091917</v>
      </c>
      <c r="N164" s="393">
        <f t="shared" ref="N164" si="376">AVERAGE(N161:N163)</f>
        <v>2085.2315611985587</v>
      </c>
      <c r="O164" s="393">
        <f t="shared" ref="O164" si="377">AVERAGE(O161:O163)</f>
        <v>2682.5737193331515</v>
      </c>
      <c r="P164" s="393">
        <f t="shared" ref="P164" si="378">AVERAGE(P161:P163)</f>
        <v>2307.506312478336</v>
      </c>
      <c r="Q164" s="393">
        <f t="shared" ref="Q164:R164" si="379">AVERAGE(Q161:Q163)</f>
        <v>0.10659740726086862</v>
      </c>
      <c r="R164" s="393">
        <f t="shared" si="379"/>
        <v>10.659740726086861</v>
      </c>
      <c r="S164" s="394">
        <f t="shared" ref="S164" si="380">AVERAGE(S161:S163)</f>
        <v>0.22267556730091917</v>
      </c>
    </row>
    <row r="165" spans="1:20" ht="15.75" thickBot="1" x14ac:dyDescent="0.3">
      <c r="A165" s="336"/>
      <c r="B165" s="302"/>
      <c r="C165" s="530"/>
      <c r="D165" s="391" t="s">
        <v>162</v>
      </c>
      <c r="E165" s="399">
        <f>STDEV(E161:E163)</f>
        <v>8.1915830785833671E-2</v>
      </c>
      <c r="F165" s="399">
        <f t="shared" ref="F165:S165" si="381">STDEV(F161:F163)</f>
        <v>8.7469994855378944E-2</v>
      </c>
      <c r="G165" s="399">
        <f t="shared" si="381"/>
        <v>5.1423081717584092E-2</v>
      </c>
      <c r="H165" s="399">
        <f t="shared" si="381"/>
        <v>8.1915830785833537E-5</v>
      </c>
      <c r="I165" s="399">
        <f t="shared" si="381"/>
        <v>8.7469994855379039E-5</v>
      </c>
      <c r="J165" s="399">
        <f t="shared" si="381"/>
        <v>5.1423081717584162E-5</v>
      </c>
      <c r="K165" s="399">
        <f t="shared" si="381"/>
        <v>3.6236115698608768E-8</v>
      </c>
      <c r="L165" s="399">
        <f t="shared" si="381"/>
        <v>6.0194399325729651E-9</v>
      </c>
      <c r="M165" s="399">
        <f t="shared" si="381"/>
        <v>2.0399191644793761E-3</v>
      </c>
      <c r="N165" s="399">
        <f t="shared" si="381"/>
        <v>6.4624420891561369</v>
      </c>
      <c r="O165" s="399">
        <f t="shared" si="381"/>
        <v>2.0789756606501926</v>
      </c>
      <c r="P165" s="399">
        <f t="shared" si="381"/>
        <v>4.4944884001841912</v>
      </c>
      <c r="Q165" s="399">
        <f t="shared" si="381"/>
        <v>1.2999890038175826E-3</v>
      </c>
      <c r="R165" s="399">
        <f t="shared" si="381"/>
        <v>0.12999890038175763</v>
      </c>
      <c r="S165" s="400">
        <f t="shared" si="381"/>
        <v>2.0399191644793761E-3</v>
      </c>
    </row>
    <row r="166" spans="1:20" x14ac:dyDescent="0.25">
      <c r="A166" s="529" t="s">
        <v>300</v>
      </c>
      <c r="B166" s="532" t="s">
        <v>134</v>
      </c>
      <c r="C166" s="530"/>
      <c r="D166" s="113" t="s">
        <v>135</v>
      </c>
      <c r="E166" s="392">
        <f>'Porosity and Density'!E110</f>
        <v>2.9451000000000001</v>
      </c>
      <c r="F166" s="393">
        <f>'Porosity and Density'!F110</f>
        <v>3.2839999999999998</v>
      </c>
      <c r="G166" s="393">
        <f>'Porosity and Density'!G110</f>
        <v>1.88</v>
      </c>
      <c r="H166" s="393">
        <f>'Porosity and Density'!H110</f>
        <v>2.9451E-3</v>
      </c>
      <c r="I166" s="393">
        <f>'Porosity and Density'!I110</f>
        <v>3.284E-3</v>
      </c>
      <c r="J166" s="393">
        <f>'Porosity and Density'!J110</f>
        <v>1.8799999999999999E-3</v>
      </c>
      <c r="K166" s="393">
        <f>'Porosity and Density'!K110</f>
        <v>1.4065317571628932E-6</v>
      </c>
      <c r="L166" s="393">
        <f>'Porosity and Density'!L110</f>
        <v>3.3951112001602887E-7</v>
      </c>
      <c r="M166" s="393">
        <f>'Porosity and Density'!M110</f>
        <v>0.24138176638176639</v>
      </c>
      <c r="N166" s="393">
        <f>'Porosity and Density'!N110</f>
        <v>2093.8738034188032</v>
      </c>
      <c r="O166" s="393">
        <f>'Porosity and Density'!O110</f>
        <v>2760.1153131161391</v>
      </c>
      <c r="P166" s="393">
        <f>'Porosity and Density'!P110</f>
        <v>2334.8210826210825</v>
      </c>
      <c r="Q166" s="393">
        <f>'Porosity and Density'!Q110</f>
        <v>0.11507249329394589</v>
      </c>
      <c r="R166" s="418">
        <f>Q166*100</f>
        <v>11.50724932939459</v>
      </c>
      <c r="S166" s="394">
        <f>'Porosity and Density'!R110</f>
        <v>0.24138176638176639</v>
      </c>
      <c r="T166" s="117"/>
    </row>
    <row r="167" spans="1:20" x14ac:dyDescent="0.25">
      <c r="A167" s="530"/>
      <c r="B167" s="530"/>
      <c r="C167" s="530"/>
      <c r="D167" s="114" t="s">
        <v>136</v>
      </c>
      <c r="E167" s="395">
        <f>'Porosity and Density'!E111</f>
        <v>2.9775999999999998</v>
      </c>
      <c r="F167" s="396">
        <f>'Porosity and Density'!F111</f>
        <v>3.31</v>
      </c>
      <c r="G167" s="396">
        <f>'Porosity and Density'!G111</f>
        <v>1.897</v>
      </c>
      <c r="H167" s="396">
        <f>'Porosity and Density'!H111</f>
        <v>2.9776E-3</v>
      </c>
      <c r="I167" s="396">
        <f>'Porosity and Density'!I111</f>
        <v>3.31E-3</v>
      </c>
      <c r="J167" s="396">
        <f>'Porosity and Density'!J111</f>
        <v>1.897E-3</v>
      </c>
      <c r="K167" s="396">
        <f>'Porosity and Density'!K111</f>
        <v>1.4155479863754758E-6</v>
      </c>
      <c r="L167" s="396">
        <f>'Porosity and Density'!L111</f>
        <v>3.3299939891805255E-7</v>
      </c>
      <c r="M167" s="396">
        <f>'Porosity and Density'!M111</f>
        <v>0.2352441613588111</v>
      </c>
      <c r="N167" s="396">
        <f>'Porosity and Density'!N111</f>
        <v>2103.4963340410477</v>
      </c>
      <c r="O167" s="396">
        <f>'Porosity and Density'!O111</f>
        <v>2750.5462890986491</v>
      </c>
      <c r="P167" s="396">
        <f>'Porosity and Density'!P111</f>
        <v>2338.3170559094128</v>
      </c>
      <c r="Q167" s="396">
        <f>'Porosity and Density'!Q111</f>
        <v>0.11163353036002152</v>
      </c>
      <c r="R167" s="419">
        <f>Q167*100</f>
        <v>11.163353036002151</v>
      </c>
      <c r="S167" s="397">
        <f>'Porosity and Density'!R111</f>
        <v>0.2352441613588111</v>
      </c>
    </row>
    <row r="168" spans="1:20" ht="15.75" thickBot="1" x14ac:dyDescent="0.3">
      <c r="A168" s="530"/>
      <c r="B168" s="531"/>
      <c r="C168" s="530"/>
      <c r="D168" s="115" t="s">
        <v>137</v>
      </c>
      <c r="E168" s="398">
        <f>'Porosity and Density'!E112</f>
        <v>2.8574999999999999</v>
      </c>
      <c r="F168" s="399">
        <f>'Porosity and Density'!F112</f>
        <v>3.1680000000000001</v>
      </c>
      <c r="G168" s="399">
        <f>'Porosity and Density'!G112</f>
        <v>1.82</v>
      </c>
      <c r="H168" s="399">
        <f>'Porosity and Density'!H112</f>
        <v>2.8574999999999998E-3</v>
      </c>
      <c r="I168" s="399">
        <f>'Porosity and Density'!I112</f>
        <v>3.1680000000000002E-3</v>
      </c>
      <c r="J168" s="399">
        <f>'Porosity and Density'!J112</f>
        <v>1.82E-3</v>
      </c>
      <c r="K168" s="399">
        <f>'Porosity and Density'!K112</f>
        <v>1.3504307753957124E-6</v>
      </c>
      <c r="L168" s="399">
        <f>'Porosity and Density'!L112</f>
        <v>3.1105990783410184E-7</v>
      </c>
      <c r="M168" s="399">
        <f>'Porosity and Density'!M112</f>
        <v>0.23034124629080152</v>
      </c>
      <c r="N168" s="399">
        <f>'Porosity and Density'!N112</f>
        <v>2115.9914688427298</v>
      </c>
      <c r="O168" s="399">
        <f>'Porosity and Density'!O112</f>
        <v>2749.2592771084346</v>
      </c>
      <c r="P168" s="399">
        <f>'Porosity and Density'!P112</f>
        <v>2345.9181008902078</v>
      </c>
      <c r="Q168" s="399">
        <f>'Porosity and Density'!Q112</f>
        <v>0.10866141732283481</v>
      </c>
      <c r="R168" s="419">
        <f>Q168*100</f>
        <v>10.866141732283481</v>
      </c>
      <c r="S168" s="400">
        <f>'Porosity and Density'!R112</f>
        <v>0.23034124629080152</v>
      </c>
    </row>
    <row r="169" spans="1:20" x14ac:dyDescent="0.25">
      <c r="A169" s="530"/>
      <c r="B169" s="302"/>
      <c r="C169" s="530"/>
      <c r="D169" s="390" t="s">
        <v>161</v>
      </c>
      <c r="E169" s="393">
        <f>AVERAGE(E166:E168)</f>
        <v>2.9267333333333334</v>
      </c>
      <c r="F169" s="393">
        <f t="shared" ref="F169" si="382">AVERAGE(F166:F168)</f>
        <v>3.254</v>
      </c>
      <c r="G169" s="393">
        <f t="shared" ref="G169" si="383">AVERAGE(G166:G168)</f>
        <v>1.8656666666666668</v>
      </c>
      <c r="H169" s="393">
        <f t="shared" ref="H169" si="384">AVERAGE(H166:H168)</f>
        <v>2.9267333333333327E-3</v>
      </c>
      <c r="I169" s="393">
        <f t="shared" ref="I169" si="385">AVERAGE(I166:I168)</f>
        <v>3.2539999999999999E-3</v>
      </c>
      <c r="J169" s="393">
        <f t="shared" ref="J169" si="386">AVERAGE(J166:J168)</f>
        <v>1.8656666666666665E-3</v>
      </c>
      <c r="K169" s="393">
        <f t="shared" ref="K169" si="387">AVERAGE(K166:K168)</f>
        <v>1.3908368396446937E-6</v>
      </c>
      <c r="L169" s="393">
        <f t="shared" ref="L169" si="388">AVERAGE(L166:L168)</f>
        <v>3.2785680892272777E-7</v>
      </c>
      <c r="M169" s="393">
        <f t="shared" ref="M169" si="389">AVERAGE(M166:M168)</f>
        <v>0.23565572467712634</v>
      </c>
      <c r="N169" s="393">
        <f t="shared" ref="N169" si="390">AVERAGE(N166:N168)</f>
        <v>2104.4538687675272</v>
      </c>
      <c r="O169" s="393">
        <f t="shared" ref="O169" si="391">AVERAGE(O166:O168)</f>
        <v>2753.3069597744075</v>
      </c>
      <c r="P169" s="393">
        <f t="shared" ref="P169" si="392">AVERAGE(P166:P168)</f>
        <v>2339.6854131402347</v>
      </c>
      <c r="Q169" s="393">
        <f t="shared" ref="Q169:R169" si="393">AVERAGE(Q166:Q168)</f>
        <v>0.1117891469922674</v>
      </c>
      <c r="R169" s="393">
        <f t="shared" si="393"/>
        <v>11.178914699226739</v>
      </c>
      <c r="S169" s="394">
        <f t="shared" ref="S169" si="394">AVERAGE(S166:S168)</f>
        <v>0.23565572467712634</v>
      </c>
    </row>
    <row r="170" spans="1:20" ht="15.75" thickBot="1" x14ac:dyDescent="0.3">
      <c r="A170" s="530"/>
      <c r="B170" s="302"/>
      <c r="C170" s="530"/>
      <c r="D170" s="391" t="s">
        <v>162</v>
      </c>
      <c r="E170" s="399">
        <f>STDEV(E166:E168)</f>
        <v>6.2120876791408292E-2</v>
      </c>
      <c r="F170" s="399">
        <f t="shared" ref="F170:S170" si="395">STDEV(F166:F168)</f>
        <v>7.5604232685743095E-2</v>
      </c>
      <c r="G170" s="399">
        <f t="shared" si="395"/>
        <v>4.0451617190581261E-2</v>
      </c>
      <c r="H170" s="399">
        <f t="shared" si="395"/>
        <v>6.212087679140842E-5</v>
      </c>
      <c r="I170" s="399">
        <f t="shared" si="395"/>
        <v>7.5604232685743059E-5</v>
      </c>
      <c r="J170" s="399">
        <f t="shared" si="395"/>
        <v>4.0451617190581313E-5</v>
      </c>
      <c r="K170" s="399">
        <f t="shared" si="395"/>
        <v>3.5281873793395215E-8</v>
      </c>
      <c r="L170" s="399">
        <f t="shared" si="395"/>
        <v>1.4906459759120181E-8</v>
      </c>
      <c r="M170" s="399">
        <f t="shared" si="395"/>
        <v>5.5317546261097611E-3</v>
      </c>
      <c r="N170" s="399">
        <f t="shared" si="395"/>
        <v>11.08987986929975</v>
      </c>
      <c r="O170" s="399">
        <f t="shared" si="395"/>
        <v>5.9312187942393848</v>
      </c>
      <c r="P170" s="399">
        <f t="shared" si="395"/>
        <v>5.673645631309868</v>
      </c>
      <c r="Q170" s="399">
        <f t="shared" si="395"/>
        <v>3.2083697073456391E-3</v>
      </c>
      <c r="R170" s="399">
        <f t="shared" si="395"/>
        <v>0.32083697073456424</v>
      </c>
      <c r="S170" s="400">
        <f t="shared" si="395"/>
        <v>5.5317546261097611E-3</v>
      </c>
    </row>
    <row r="171" spans="1:20" x14ac:dyDescent="0.25">
      <c r="A171" s="530"/>
      <c r="B171" s="532" t="s">
        <v>20</v>
      </c>
      <c r="C171" s="530"/>
      <c r="D171" s="113" t="s">
        <v>135</v>
      </c>
      <c r="E171" s="392">
        <f>'Porosity and Density'!E113</f>
        <v>3.0122</v>
      </c>
      <c r="F171" s="393">
        <f>'Porosity and Density'!F113</f>
        <v>3.2269999999999999</v>
      </c>
      <c r="G171" s="393">
        <f>'Porosity and Density'!G113</f>
        <v>1.8859999999999999</v>
      </c>
      <c r="H171" s="393">
        <f>'Porosity and Density'!H113</f>
        <v>3.0122E-3</v>
      </c>
      <c r="I171" s="393">
        <f>'Porosity and Density'!I113</f>
        <v>3.2269999999999998E-3</v>
      </c>
      <c r="J171" s="393">
        <f>'Porosity and Density'!J113</f>
        <v>1.8859999999999999E-3</v>
      </c>
      <c r="K171" s="393">
        <f>'Porosity and Density'!K113</f>
        <v>1.3434181526748145E-6</v>
      </c>
      <c r="L171" s="393">
        <f>'Porosity and Density'!L113</f>
        <v>2.1518733720697235E-7</v>
      </c>
      <c r="M171" s="393">
        <f>'Porosity and Density'!M113</f>
        <v>0.16017897091722583</v>
      </c>
      <c r="N171" s="393">
        <f>'Porosity and Density'!N113</f>
        <v>2242.190932140194</v>
      </c>
      <c r="O171" s="393">
        <f>'Porosity and Density'!O113</f>
        <v>2669.8437577694899</v>
      </c>
      <c r="P171" s="393">
        <f>'Porosity and Density'!P113</f>
        <v>2402.0815809097689</v>
      </c>
      <c r="Q171" s="393">
        <f>'Porosity and Density'!Q113</f>
        <v>7.1310005975698754E-2</v>
      </c>
      <c r="R171" s="418">
        <f>Q171*100</f>
        <v>7.1310005975698756</v>
      </c>
      <c r="S171" s="394">
        <f>'Porosity and Density'!R113</f>
        <v>0.16017897091722583</v>
      </c>
    </row>
    <row r="172" spans="1:20" x14ac:dyDescent="0.25">
      <c r="A172" s="530"/>
      <c r="B172" s="530"/>
      <c r="C172" s="530"/>
      <c r="D172" s="114" t="s">
        <v>136</v>
      </c>
      <c r="E172" s="395">
        <f>'Porosity and Density'!E114</f>
        <v>3.0451000000000001</v>
      </c>
      <c r="F172" s="396">
        <f>'Porosity and Density'!F114</f>
        <v>3.2629999999999999</v>
      </c>
      <c r="G172" s="396">
        <f>'Porosity and Density'!G114</f>
        <v>1.9039999999999999</v>
      </c>
      <c r="H172" s="396">
        <f>'Porosity and Density'!H114</f>
        <v>3.0451000000000002E-3</v>
      </c>
      <c r="I172" s="396">
        <f>'Porosity and Density'!I114</f>
        <v>3.2629999999999998E-3</v>
      </c>
      <c r="J172" s="396">
        <f>'Porosity and Density'!J114</f>
        <v>1.9039999999999999E-3</v>
      </c>
      <c r="K172" s="396">
        <f>'Porosity and Density'!K114</f>
        <v>1.3614506110999798E-6</v>
      </c>
      <c r="L172" s="396">
        <f>'Porosity and Density'!L114</f>
        <v>2.1829292726908395E-7</v>
      </c>
      <c r="M172" s="396">
        <f>'Porosity and Density'!M114</f>
        <v>0.16033848417954349</v>
      </c>
      <c r="N172" s="396">
        <f>'Porosity and Density'!N114</f>
        <v>2236.6584400294337</v>
      </c>
      <c r="O172" s="396">
        <f>'Porosity and Density'!O114</f>
        <v>2663.7620015774246</v>
      </c>
      <c r="P172" s="396">
        <f>'Porosity and Density'!P114</f>
        <v>2396.7083149374539</v>
      </c>
      <c r="Q172" s="396">
        <f>'Porosity and Density'!Q114</f>
        <v>7.1557584315785877E-2</v>
      </c>
      <c r="R172" s="419">
        <f>Q172*100</f>
        <v>7.1557584315785876</v>
      </c>
      <c r="S172" s="397">
        <f>'Porosity and Density'!R114</f>
        <v>0.16033848417954349</v>
      </c>
    </row>
    <row r="173" spans="1:20" ht="15.75" thickBot="1" x14ac:dyDescent="0.3">
      <c r="A173" s="531"/>
      <c r="B173" s="531"/>
      <c r="C173" s="531"/>
      <c r="D173" s="115" t="s">
        <v>137</v>
      </c>
      <c r="E173" s="398">
        <f>'Porosity and Density'!E115</f>
        <v>3.0739999999999998</v>
      </c>
      <c r="F173" s="399">
        <f>'Porosity and Density'!F115</f>
        <v>3.2890000000000001</v>
      </c>
      <c r="G173" s="399">
        <f>'Porosity and Density'!G115</f>
        <v>1.923</v>
      </c>
      <c r="H173" s="399">
        <f>'Porosity and Density'!H115</f>
        <v>3.0739999999999999E-3</v>
      </c>
      <c r="I173" s="399">
        <f>'Porosity and Density'!I115</f>
        <v>3.2890000000000003E-3</v>
      </c>
      <c r="J173" s="399">
        <f>'Porosity and Density'!J115</f>
        <v>1.923E-3</v>
      </c>
      <c r="K173" s="399">
        <f>'Porosity and Density'!K115</f>
        <v>1.3684632338208777E-6</v>
      </c>
      <c r="L173" s="399">
        <f>'Porosity and Density'!L115</f>
        <v>2.1538769785614139E-7</v>
      </c>
      <c r="M173" s="399">
        <f>'Porosity and Density'!M115</f>
        <v>0.15739385065885822</v>
      </c>
      <c r="N173" s="399">
        <f>'Porosity and Density'!N115</f>
        <v>2246.3153733528547</v>
      </c>
      <c r="O173" s="399">
        <f>'Porosity and Density'!O115</f>
        <v>2665.9138140747182</v>
      </c>
      <c r="P173" s="399">
        <f>'Porosity and Density'!P115</f>
        <v>2403.4259150805269</v>
      </c>
      <c r="Q173" s="399">
        <f>'Porosity and Density'!Q115</f>
        <v>6.9941444372153661E-2</v>
      </c>
      <c r="R173" s="419">
        <f>Q173*100</f>
        <v>6.9941444372153665</v>
      </c>
      <c r="S173" s="400">
        <f>'Porosity and Density'!R115</f>
        <v>0.15739385065885822</v>
      </c>
    </row>
    <row r="174" spans="1:20" x14ac:dyDescent="0.25">
      <c r="A174" s="336"/>
      <c r="B174" s="302"/>
      <c r="C174" s="381"/>
      <c r="D174" s="390" t="s">
        <v>161</v>
      </c>
      <c r="E174" s="393">
        <f>AVERAGE(E171:E173)</f>
        <v>3.0437666666666665</v>
      </c>
      <c r="F174" s="393">
        <f t="shared" ref="F174" si="396">AVERAGE(F171:F173)</f>
        <v>3.2596666666666665</v>
      </c>
      <c r="G174" s="393">
        <f t="shared" ref="G174" si="397">AVERAGE(G171:G173)</f>
        <v>1.9043333333333334</v>
      </c>
      <c r="H174" s="393">
        <f t="shared" ref="H174" si="398">AVERAGE(H171:H173)</f>
        <v>3.0437666666666666E-3</v>
      </c>
      <c r="I174" s="393">
        <f t="shared" ref="I174" si="399">AVERAGE(I171:I173)</f>
        <v>3.2596666666666664E-3</v>
      </c>
      <c r="J174" s="393">
        <f t="shared" ref="J174" si="400">AVERAGE(J171:J173)</f>
        <v>1.9043333333333334E-3</v>
      </c>
      <c r="K174" s="393">
        <f t="shared" ref="K174" si="401">AVERAGE(K171:K173)</f>
        <v>1.3577773325318906E-6</v>
      </c>
      <c r="L174" s="393">
        <f t="shared" ref="L174" si="402">AVERAGE(L171:L173)</f>
        <v>2.1628932077739925E-7</v>
      </c>
      <c r="M174" s="393">
        <f t="shared" ref="M174" si="403">AVERAGE(M171:M173)</f>
        <v>0.1593037685852092</v>
      </c>
      <c r="N174" s="393">
        <f t="shared" ref="N174" si="404">AVERAGE(N171:N173)</f>
        <v>2241.7215818408276</v>
      </c>
      <c r="O174" s="393">
        <f t="shared" ref="O174" si="405">AVERAGE(O171:O173)</f>
        <v>2666.5065244738776</v>
      </c>
      <c r="P174" s="393">
        <f t="shared" ref="P174" si="406">AVERAGE(P171:P173)</f>
        <v>2400.7386036425833</v>
      </c>
      <c r="Q174" s="393">
        <f t="shared" ref="Q174:R174" si="407">AVERAGE(Q171:Q173)</f>
        <v>7.0936344887879435E-2</v>
      </c>
      <c r="R174" s="393">
        <f t="shared" si="407"/>
        <v>7.0936344887879441</v>
      </c>
      <c r="S174" s="394">
        <f t="shared" ref="S174" si="408">AVERAGE(S171:S173)</f>
        <v>0.1593037685852092</v>
      </c>
    </row>
    <row r="175" spans="1:20" ht="15.75" thickBot="1" x14ac:dyDescent="0.3">
      <c r="A175" s="336"/>
      <c r="B175" s="302"/>
      <c r="C175" s="381"/>
      <c r="D175" s="391" t="s">
        <v>162</v>
      </c>
      <c r="E175" s="399">
        <f>STDEV(E171:E173)</f>
        <v>3.0921567446255519E-2</v>
      </c>
      <c r="F175" s="399">
        <f t="shared" ref="F175:S175" si="409">STDEV(F171:F173)</f>
        <v>3.1134118476895112E-2</v>
      </c>
      <c r="G175" s="399">
        <f t="shared" si="409"/>
        <v>1.8502252115170627E-2</v>
      </c>
      <c r="H175" s="399">
        <f t="shared" si="409"/>
        <v>3.0921567446255536E-5</v>
      </c>
      <c r="I175" s="399">
        <f t="shared" si="409"/>
        <v>3.1134118476895175E-5</v>
      </c>
      <c r="J175" s="399">
        <f t="shared" si="409"/>
        <v>1.8502252115170629E-5</v>
      </c>
      <c r="K175" s="399">
        <f t="shared" si="409"/>
        <v>1.292028459370416E-8</v>
      </c>
      <c r="L175" s="399">
        <f t="shared" si="409"/>
        <v>1.73806367189891E-9</v>
      </c>
      <c r="M175" s="399">
        <f t="shared" si="409"/>
        <v>1.655959233876659E-3</v>
      </c>
      <c r="N175" s="399">
        <f t="shared" si="409"/>
        <v>4.8455451273191841</v>
      </c>
      <c r="O175" s="399">
        <f t="shared" si="409"/>
        <v>3.0838966921550655</v>
      </c>
      <c r="P175" s="399">
        <f t="shared" si="409"/>
        <v>3.5544660464951412</v>
      </c>
      <c r="Q175" s="399">
        <f t="shared" si="409"/>
        <v>8.7045622277264812E-4</v>
      </c>
      <c r="R175" s="399">
        <f t="shared" si="409"/>
        <v>8.7045622277264562E-2</v>
      </c>
      <c r="S175" s="400">
        <f t="shared" si="409"/>
        <v>1.655959233876659E-3</v>
      </c>
    </row>
    <row r="176" spans="1:20" x14ac:dyDescent="0.25">
      <c r="A176" s="9"/>
      <c r="B176" s="9"/>
      <c r="C176" s="9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T176" s="117"/>
    </row>
    <row r="177" spans="1:20" ht="15.75" thickBot="1" x14ac:dyDescent="0.3"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T177" s="117"/>
    </row>
    <row r="178" spans="1:20" x14ac:dyDescent="0.25">
      <c r="A178" s="108" t="s">
        <v>273</v>
      </c>
      <c r="B178" s="148" t="s">
        <v>274</v>
      </c>
      <c r="C178" s="148" t="s">
        <v>275</v>
      </c>
      <c r="D178" s="109" t="s">
        <v>6</v>
      </c>
      <c r="E178" s="150" t="s">
        <v>276</v>
      </c>
      <c r="F178" s="150" t="s">
        <v>277</v>
      </c>
      <c r="G178" s="150" t="s">
        <v>278</v>
      </c>
      <c r="H178" s="150" t="s">
        <v>276</v>
      </c>
      <c r="I178" s="109" t="s">
        <v>277</v>
      </c>
      <c r="J178" s="109" t="s">
        <v>278</v>
      </c>
      <c r="K178" s="109" t="s">
        <v>279</v>
      </c>
      <c r="L178" s="109" t="s">
        <v>280</v>
      </c>
      <c r="M178" s="109" t="s">
        <v>281</v>
      </c>
      <c r="N178" s="109" t="s">
        <v>282</v>
      </c>
      <c r="O178" s="109" t="s">
        <v>283</v>
      </c>
      <c r="P178" s="109" t="s">
        <v>284</v>
      </c>
      <c r="Q178" s="109" t="s">
        <v>285</v>
      </c>
      <c r="R178" s="416" t="s">
        <v>285</v>
      </c>
      <c r="S178" s="110" t="s">
        <v>286</v>
      </c>
    </row>
    <row r="179" spans="1:20" ht="15.75" thickBot="1" x14ac:dyDescent="0.3">
      <c r="A179" s="111"/>
      <c r="B179" s="149"/>
      <c r="C179" s="149"/>
      <c r="D179" s="112"/>
      <c r="E179" s="112" t="s">
        <v>120</v>
      </c>
      <c r="F179" s="112" t="s">
        <v>120</v>
      </c>
      <c r="G179" s="112" t="s">
        <v>120</v>
      </c>
      <c r="H179" s="112" t="s">
        <v>28</v>
      </c>
      <c r="I179" s="112" t="s">
        <v>28</v>
      </c>
      <c r="J179" s="112" t="s">
        <v>28</v>
      </c>
      <c r="K179" s="112" t="s">
        <v>287</v>
      </c>
      <c r="L179" s="112" t="s">
        <v>291</v>
      </c>
      <c r="M179" s="112" t="s">
        <v>289</v>
      </c>
      <c r="N179" s="112" t="s">
        <v>289</v>
      </c>
      <c r="O179" s="112" t="s">
        <v>289</v>
      </c>
      <c r="P179" s="112" t="s">
        <v>289</v>
      </c>
      <c r="Q179" s="340" t="s">
        <v>290</v>
      </c>
      <c r="R179" s="417" t="s">
        <v>301</v>
      </c>
      <c r="S179" s="341" t="s">
        <v>291</v>
      </c>
    </row>
    <row r="180" spans="1:20" x14ac:dyDescent="0.25">
      <c r="A180" s="529" t="s">
        <v>292</v>
      </c>
      <c r="B180" s="532" t="s">
        <v>134</v>
      </c>
      <c r="C180" s="532" t="s">
        <v>3</v>
      </c>
      <c r="D180" s="113" t="s">
        <v>135</v>
      </c>
      <c r="E180" s="392">
        <f>'Porosity and Density'!E120</f>
        <v>2.9268999999999998</v>
      </c>
      <c r="F180" s="393">
        <f>'Porosity and Density'!F120</f>
        <v>3.488</v>
      </c>
      <c r="G180" s="393">
        <f>'Porosity and Density'!G120</f>
        <v>1.8720000000000001</v>
      </c>
      <c r="H180" s="393">
        <f>'Porosity and Density'!H120</f>
        <v>2.9269000000000001E-3</v>
      </c>
      <c r="I180" s="393">
        <f>'Porosity and Density'!I120</f>
        <v>3.4880000000000002E-3</v>
      </c>
      <c r="J180" s="393">
        <f>'Porosity and Density'!J120</f>
        <v>1.8720000000000002E-3</v>
      </c>
      <c r="K180" s="393">
        <f>'Porosity and Density'!K120</f>
        <v>1.6189140452815066E-6</v>
      </c>
      <c r="L180" s="393">
        <f>'Porosity and Density'!L120</f>
        <v>5.6211180124223609E-7</v>
      </c>
      <c r="M180" s="393">
        <f>'Porosity and Density'!M120</f>
        <v>0.34721534653465352</v>
      </c>
      <c r="N180" s="393">
        <f>'Porosity and Density'!N120</f>
        <v>1807.9403341584159</v>
      </c>
      <c r="O180" s="393">
        <f>'Porosity and Density'!O120</f>
        <v>2769.5815527538161</v>
      </c>
      <c r="P180" s="393">
        <f>'Porosity and Density'!P120</f>
        <v>2154.5306930693073</v>
      </c>
      <c r="Q180" s="393">
        <f>'Porosity and Density'!Q120</f>
        <v>0.1917045338070997</v>
      </c>
      <c r="R180" s="418">
        <f>Q180*100</f>
        <v>19.170453380709969</v>
      </c>
      <c r="S180" s="394">
        <f>'Porosity and Density'!R120</f>
        <v>0.34721534653465352</v>
      </c>
    </row>
    <row r="181" spans="1:20" x14ac:dyDescent="0.25">
      <c r="A181" s="530"/>
      <c r="B181" s="530"/>
      <c r="C181" s="530"/>
      <c r="D181" s="114" t="s">
        <v>136</v>
      </c>
      <c r="E181" s="395">
        <f>'Porosity and Density'!E121</f>
        <v>2.8730000000000002</v>
      </c>
      <c r="F181" s="396">
        <f>'Porosity and Density'!F121</f>
        <v>3.411</v>
      </c>
      <c r="G181" s="396">
        <f>'Porosity and Density'!G121</f>
        <v>1.8380000000000001</v>
      </c>
      <c r="H181" s="396">
        <f>'Porosity and Density'!H121</f>
        <v>2.8730000000000001E-3</v>
      </c>
      <c r="I181" s="396">
        <f>'Porosity and Density'!I121</f>
        <v>3.411E-3</v>
      </c>
      <c r="J181" s="396">
        <f>'Porosity and Density'!J121</f>
        <v>1.8380000000000002E-3</v>
      </c>
      <c r="K181" s="396">
        <f>'Porosity and Density'!K121</f>
        <v>1.5758365057102782E-6</v>
      </c>
      <c r="L181" s="396">
        <f>'Porosity and Density'!L121</f>
        <v>5.3897014626327368E-7</v>
      </c>
      <c r="M181" s="396">
        <f>'Porosity and Density'!M121</f>
        <v>0.34202161474888743</v>
      </c>
      <c r="N181" s="396">
        <f>'Porosity and Density'!N121</f>
        <v>1823.1586776859508</v>
      </c>
      <c r="O181" s="396">
        <f>'Porosity and Density'!O121</f>
        <v>2770.8488888888892</v>
      </c>
      <c r="P181" s="396">
        <f>'Porosity and Density'!P121</f>
        <v>2164.5646535282904</v>
      </c>
      <c r="Q181" s="396">
        <f>'Porosity and Density'!Q121</f>
        <v>0.1872607030978071</v>
      </c>
      <c r="R181" s="419">
        <f>Q181*100</f>
        <v>18.72607030978071</v>
      </c>
      <c r="S181" s="397">
        <f>'Porosity and Density'!R121</f>
        <v>0.34202161474888743</v>
      </c>
    </row>
    <row r="182" spans="1:20" ht="15.75" thickBot="1" x14ac:dyDescent="0.3">
      <c r="A182" s="530"/>
      <c r="B182" s="531"/>
      <c r="C182" s="530"/>
      <c r="D182" s="115" t="s">
        <v>137</v>
      </c>
      <c r="E182" s="398">
        <f>'Porosity and Density'!E122</f>
        <v>2.9072</v>
      </c>
      <c r="F182" s="399">
        <f>'Porosity and Density'!F122</f>
        <v>3.4550000000000001</v>
      </c>
      <c r="G182" s="399">
        <f>'Porosity and Density'!G122</f>
        <v>1.861</v>
      </c>
      <c r="H182" s="399">
        <f>'Porosity and Density'!H122</f>
        <v>2.9072E-3</v>
      </c>
      <c r="I182" s="399">
        <f>'Porosity and Density'!I122</f>
        <v>3.4550000000000002E-3</v>
      </c>
      <c r="J182" s="399">
        <f>'Porosity and Density'!J122</f>
        <v>1.861E-3</v>
      </c>
      <c r="K182" s="399">
        <f>'Porosity and Density'!K122</f>
        <v>1.5968743738729714E-6</v>
      </c>
      <c r="L182" s="399">
        <f>'Porosity and Density'!L122</f>
        <v>5.487878180725307E-7</v>
      </c>
      <c r="M182" s="399">
        <f>'Porosity and Density'!M122</f>
        <v>0.34366373902133007</v>
      </c>
      <c r="N182" s="399">
        <f>'Porosity and Density'!N122</f>
        <v>1820.5564868255958</v>
      </c>
      <c r="O182" s="399">
        <f>'Porosity and Density'!O122</f>
        <v>2773.8167080864077</v>
      </c>
      <c r="P182" s="399">
        <f>'Porosity and Density'!P122</f>
        <v>2163.6016311166877</v>
      </c>
      <c r="Q182" s="399">
        <f>'Porosity and Density'!Q122</f>
        <v>0.18842872867363794</v>
      </c>
      <c r="R182" s="419">
        <f>Q182*100</f>
        <v>18.842872867363795</v>
      </c>
      <c r="S182" s="400">
        <f>'Porosity and Density'!R122</f>
        <v>0.34366373902133007</v>
      </c>
    </row>
    <row r="183" spans="1:20" x14ac:dyDescent="0.25">
      <c r="A183" s="530"/>
      <c r="B183" s="302"/>
      <c r="C183" s="530"/>
      <c r="D183" s="390" t="s">
        <v>161</v>
      </c>
      <c r="E183" s="393">
        <f>AVERAGE(E180:E182)</f>
        <v>2.902366666666667</v>
      </c>
      <c r="F183" s="393">
        <f t="shared" ref="F183" si="410">AVERAGE(F180:F182)</f>
        <v>3.4513333333333329</v>
      </c>
      <c r="G183" s="393">
        <f t="shared" ref="G183" si="411">AVERAGE(G180:G182)</f>
        <v>1.857</v>
      </c>
      <c r="H183" s="393">
        <f t="shared" ref="H183" si="412">AVERAGE(H180:H182)</f>
        <v>2.9023666666666667E-3</v>
      </c>
      <c r="I183" s="393">
        <f t="shared" ref="I183" si="413">AVERAGE(I180:I182)</f>
        <v>3.4513333333333336E-3</v>
      </c>
      <c r="J183" s="393">
        <f t="shared" ref="J183" si="414">AVERAGE(J180:J182)</f>
        <v>1.8570000000000001E-3</v>
      </c>
      <c r="K183" s="393">
        <f t="shared" ref="K183" si="415">AVERAGE(K180:K182)</f>
        <v>1.5972083082882521E-6</v>
      </c>
      <c r="L183" s="393">
        <f t="shared" ref="L183" si="416">AVERAGE(L180:L182)</f>
        <v>5.4995658852601359E-7</v>
      </c>
      <c r="M183" s="393">
        <f t="shared" ref="M183" si="417">AVERAGE(M180:M182)</f>
        <v>0.34430023343495703</v>
      </c>
      <c r="N183" s="393">
        <f t="shared" ref="N183" si="418">AVERAGE(N180:N182)</f>
        <v>1817.2184995566543</v>
      </c>
      <c r="O183" s="393">
        <f t="shared" ref="O183" si="419">AVERAGE(O180:O182)</f>
        <v>2771.4157165763713</v>
      </c>
      <c r="P183" s="393">
        <f t="shared" ref="P183" si="420">AVERAGE(P180:P182)</f>
        <v>2160.8989925714286</v>
      </c>
      <c r="Q183" s="393">
        <f t="shared" ref="Q183:R183" si="421">AVERAGE(Q180:Q182)</f>
        <v>0.18913132185951489</v>
      </c>
      <c r="R183" s="393">
        <f t="shared" si="421"/>
        <v>18.913132185951493</v>
      </c>
      <c r="S183" s="394">
        <f t="shared" ref="S183" si="422">AVERAGE(S180:S182)</f>
        <v>0.34430023343495703</v>
      </c>
    </row>
    <row r="184" spans="1:20" ht="15.75" thickBot="1" x14ac:dyDescent="0.3">
      <c r="A184" s="530"/>
      <c r="B184" s="302"/>
      <c r="C184" s="530"/>
      <c r="D184" s="391" t="s">
        <v>162</v>
      </c>
      <c r="E184" s="399">
        <f>STDEV(E180:E182)</f>
        <v>2.7273124744578183E-2</v>
      </c>
      <c r="F184" s="399">
        <f t="shared" ref="F184:S184" si="423">STDEV(F180:F182)</f>
        <v>3.863073042712669E-2</v>
      </c>
      <c r="G184" s="399">
        <f t="shared" si="423"/>
        <v>1.7349351572897475E-2</v>
      </c>
      <c r="H184" s="399">
        <f t="shared" si="423"/>
        <v>2.7273124744578343E-5</v>
      </c>
      <c r="I184" s="399">
        <f t="shared" si="423"/>
        <v>3.8630730427126831E-5</v>
      </c>
      <c r="J184" s="399">
        <f t="shared" si="423"/>
        <v>1.7349351572897432E-5</v>
      </c>
      <c r="K184" s="399">
        <f t="shared" si="423"/>
        <v>2.1540711177279398E-8</v>
      </c>
      <c r="L184" s="399">
        <f t="shared" si="423"/>
        <v>1.1615014725390348E-8</v>
      </c>
      <c r="M184" s="399">
        <f t="shared" si="423"/>
        <v>2.6547233979367789E-3</v>
      </c>
      <c r="N184" s="399">
        <f t="shared" si="423"/>
        <v>8.1397858808587937</v>
      </c>
      <c r="O184" s="399">
        <f t="shared" si="423"/>
        <v>2.173730754547762</v>
      </c>
      <c r="P184" s="399">
        <f t="shared" si="423"/>
        <v>5.5360890484935092</v>
      </c>
      <c r="Q184" s="399">
        <f t="shared" si="423"/>
        <v>2.3037221472746172E-3</v>
      </c>
      <c r="R184" s="399">
        <f t="shared" si="423"/>
        <v>0.23037221472746072</v>
      </c>
      <c r="S184" s="400">
        <f t="shared" si="423"/>
        <v>2.6547233979367789E-3</v>
      </c>
    </row>
    <row r="185" spans="1:20" x14ac:dyDescent="0.25">
      <c r="A185" s="530"/>
      <c r="B185" s="532" t="s">
        <v>20</v>
      </c>
      <c r="C185" s="530"/>
      <c r="D185" s="113" t="s">
        <v>135</v>
      </c>
      <c r="E185" s="392">
        <f>'Porosity and Density'!E123</f>
        <v>3.0628000000000002</v>
      </c>
      <c r="F185" s="393">
        <f>'Porosity and Density'!F123</f>
        <v>3.448</v>
      </c>
      <c r="G185" s="393">
        <f>'Porosity and Density'!G123</f>
        <v>1.931</v>
      </c>
      <c r="H185" s="393">
        <f>'Porosity and Density'!H123</f>
        <v>3.0628000000000001E-3</v>
      </c>
      <c r="I185" s="393">
        <f>'Porosity and Density'!I123</f>
        <v>3.4480000000000001E-3</v>
      </c>
      <c r="J185" s="393">
        <f>'Porosity and Density'!J123</f>
        <v>1.931E-3</v>
      </c>
      <c r="K185" s="393">
        <f>'Porosity and Density'!K123</f>
        <v>1.5197355239430975E-6</v>
      </c>
      <c r="L185" s="393">
        <f>'Porosity and Density'!L123</f>
        <v>3.8589461029853741E-7</v>
      </c>
      <c r="M185" s="393">
        <f>'Porosity and Density'!M123</f>
        <v>0.25392221489782468</v>
      </c>
      <c r="N185" s="393">
        <f>'Porosity and Density'!N123</f>
        <v>2015.350665787739</v>
      </c>
      <c r="O185" s="393">
        <f>'Porosity and Density'!O123</f>
        <v>2701.260788125111</v>
      </c>
      <c r="P185" s="393">
        <f>'Porosity and Density'!P123</f>
        <v>2268.8158206987478</v>
      </c>
      <c r="Q185" s="393">
        <f>'Porosity and Density'!Q123</f>
        <v>0.12576727177745856</v>
      </c>
      <c r="R185" s="418">
        <f>Q185*100</f>
        <v>12.576727177745855</v>
      </c>
      <c r="S185" s="394">
        <f>'Porosity and Density'!R123</f>
        <v>0.25392221489782468</v>
      </c>
    </row>
    <row r="186" spans="1:20" x14ac:dyDescent="0.25">
      <c r="A186" s="530"/>
      <c r="B186" s="530"/>
      <c r="C186" s="530"/>
      <c r="D186" s="114" t="s">
        <v>136</v>
      </c>
      <c r="E186" s="395">
        <f>'Porosity and Density'!E124</f>
        <v>2.9725000000000001</v>
      </c>
      <c r="F186" s="396">
        <f>'Porosity and Density'!F124</f>
        <v>3.3439999999999999</v>
      </c>
      <c r="G186" s="396">
        <f>'Porosity and Density'!G124</f>
        <v>1.871</v>
      </c>
      <c r="H186" s="396">
        <f>'Porosity and Density'!H124</f>
        <v>2.9725000000000003E-3</v>
      </c>
      <c r="I186" s="396">
        <f>'Porosity and Density'!I124</f>
        <v>3.3439999999999998E-3</v>
      </c>
      <c r="J186" s="396">
        <f>'Porosity and Density'!J124</f>
        <v>1.8710000000000001E-3</v>
      </c>
      <c r="K186" s="396">
        <f>'Porosity and Density'!K124</f>
        <v>1.4756561811260265E-6</v>
      </c>
      <c r="L186" s="396">
        <f>'Porosity and Density'!L124</f>
        <v>3.7216990583049431E-7</v>
      </c>
      <c r="M186" s="396">
        <f>'Porosity and Density'!M124</f>
        <v>0.25220638153428343</v>
      </c>
      <c r="N186" s="396">
        <f>'Porosity and Density'!N124</f>
        <v>2014.3581126951806</v>
      </c>
      <c r="O186" s="396">
        <f>'Porosity and Density'!O124</f>
        <v>2693.7353608715384</v>
      </c>
      <c r="P186" s="396">
        <f>'Porosity and Density'!P124</f>
        <v>2266.1105227427024</v>
      </c>
      <c r="Q186" s="396">
        <f>'Porosity and Density'!Q124</f>
        <v>0.12497897392767011</v>
      </c>
      <c r="R186" s="419">
        <f>Q186*100</f>
        <v>12.497897392767012</v>
      </c>
      <c r="S186" s="397">
        <f>'Porosity and Density'!R124</f>
        <v>0.25220638153428343</v>
      </c>
    </row>
    <row r="187" spans="1:20" ht="15.75" thickBot="1" x14ac:dyDescent="0.3">
      <c r="A187" s="533"/>
      <c r="B187" s="531"/>
      <c r="C187" s="530"/>
      <c r="D187" s="115" t="s">
        <v>137</v>
      </c>
      <c r="E187" s="398">
        <f>'Porosity and Density'!E125</f>
        <v>2.9845000000000002</v>
      </c>
      <c r="F187" s="399">
        <f>'Porosity and Density'!F125</f>
        <v>3.36</v>
      </c>
      <c r="G187" s="399">
        <f>'Porosity and Density'!G125</f>
        <v>1.88</v>
      </c>
      <c r="H187" s="399">
        <f>'Porosity and Density'!H125</f>
        <v>2.9845000000000002E-3</v>
      </c>
      <c r="I187" s="399">
        <f>'Porosity and Density'!I125</f>
        <v>3.3600000000000001E-3</v>
      </c>
      <c r="J187" s="399">
        <f>'Porosity and Density'!J125</f>
        <v>1.8799999999999999E-3</v>
      </c>
      <c r="K187" s="399">
        <f>'Porosity and Density'!K125</f>
        <v>1.4826688038469246E-6</v>
      </c>
      <c r="L187" s="399">
        <f>'Porosity and Density'!L125</f>
        <v>3.7617711881386488E-7</v>
      </c>
      <c r="M187" s="399">
        <f>'Porosity and Density'!M125</f>
        <v>0.25371621621621615</v>
      </c>
      <c r="N187" s="399">
        <f>'Porosity and Density'!N125</f>
        <v>2012.9242567567567</v>
      </c>
      <c r="O187" s="399">
        <f>'Porosity and Density'!O125</f>
        <v>2697.263829787234</v>
      </c>
      <c r="P187" s="399">
        <f>'Porosity and Density'!P125</f>
        <v>2266.1837837837838</v>
      </c>
      <c r="Q187" s="399">
        <f>'Porosity and Density'!Q125</f>
        <v>0.1258167197185458</v>
      </c>
      <c r="R187" s="419">
        <f>Q187*100</f>
        <v>12.581671971854579</v>
      </c>
      <c r="S187" s="400">
        <f>'Porosity and Density'!R125</f>
        <v>0.25371621621621615</v>
      </c>
    </row>
    <row r="188" spans="1:20" x14ac:dyDescent="0.25">
      <c r="A188" s="336"/>
      <c r="B188" s="302"/>
      <c r="C188" s="530"/>
      <c r="D188" s="390" t="s">
        <v>161</v>
      </c>
      <c r="E188" s="393">
        <f>AVERAGE(E185:E187)</f>
        <v>3.0066000000000002</v>
      </c>
      <c r="F188" s="393">
        <f t="shared" ref="F188" si="424">AVERAGE(F185:F187)</f>
        <v>3.3839999999999999</v>
      </c>
      <c r="G188" s="393">
        <f t="shared" ref="G188" si="425">AVERAGE(G185:G187)</f>
        <v>1.8940000000000001</v>
      </c>
      <c r="H188" s="393">
        <f t="shared" ref="H188" si="426">AVERAGE(H185:H187)</f>
        <v>3.0066000000000003E-3</v>
      </c>
      <c r="I188" s="393">
        <f t="shared" ref="I188" si="427">AVERAGE(I185:I187)</f>
        <v>3.3839999999999999E-3</v>
      </c>
      <c r="J188" s="393">
        <f t="shared" ref="J188" si="428">AVERAGE(J185:J187)</f>
        <v>1.8939999999999999E-3</v>
      </c>
      <c r="K188" s="393">
        <f t="shared" ref="K188" si="429">AVERAGE(K185:K187)</f>
        <v>1.4926868363053495E-6</v>
      </c>
      <c r="L188" s="393">
        <f t="shared" ref="L188" si="430">AVERAGE(L185:L187)</f>
        <v>3.7808054498096555E-7</v>
      </c>
      <c r="M188" s="393">
        <f t="shared" ref="M188" si="431">AVERAGE(M185:M187)</f>
        <v>0.25328160421610807</v>
      </c>
      <c r="N188" s="393">
        <f t="shared" ref="N188" si="432">AVERAGE(N185:N187)</f>
        <v>2014.2110117465588</v>
      </c>
      <c r="O188" s="393">
        <f t="shared" ref="O188" si="433">AVERAGE(O185:O187)</f>
        <v>2697.4199929279616</v>
      </c>
      <c r="P188" s="393">
        <f t="shared" ref="P188" si="434">AVERAGE(P185:P187)</f>
        <v>2267.0367090750779</v>
      </c>
      <c r="Q188" s="393">
        <f t="shared" ref="Q188:R188" si="435">AVERAGE(Q185:Q187)</f>
        <v>0.12552098847455814</v>
      </c>
      <c r="R188" s="393">
        <f t="shared" si="435"/>
        <v>12.552098847455815</v>
      </c>
      <c r="S188" s="394">
        <f t="shared" ref="S188" si="436">AVERAGE(S185:S187)</f>
        <v>0.25328160421610807</v>
      </c>
    </row>
    <row r="189" spans="1:20" ht="15.75" thickBot="1" x14ac:dyDescent="0.3">
      <c r="A189" s="336"/>
      <c r="B189" s="302"/>
      <c r="C189" s="530"/>
      <c r="D189" s="391" t="s">
        <v>162</v>
      </c>
      <c r="E189" s="399">
        <f>STDEV(E185:E187)</f>
        <v>4.9039066059622327E-2</v>
      </c>
      <c r="F189" s="399">
        <f t="shared" ref="F189:S189" si="437">STDEV(F185:F187)</f>
        <v>5.600000000000005E-2</v>
      </c>
      <c r="G189" s="399">
        <f t="shared" si="437"/>
        <v>3.2357379374726929E-2</v>
      </c>
      <c r="H189" s="399">
        <f t="shared" si="437"/>
        <v>4.9039066059622198E-5</v>
      </c>
      <c r="I189" s="399">
        <f t="shared" si="437"/>
        <v>5.6000000000000121E-5</v>
      </c>
      <c r="J189" s="399">
        <f t="shared" si="437"/>
        <v>3.235737937472686E-5</v>
      </c>
      <c r="K189" s="399">
        <f t="shared" si="437"/>
        <v>2.3685815302618566E-8</v>
      </c>
      <c r="L189" s="399">
        <f t="shared" si="437"/>
        <v>7.0575598873819824E-9</v>
      </c>
      <c r="M189" s="399">
        <f t="shared" si="437"/>
        <v>9.3684936133765393E-4</v>
      </c>
      <c r="N189" s="399">
        <f t="shared" si="437"/>
        <v>1.2198746711126573</v>
      </c>
      <c r="O189" s="399">
        <f t="shared" si="437"/>
        <v>3.7651432950280515</v>
      </c>
      <c r="P189" s="399">
        <f t="shared" si="437"/>
        <v>1.5411912347735126</v>
      </c>
      <c r="Q189" s="399">
        <f t="shared" si="437"/>
        <v>4.7004904158835293E-4</v>
      </c>
      <c r="R189" s="399">
        <f t="shared" si="437"/>
        <v>4.700490415883473E-2</v>
      </c>
      <c r="S189" s="400">
        <f t="shared" si="437"/>
        <v>9.3684936133765393E-4</v>
      </c>
    </row>
    <row r="190" spans="1:20" x14ac:dyDescent="0.25">
      <c r="A190" s="529" t="s">
        <v>293</v>
      </c>
      <c r="B190" s="532" t="s">
        <v>134</v>
      </c>
      <c r="C190" s="530"/>
      <c r="D190" s="113" t="s">
        <v>135</v>
      </c>
      <c r="E190" s="392">
        <f>'Porosity and Density'!E126</f>
        <v>2.8712</v>
      </c>
      <c r="F190" s="393">
        <f>'Porosity and Density'!F126</f>
        <v>3.327</v>
      </c>
      <c r="G190" s="393">
        <f>'Porosity and Density'!G126</f>
        <v>1.8360000000000001</v>
      </c>
      <c r="H190" s="393">
        <f>'Porosity and Density'!H126</f>
        <v>2.8712E-3</v>
      </c>
      <c r="I190" s="393">
        <f>'Porosity and Density'!I126</f>
        <v>3.3270000000000001E-3</v>
      </c>
      <c r="J190" s="393">
        <f>'Porosity and Density'!J126</f>
        <v>1.8360000000000002E-3</v>
      </c>
      <c r="K190" s="393">
        <f>'Porosity and Density'!K126</f>
        <v>1.493688639551192E-6</v>
      </c>
      <c r="L190" s="393">
        <f>'Porosity and Density'!L126</f>
        <v>4.5662191945501916E-7</v>
      </c>
      <c r="M190" s="393">
        <f>'Porosity and Density'!M126</f>
        <v>0.30570087189805512</v>
      </c>
      <c r="N190" s="393">
        <f>'Porosity and Density'!N126</f>
        <v>1922.2212206572772</v>
      </c>
      <c r="O190" s="393">
        <f>'Porosity and Density'!O126</f>
        <v>2768.5778979907268</v>
      </c>
      <c r="P190" s="393">
        <f>'Porosity and Density'!P126</f>
        <v>2227.3718309859155</v>
      </c>
      <c r="Q190" s="393">
        <f>'Porosity and Density'!Q126</f>
        <v>0.15874895514070778</v>
      </c>
      <c r="R190" s="418">
        <f>Q190*100</f>
        <v>15.874895514070777</v>
      </c>
      <c r="S190" s="394">
        <f>'Porosity and Density'!R126</f>
        <v>0.30570087189805512</v>
      </c>
    </row>
    <row r="191" spans="1:20" x14ac:dyDescent="0.25">
      <c r="A191" s="530"/>
      <c r="B191" s="530"/>
      <c r="C191" s="530"/>
      <c r="D191" s="114" t="s">
        <v>136</v>
      </c>
      <c r="E191" s="395">
        <f>'Porosity and Density'!E127</f>
        <v>2.9085999999999999</v>
      </c>
      <c r="F191" s="396">
        <f>'Porosity and Density'!F127</f>
        <v>3.3679999999999999</v>
      </c>
      <c r="G191" s="396">
        <f>'Porosity and Density'!G127</f>
        <v>1.8580000000000001</v>
      </c>
      <c r="H191" s="396">
        <f>'Porosity and Density'!H127</f>
        <v>2.9085999999999999E-3</v>
      </c>
      <c r="I191" s="396">
        <f>'Porosity and Density'!I127</f>
        <v>3.3679999999999999E-3</v>
      </c>
      <c r="J191" s="396">
        <f>'Porosity and Density'!J127</f>
        <v>1.8580000000000001E-3</v>
      </c>
      <c r="K191" s="396">
        <f>'Porosity and Density'!K127</f>
        <v>1.5127229012221997E-6</v>
      </c>
      <c r="L191" s="396">
        <f>'Porosity and Density'!L127</f>
        <v>4.6022841114005207E-7</v>
      </c>
      <c r="M191" s="396">
        <f>'Porosity and Density'!M127</f>
        <v>0.30423841059602652</v>
      </c>
      <c r="N191" s="396">
        <f>'Porosity and Density'!N127</f>
        <v>1922.7579602649009</v>
      </c>
      <c r="O191" s="396">
        <f>'Porosity and Density'!O127</f>
        <v>2763.5299067199703</v>
      </c>
      <c r="P191" s="396">
        <f>'Porosity and Density'!P127</f>
        <v>2226.4487417218547</v>
      </c>
      <c r="Q191" s="396">
        <f>'Porosity and Density'!Q127</f>
        <v>0.15794540328680465</v>
      </c>
      <c r="R191" s="419">
        <f>Q191*100</f>
        <v>15.794540328680466</v>
      </c>
      <c r="S191" s="397">
        <f>'Porosity and Density'!R127</f>
        <v>0.30423841059602652</v>
      </c>
    </row>
    <row r="192" spans="1:20" ht="15.75" thickBot="1" x14ac:dyDescent="0.3">
      <c r="A192" s="530"/>
      <c r="B192" s="531"/>
      <c r="C192" s="530"/>
      <c r="D192" s="115" t="s">
        <v>137</v>
      </c>
      <c r="E192" s="398">
        <f>'Porosity and Density'!E128</f>
        <v>2.8759999999999999</v>
      </c>
      <c r="F192" s="399">
        <f>'Porosity and Density'!F128</f>
        <v>3.3050000000000002</v>
      </c>
      <c r="G192" s="399">
        <f>'Porosity and Density'!G128</f>
        <v>1.837</v>
      </c>
      <c r="H192" s="399">
        <f>'Porosity and Density'!H128</f>
        <v>2.8760000000000001E-3</v>
      </c>
      <c r="I192" s="399">
        <f>'Porosity and Density'!I128</f>
        <v>3.3050000000000002E-3</v>
      </c>
      <c r="J192" s="399">
        <f>'Porosity and Density'!J128</f>
        <v>1.8370000000000001E-3</v>
      </c>
      <c r="K192" s="399">
        <f>'Porosity and Density'!K128</f>
        <v>1.4706471648968143E-6</v>
      </c>
      <c r="L192" s="399">
        <f>'Porosity and Density'!L128</f>
        <v>4.2977359246643968E-7</v>
      </c>
      <c r="M192" s="399">
        <f>'Porosity and Density'!M128</f>
        <v>0.29223433242506819</v>
      </c>
      <c r="N192" s="399">
        <f>'Porosity and Density'!N128</f>
        <v>1955.6016348773842</v>
      </c>
      <c r="O192" s="399">
        <f>'Porosity and Density'!O128</f>
        <v>2763.0637151106835</v>
      </c>
      <c r="P192" s="399">
        <f>'Porosity and Density'!P128</f>
        <v>2247.3099455040874</v>
      </c>
      <c r="Q192" s="399">
        <f>'Porosity and Density'!Q128</f>
        <v>0.14916550764951325</v>
      </c>
      <c r="R192" s="419">
        <f>Q192*100</f>
        <v>14.916550764951324</v>
      </c>
      <c r="S192" s="400">
        <f>'Porosity and Density'!R128</f>
        <v>0.29223433242506819</v>
      </c>
    </row>
    <row r="193" spans="1:19" x14ac:dyDescent="0.25">
      <c r="A193" s="530"/>
      <c r="B193" s="302"/>
      <c r="C193" s="530"/>
      <c r="D193" s="390" t="s">
        <v>161</v>
      </c>
      <c r="E193" s="393">
        <f>AVERAGE(E190:E192)</f>
        <v>2.8852666666666664</v>
      </c>
      <c r="F193" s="393">
        <f t="shared" ref="F193" si="438">AVERAGE(F190:F192)</f>
        <v>3.3333333333333335</v>
      </c>
      <c r="G193" s="393">
        <f t="shared" ref="G193" si="439">AVERAGE(G190:G192)</f>
        <v>1.8436666666666666</v>
      </c>
      <c r="H193" s="393">
        <f t="shared" ref="H193" si="440">AVERAGE(H190:H192)</f>
        <v>2.8852666666666668E-3</v>
      </c>
      <c r="I193" s="393">
        <f t="shared" ref="I193" si="441">AVERAGE(I190:I192)</f>
        <v>3.3333333333333335E-3</v>
      </c>
      <c r="J193" s="393">
        <f t="shared" ref="J193" si="442">AVERAGE(J190:J192)</f>
        <v>1.8436666666666668E-3</v>
      </c>
      <c r="K193" s="393">
        <f t="shared" ref="K193" si="443">AVERAGE(K190:K192)</f>
        <v>1.4923529018900686E-6</v>
      </c>
      <c r="L193" s="393">
        <f t="shared" ref="L193" si="444">AVERAGE(L190:L192)</f>
        <v>4.4887464102050362E-7</v>
      </c>
      <c r="M193" s="393">
        <f t="shared" ref="M193" si="445">AVERAGE(M190:M192)</f>
        <v>0.30072453830638329</v>
      </c>
      <c r="N193" s="393">
        <f t="shared" ref="N193" si="446">AVERAGE(N190:N192)</f>
        <v>1933.5269385998538</v>
      </c>
      <c r="O193" s="393">
        <f t="shared" ref="O193" si="447">AVERAGE(O190:O192)</f>
        <v>2765.0571732737935</v>
      </c>
      <c r="P193" s="393">
        <f t="shared" ref="P193" si="448">AVERAGE(P190:P192)</f>
        <v>2233.710172737286</v>
      </c>
      <c r="Q193" s="393">
        <f t="shared" ref="Q193:R193" si="449">AVERAGE(Q190:Q192)</f>
        <v>0.15528662202567522</v>
      </c>
      <c r="R193" s="393">
        <f t="shared" si="449"/>
        <v>15.528662202567522</v>
      </c>
      <c r="S193" s="394">
        <f t="shared" ref="S193" si="450">AVERAGE(S190:S192)</f>
        <v>0.30072453830638329</v>
      </c>
    </row>
    <row r="194" spans="1:19" ht="15.75" thickBot="1" x14ac:dyDescent="0.3">
      <c r="A194" s="530"/>
      <c r="B194" s="302"/>
      <c r="C194" s="530"/>
      <c r="D194" s="391" t="s">
        <v>162</v>
      </c>
      <c r="E194" s="399">
        <f>STDEV(E190:E192)</f>
        <v>2.0349283361664881E-2</v>
      </c>
      <c r="F194" s="399">
        <f t="shared" ref="F194:S194" si="451">STDEV(F190:F192)</f>
        <v>3.1973947728319768E-2</v>
      </c>
      <c r="G194" s="399">
        <f t="shared" si="451"/>
        <v>1.242309676905619E-2</v>
      </c>
      <c r="H194" s="399">
        <f t="shared" si="451"/>
        <v>2.0349283361664869E-5</v>
      </c>
      <c r="I194" s="399">
        <f t="shared" si="451"/>
        <v>3.1973947728319746E-5</v>
      </c>
      <c r="J194" s="399">
        <f t="shared" si="451"/>
        <v>1.2423096769056104E-5</v>
      </c>
      <c r="K194" s="399">
        <f t="shared" si="451"/>
        <v>2.1069647437851146E-8</v>
      </c>
      <c r="L194" s="399">
        <f t="shared" si="451"/>
        <v>1.6639989106579501E-8</v>
      </c>
      <c r="M194" s="399">
        <f t="shared" si="451"/>
        <v>7.3890050206587869E-3</v>
      </c>
      <c r="N194" s="399">
        <f t="shared" si="451"/>
        <v>19.119131365218941</v>
      </c>
      <c r="O194" s="399">
        <f t="shared" si="451"/>
        <v>3.0579340335365353</v>
      </c>
      <c r="P194" s="399">
        <f t="shared" si="451"/>
        <v>11.786788702985792</v>
      </c>
      <c r="Q194" s="399">
        <f t="shared" si="451"/>
        <v>5.3162444262863217E-3</v>
      </c>
      <c r="R194" s="399">
        <f t="shared" si="451"/>
        <v>0.53162444262863273</v>
      </c>
      <c r="S194" s="400">
        <f t="shared" si="451"/>
        <v>7.3890050206587869E-3</v>
      </c>
    </row>
    <row r="195" spans="1:19" x14ac:dyDescent="0.25">
      <c r="A195" s="530"/>
      <c r="B195" s="532" t="s">
        <v>20</v>
      </c>
      <c r="C195" s="530"/>
      <c r="D195" s="114" t="s">
        <v>135</v>
      </c>
      <c r="E195" s="392">
        <f>'Porosity and Density'!E129</f>
        <v>3.0253000000000001</v>
      </c>
      <c r="F195" s="393">
        <f>'Porosity and Density'!F129</f>
        <v>3.36</v>
      </c>
      <c r="G195" s="393">
        <f>'Porosity and Density'!G129</f>
        <v>1.9019999999999999</v>
      </c>
      <c r="H195" s="393">
        <f>'Porosity and Density'!H129</f>
        <v>3.0253000000000003E-3</v>
      </c>
      <c r="I195" s="393">
        <f>'Porosity and Density'!I129</f>
        <v>3.3600000000000001E-3</v>
      </c>
      <c r="J195" s="393">
        <f>'Porosity and Density'!J129</f>
        <v>1.902E-3</v>
      </c>
      <c r="K195" s="393">
        <f>'Porosity and Density'!K129</f>
        <v>1.4606291324383892E-6</v>
      </c>
      <c r="L195" s="393">
        <f>'Porosity and Density'!L129</f>
        <v>3.3530354638349013E-7</v>
      </c>
      <c r="M195" s="393">
        <f>'Porosity and Density'!M129</f>
        <v>0.22956104252400539</v>
      </c>
      <c r="N195" s="393">
        <f>'Porosity and Density'!N129</f>
        <v>2071.2307681755833</v>
      </c>
      <c r="O195" s="393">
        <f>'Porosity and Density'!O129</f>
        <v>2688.3775126858359</v>
      </c>
      <c r="P195" s="393">
        <f>'Porosity and Density'!P129</f>
        <v>2300.3786008230454</v>
      </c>
      <c r="Q195" s="393">
        <f>'Porosity and Density'!Q129</f>
        <v>0.11063365616633054</v>
      </c>
      <c r="R195" s="418">
        <f>Q195*100</f>
        <v>11.063365616633055</v>
      </c>
      <c r="S195" s="394">
        <f>'Porosity and Density'!R129</f>
        <v>0.22956104252400539</v>
      </c>
    </row>
    <row r="196" spans="1:19" x14ac:dyDescent="0.25">
      <c r="A196" s="530"/>
      <c r="B196" s="530"/>
      <c r="C196" s="530"/>
      <c r="D196" s="114" t="s">
        <v>136</v>
      </c>
      <c r="E196" s="395">
        <f>'Porosity and Density'!E130</f>
        <v>3.0424000000000002</v>
      </c>
      <c r="F196" s="396">
        <f>'Porosity and Density'!F130</f>
        <v>3.37</v>
      </c>
      <c r="G196" s="396">
        <f>'Porosity and Density'!G130</f>
        <v>1.911</v>
      </c>
      <c r="H196" s="396">
        <f>'Porosity and Density'!H130</f>
        <v>3.0424000000000002E-3</v>
      </c>
      <c r="I196" s="396">
        <f>'Porosity and Density'!I130</f>
        <v>3.3700000000000002E-3</v>
      </c>
      <c r="J196" s="396">
        <f>'Porosity and Density'!J130</f>
        <v>1.9110000000000002E-3</v>
      </c>
      <c r="K196" s="396">
        <f>'Porosity and Density'!K130</f>
        <v>1.4616309356842315E-6</v>
      </c>
      <c r="L196" s="396">
        <f>'Porosity and Density'!L130</f>
        <v>3.2819074333800836E-7</v>
      </c>
      <c r="M196" s="396">
        <f>'Porosity and Density'!M130</f>
        <v>0.22453735435229608</v>
      </c>
      <c r="N196" s="396">
        <f>'Porosity and Density'!N130</f>
        <v>2081.5104043865663</v>
      </c>
      <c r="O196" s="396">
        <f>'Porosity and Density'!O130</f>
        <v>2684.2175004419305</v>
      </c>
      <c r="P196" s="396">
        <f>'Porosity and Density'!P130</f>
        <v>2305.6435915010284</v>
      </c>
      <c r="Q196" s="396">
        <f>'Porosity and Density'!Q130</f>
        <v>0.10767814882987113</v>
      </c>
      <c r="R196" s="419">
        <f>Q196*100</f>
        <v>10.767814882987112</v>
      </c>
      <c r="S196" s="397">
        <f>'Porosity and Density'!R130</f>
        <v>0.22453735435229608</v>
      </c>
    </row>
    <row r="197" spans="1:19" ht="15.75" thickBot="1" x14ac:dyDescent="0.3">
      <c r="A197" s="533"/>
      <c r="B197" s="531"/>
      <c r="C197" s="530"/>
      <c r="D197" s="145" t="s">
        <v>137</v>
      </c>
      <c r="E197" s="398">
        <f>'Porosity and Density'!E131</f>
        <v>3.0663</v>
      </c>
      <c r="F197" s="399">
        <f>'Porosity and Density'!F131</f>
        <v>3.4039999999999999</v>
      </c>
      <c r="G197" s="399">
        <f>'Porosity and Density'!G131</f>
        <v>1.929</v>
      </c>
      <c r="H197" s="399">
        <f>'Porosity and Density'!H131</f>
        <v>3.0663000000000001E-3</v>
      </c>
      <c r="I197" s="399">
        <f>'Porosity and Density'!I131</f>
        <v>3.4039999999999999E-3</v>
      </c>
      <c r="J197" s="399">
        <f>'Porosity and Density'!J131</f>
        <v>1.9290000000000002E-3</v>
      </c>
      <c r="K197" s="399">
        <f>'Porosity and Density'!K131</f>
        <v>1.4776597876177115E-6</v>
      </c>
      <c r="L197" s="399">
        <f>'Porosity and Density'!L131</f>
        <v>3.383089561210176E-7</v>
      </c>
      <c r="M197" s="399">
        <f>'Porosity and Density'!M131</f>
        <v>0.22894915254237277</v>
      </c>
      <c r="N197" s="399">
        <f>'Porosity and Density'!N131</f>
        <v>2075.1055322033903</v>
      </c>
      <c r="O197" s="399">
        <f>'Porosity and Density'!O131</f>
        <v>2691.2693748351362</v>
      </c>
      <c r="P197" s="399">
        <f>'Porosity and Density'!P131</f>
        <v>2303.642576271187</v>
      </c>
      <c r="Q197" s="399">
        <f>'Porosity and Density'!Q131</f>
        <v>0.11013273326158556</v>
      </c>
      <c r="R197" s="419">
        <f>Q197*100</f>
        <v>11.013273326158556</v>
      </c>
      <c r="S197" s="400">
        <f>'Porosity and Density'!R131</f>
        <v>0.22894915254237277</v>
      </c>
    </row>
    <row r="198" spans="1:19" x14ac:dyDescent="0.25">
      <c r="A198" s="336"/>
      <c r="B198" s="302"/>
      <c r="C198" s="530"/>
      <c r="D198" s="390" t="s">
        <v>161</v>
      </c>
      <c r="E198" s="393">
        <f>AVERAGE(E195:E197)</f>
        <v>3.0446666666666666</v>
      </c>
      <c r="F198" s="393">
        <f t="shared" ref="F198" si="452">AVERAGE(F195:F197)</f>
        <v>3.3780000000000001</v>
      </c>
      <c r="G198" s="393">
        <f t="shared" ref="G198" si="453">AVERAGE(G195:G197)</f>
        <v>1.9139999999999999</v>
      </c>
      <c r="H198" s="393">
        <f t="shared" ref="H198" si="454">AVERAGE(H195:H197)</f>
        <v>3.0446666666666664E-3</v>
      </c>
      <c r="I198" s="393">
        <f t="shared" ref="I198" si="455">AVERAGE(I195:I197)</f>
        <v>3.3780000000000004E-3</v>
      </c>
      <c r="J198" s="393">
        <f t="shared" ref="J198" si="456">AVERAGE(J195:J197)</f>
        <v>1.9140000000000001E-3</v>
      </c>
      <c r="K198" s="393">
        <f t="shared" ref="K198" si="457">AVERAGE(K195:K197)</f>
        <v>1.466639951913444E-6</v>
      </c>
      <c r="L198" s="393">
        <f t="shared" ref="L198" si="458">AVERAGE(L195:L197)</f>
        <v>3.339344152808387E-7</v>
      </c>
      <c r="M198" s="393">
        <f t="shared" ref="M198" si="459">AVERAGE(M195:M197)</f>
        <v>0.22768251647289142</v>
      </c>
      <c r="N198" s="393">
        <f t="shared" ref="N198" si="460">AVERAGE(N195:N197)</f>
        <v>2075.9489015885133</v>
      </c>
      <c r="O198" s="393">
        <f t="shared" ref="O198" si="461">AVERAGE(O195:O197)</f>
        <v>2687.954795987634</v>
      </c>
      <c r="P198" s="393">
        <f t="shared" ref="P198" si="462">AVERAGE(P195:P197)</f>
        <v>2303.2215895317536</v>
      </c>
      <c r="Q198" s="393">
        <f t="shared" ref="Q198:R198" si="463">AVERAGE(Q195:Q197)</f>
        <v>0.10948151275259575</v>
      </c>
      <c r="R198" s="393">
        <f t="shared" si="463"/>
        <v>10.948151275259574</v>
      </c>
      <c r="S198" s="394">
        <f t="shared" ref="S198" si="464">AVERAGE(S195:S197)</f>
        <v>0.22768251647289142</v>
      </c>
    </row>
    <row r="199" spans="1:19" ht="15.75" thickBot="1" x14ac:dyDescent="0.3">
      <c r="A199" s="336"/>
      <c r="B199" s="302"/>
      <c r="C199" s="530"/>
      <c r="D199" s="391" t="s">
        <v>162</v>
      </c>
      <c r="E199" s="399">
        <f>STDEV(E195:E197)</f>
        <v>2.059376928426002E-2</v>
      </c>
      <c r="F199" s="399">
        <f t="shared" ref="F199:S199" si="465">STDEV(F195:F197)</f>
        <v>2.3065125189341572E-2</v>
      </c>
      <c r="G199" s="399">
        <f t="shared" si="465"/>
        <v>1.3747727084867581E-2</v>
      </c>
      <c r="H199" s="399">
        <f t="shared" si="465"/>
        <v>2.0593769284259965E-5</v>
      </c>
      <c r="I199" s="399">
        <f t="shared" si="465"/>
        <v>2.3065125189341458E-5</v>
      </c>
      <c r="J199" s="399">
        <f t="shared" si="465"/>
        <v>1.3747727084867571E-5</v>
      </c>
      <c r="K199" s="399">
        <f t="shared" si="465"/>
        <v>9.5565938831589108E-9</v>
      </c>
      <c r="L199" s="399">
        <f t="shared" si="465"/>
        <v>5.1961954796512917E-9</v>
      </c>
      <c r="M199" s="399">
        <f t="shared" si="465"/>
        <v>2.7409188078136148E-3</v>
      </c>
      <c r="N199" s="399">
        <f t="shared" si="465"/>
        <v>5.1914529851824822</v>
      </c>
      <c r="O199" s="399">
        <f t="shared" si="465"/>
        <v>3.5448907133494956</v>
      </c>
      <c r="P199" s="399">
        <f t="shared" si="465"/>
        <v>2.6576218854261229</v>
      </c>
      <c r="Q199" s="399">
        <f t="shared" si="465"/>
        <v>1.5817148976547777E-3</v>
      </c>
      <c r="R199" s="399">
        <f t="shared" si="465"/>
        <v>0.1581714897654786</v>
      </c>
      <c r="S199" s="400">
        <f t="shared" si="465"/>
        <v>2.7409188078136148E-3</v>
      </c>
    </row>
    <row r="200" spans="1:19" x14ac:dyDescent="0.25">
      <c r="A200" s="529" t="s">
        <v>294</v>
      </c>
      <c r="B200" s="532" t="s">
        <v>134</v>
      </c>
      <c r="C200" s="530"/>
      <c r="D200" s="113" t="s">
        <v>135</v>
      </c>
      <c r="E200" s="392">
        <f>'Porosity and Density'!E132</f>
        <v>2.8972000000000002</v>
      </c>
      <c r="F200" s="393">
        <f>'Porosity and Density'!F132</f>
        <v>3.1360000000000001</v>
      </c>
      <c r="G200" s="393">
        <f>'Porosity and Density'!G132</f>
        <v>1.839</v>
      </c>
      <c r="H200" s="393">
        <f>'Porosity and Density'!H132</f>
        <v>2.8972000000000004E-3</v>
      </c>
      <c r="I200" s="393">
        <f>'Porosity and Density'!I132</f>
        <v>3.1360000000000003E-3</v>
      </c>
      <c r="J200" s="393">
        <f>'Porosity and Density'!J132</f>
        <v>1.8389999999999999E-3</v>
      </c>
      <c r="K200" s="393">
        <f>'Porosity and Density'!K132</f>
        <v>1.2993388098577444E-6</v>
      </c>
      <c r="L200" s="393">
        <f>'Porosity and Density'!L132</f>
        <v>2.3923061510719288E-7</v>
      </c>
      <c r="M200" s="393">
        <f>'Porosity and Density'!M132</f>
        <v>0.18411719352351569</v>
      </c>
      <c r="N200" s="393">
        <f>'Porosity and Density'!N132</f>
        <v>2229.7494525828834</v>
      </c>
      <c r="O200" s="393">
        <f>'Porosity and Density'!O132</f>
        <v>2732.9285957285947</v>
      </c>
      <c r="P200" s="393">
        <f>'Porosity and Density'!P132</f>
        <v>2413.5352351580564</v>
      </c>
      <c r="Q200" s="393">
        <f>'Porosity and Density'!Q132</f>
        <v>8.2424409774955104E-2</v>
      </c>
      <c r="R200" s="418">
        <f>Q200*100</f>
        <v>8.2424409774955105</v>
      </c>
      <c r="S200" s="394">
        <f>'Porosity and Density'!R132</f>
        <v>0.18411719352351569</v>
      </c>
    </row>
    <row r="201" spans="1:19" x14ac:dyDescent="0.25">
      <c r="A201" s="530"/>
      <c r="B201" s="530"/>
      <c r="C201" s="530"/>
      <c r="D201" s="114" t="s">
        <v>136</v>
      </c>
      <c r="E201" s="395">
        <f>'Porosity and Density'!E133</f>
        <v>2.8851</v>
      </c>
      <c r="F201" s="396">
        <f>'Porosity and Density'!F133</f>
        <v>3.0939999999999999</v>
      </c>
      <c r="G201" s="396">
        <f>'Porosity and Density'!G133</f>
        <v>1.8220000000000001</v>
      </c>
      <c r="H201" s="396">
        <f>'Porosity and Density'!H133</f>
        <v>2.8851000000000003E-3</v>
      </c>
      <c r="I201" s="396">
        <f>'Porosity and Density'!I133</f>
        <v>3.094E-3</v>
      </c>
      <c r="J201" s="396">
        <f>'Porosity and Density'!J133</f>
        <v>1.8220000000000001E-3</v>
      </c>
      <c r="K201" s="396">
        <f>'Porosity and Density'!K133</f>
        <v>1.2742937287116808E-6</v>
      </c>
      <c r="L201" s="396">
        <f>'Porosity and Density'!L133</f>
        <v>2.092766980565014E-7</v>
      </c>
      <c r="M201" s="396">
        <f>'Porosity and Density'!M133</f>
        <v>0.16422955974842746</v>
      </c>
      <c r="N201" s="396">
        <f>'Porosity and Density'!N133</f>
        <v>2264.077688679246</v>
      </c>
      <c r="O201" s="396">
        <f>'Porosity and Density'!O133</f>
        <v>2708.9707647446148</v>
      </c>
      <c r="P201" s="396">
        <f>'Porosity and Density'!P133</f>
        <v>2428.0116352201262</v>
      </c>
      <c r="Q201" s="396">
        <f>'Porosity and Density'!Q133</f>
        <v>7.2406502374267684E-2</v>
      </c>
      <c r="R201" s="419">
        <f>Q201*100</f>
        <v>7.2406502374267685</v>
      </c>
      <c r="S201" s="397">
        <f>'Porosity and Density'!R133</f>
        <v>0.16422955974842746</v>
      </c>
    </row>
    <row r="202" spans="1:19" ht="15.75" thickBot="1" x14ac:dyDescent="0.3">
      <c r="A202" s="530"/>
      <c r="B202" s="531"/>
      <c r="C202" s="530"/>
      <c r="D202" s="115" t="s">
        <v>137</v>
      </c>
      <c r="E202" s="398">
        <f>'Porosity and Density'!E134</f>
        <v>2.9860000000000002</v>
      </c>
      <c r="F202" s="399">
        <f>'Porosity and Density'!F134</f>
        <v>3.1869999999999998</v>
      </c>
      <c r="G202" s="399">
        <f>'Porosity and Density'!G134</f>
        <v>1.8879999999999999</v>
      </c>
      <c r="H202" s="399">
        <f>'Porosity and Density'!H134</f>
        <v>2.9860000000000004E-3</v>
      </c>
      <c r="I202" s="399">
        <f>'Porosity and Density'!I134</f>
        <v>3.1869999999999997E-3</v>
      </c>
      <c r="J202" s="399">
        <f>'Porosity and Density'!J134</f>
        <v>1.8879999999999999E-3</v>
      </c>
      <c r="K202" s="399">
        <f>'Porosity and Density'!K134</f>
        <v>1.3013424163494287E-6</v>
      </c>
      <c r="L202" s="399">
        <f>'Porosity and Density'!L134</f>
        <v>2.0136245241434517E-7</v>
      </c>
      <c r="M202" s="399">
        <f>'Porosity and Density'!M134</f>
        <v>0.15473441108544989</v>
      </c>
      <c r="N202" s="399">
        <f>'Porosity and Density'!N134</f>
        <v>2294.5536566589694</v>
      </c>
      <c r="O202" s="399">
        <f>'Porosity and Density'!O134</f>
        <v>2714.5948998178496</v>
      </c>
      <c r="P202" s="399">
        <f>'Porosity and Density'!P134</f>
        <v>2449.0095458044652</v>
      </c>
      <c r="Q202" s="399">
        <f>'Porosity and Density'!Q134</f>
        <v>6.7314132618887926E-2</v>
      </c>
      <c r="R202" s="419">
        <f>Q202*100</f>
        <v>6.7314132618887923</v>
      </c>
      <c r="S202" s="400">
        <f>'Porosity and Density'!R134</f>
        <v>0.15473441108544989</v>
      </c>
    </row>
    <row r="203" spans="1:19" x14ac:dyDescent="0.25">
      <c r="A203" s="530"/>
      <c r="B203" s="302"/>
      <c r="C203" s="530"/>
      <c r="D203" s="390" t="s">
        <v>161</v>
      </c>
      <c r="E203" s="393">
        <f>AVERAGE(E200:E202)</f>
        <v>2.9227666666666665</v>
      </c>
      <c r="F203" s="393">
        <f t="shared" ref="F203" si="466">AVERAGE(F200:F202)</f>
        <v>3.1389999999999998</v>
      </c>
      <c r="G203" s="393">
        <f t="shared" ref="G203" si="467">AVERAGE(G200:G202)</f>
        <v>1.8496666666666666</v>
      </c>
      <c r="H203" s="393">
        <f t="shared" ref="H203" si="468">AVERAGE(H200:H202)</f>
        <v>2.922766666666667E-3</v>
      </c>
      <c r="I203" s="393">
        <f t="shared" ref="I203" si="469">AVERAGE(I200:I202)</f>
        <v>3.1389999999999999E-3</v>
      </c>
      <c r="J203" s="393">
        <f t="shared" ref="J203" si="470">AVERAGE(J200:J202)</f>
        <v>1.8496666666666668E-3</v>
      </c>
      <c r="K203" s="393">
        <f t="shared" ref="K203" si="471">AVERAGE(K200:K202)</f>
        <v>1.2916583183062844E-6</v>
      </c>
      <c r="L203" s="393">
        <f t="shared" ref="L203" si="472">AVERAGE(L200:L202)</f>
        <v>2.1662325519267982E-7</v>
      </c>
      <c r="M203" s="393">
        <f t="shared" ref="M203" si="473">AVERAGE(M200:M202)</f>
        <v>0.16769372145246433</v>
      </c>
      <c r="N203" s="393">
        <f t="shared" ref="N203" si="474">AVERAGE(N200:N202)</f>
        <v>2262.7935993070328</v>
      </c>
      <c r="O203" s="393">
        <f t="shared" ref="O203" si="475">AVERAGE(O200:O202)</f>
        <v>2718.8314200970199</v>
      </c>
      <c r="P203" s="393">
        <f t="shared" ref="P203" si="476">AVERAGE(P200:P202)</f>
        <v>2430.1854720608826</v>
      </c>
      <c r="Q203" s="393">
        <f t="shared" ref="Q203:R203" si="477">AVERAGE(Q200:Q202)</f>
        <v>7.40483482560369E-2</v>
      </c>
      <c r="R203" s="393">
        <f t="shared" si="477"/>
        <v>7.4048348256036904</v>
      </c>
      <c r="S203" s="394">
        <f t="shared" ref="S203" si="478">AVERAGE(S200:S202)</f>
        <v>0.16769372145246433</v>
      </c>
    </row>
    <row r="204" spans="1:19" ht="15.75" thickBot="1" x14ac:dyDescent="0.3">
      <c r="A204" s="530"/>
      <c r="B204" s="302"/>
      <c r="C204" s="530"/>
      <c r="D204" s="391" t="s">
        <v>162</v>
      </c>
      <c r="E204" s="399">
        <f>STDEV(E200:E202)</f>
        <v>5.5094857594274085E-2</v>
      </c>
      <c r="F204" s="399">
        <f t="shared" ref="F204:S204" si="479">STDEV(F200:F202)</f>
        <v>4.657252408878005E-2</v>
      </c>
      <c r="G204" s="399">
        <f t="shared" si="479"/>
        <v>3.4268547289509198E-2</v>
      </c>
      <c r="H204" s="399">
        <f t="shared" si="479"/>
        <v>5.5094857594274056E-5</v>
      </c>
      <c r="I204" s="399">
        <f t="shared" si="479"/>
        <v>4.6572524088779943E-5</v>
      </c>
      <c r="J204" s="399">
        <f t="shared" si="479"/>
        <v>3.4268547289509222E-5</v>
      </c>
      <c r="K204" s="399">
        <f t="shared" si="479"/>
        <v>1.5071507508711493E-8</v>
      </c>
      <c r="L204" s="399">
        <f t="shared" si="479"/>
        <v>1.9974442739394415E-8</v>
      </c>
      <c r="M204" s="399">
        <f t="shared" si="479"/>
        <v>1.4994575291900196E-2</v>
      </c>
      <c r="N204" s="399">
        <f t="shared" si="479"/>
        <v>32.421179506930741</v>
      </c>
      <c r="O204" s="399">
        <f t="shared" si="479"/>
        <v>12.528187994323083</v>
      </c>
      <c r="P204" s="399">
        <f t="shared" si="479"/>
        <v>17.836783732420812</v>
      </c>
      <c r="Q204" s="399">
        <f t="shared" si="479"/>
        <v>7.6877735631262784E-3</v>
      </c>
      <c r="R204" s="399">
        <f t="shared" si="479"/>
        <v>0.768777356312628</v>
      </c>
      <c r="S204" s="400">
        <f t="shared" si="479"/>
        <v>1.4994575291900196E-2</v>
      </c>
    </row>
    <row r="205" spans="1:19" x14ac:dyDescent="0.25">
      <c r="A205" s="530"/>
      <c r="B205" s="532" t="s">
        <v>20</v>
      </c>
      <c r="C205" s="530"/>
      <c r="D205" s="113" t="s">
        <v>135</v>
      </c>
      <c r="E205" s="392">
        <f>'Porosity and Density'!E135</f>
        <v>2.9304000000000001</v>
      </c>
      <c r="F205" s="393">
        <f>'Porosity and Density'!F135</f>
        <v>3.17</v>
      </c>
      <c r="G205" s="393">
        <f>'Porosity and Density'!G135</f>
        <v>1.8360000000000001</v>
      </c>
      <c r="H205" s="393">
        <f>'Porosity and Density'!H135</f>
        <v>2.9304000000000001E-3</v>
      </c>
      <c r="I205" s="393">
        <f>'Porosity and Density'!I135</f>
        <v>3.1700000000000001E-3</v>
      </c>
      <c r="J205" s="393">
        <f>'Porosity and Density'!J135</f>
        <v>1.8360000000000002E-3</v>
      </c>
      <c r="K205" s="393">
        <f>'Porosity and Density'!K135</f>
        <v>1.3364055299539169E-6</v>
      </c>
      <c r="L205" s="393">
        <f>'Porosity and Density'!L135</f>
        <v>2.4003205770386692E-7</v>
      </c>
      <c r="M205" s="393">
        <f>'Porosity and Density'!M135</f>
        <v>0.1796101949025487</v>
      </c>
      <c r="N205" s="393">
        <f>'Porosity and Density'!N135</f>
        <v>2192.7475862068968</v>
      </c>
      <c r="O205" s="393">
        <f>'Porosity and Density'!O135</f>
        <v>2672.8118421052636</v>
      </c>
      <c r="P205" s="393">
        <f>'Porosity and Density'!P135</f>
        <v>2372.0344827586209</v>
      </c>
      <c r="Q205" s="393">
        <f>'Porosity and Density'!Q135</f>
        <v>8.1763581763581755E-2</v>
      </c>
      <c r="R205" s="418">
        <f>Q205*100</f>
        <v>8.1763581763581747</v>
      </c>
      <c r="S205" s="394">
        <f>'Porosity and Density'!R135</f>
        <v>0.1796101949025487</v>
      </c>
    </row>
    <row r="206" spans="1:19" x14ac:dyDescent="0.25">
      <c r="A206" s="530"/>
      <c r="B206" s="530"/>
      <c r="C206" s="530"/>
      <c r="D206" s="114" t="s">
        <v>136</v>
      </c>
      <c r="E206" s="395">
        <f>'Porosity and Density'!E136</f>
        <v>2.9594</v>
      </c>
      <c r="F206" s="396">
        <f>'Porosity and Density'!F136</f>
        <v>3.1960000000000002</v>
      </c>
      <c r="G206" s="396">
        <f>'Porosity and Density'!G136</f>
        <v>1.8520000000000001</v>
      </c>
      <c r="H206" s="396">
        <f>'Porosity and Density'!H136</f>
        <v>2.9594000000000001E-3</v>
      </c>
      <c r="I206" s="396">
        <f>'Porosity and Density'!I136</f>
        <v>3.1960000000000001E-3</v>
      </c>
      <c r="J206" s="396">
        <f>'Porosity and Density'!J136</f>
        <v>1.8520000000000001E-3</v>
      </c>
      <c r="K206" s="396">
        <f>'Porosity and Density'!K136</f>
        <v>1.3464235624123421E-6</v>
      </c>
      <c r="L206" s="396">
        <f>'Porosity and Density'!L136</f>
        <v>2.370266479663394E-7</v>
      </c>
      <c r="M206" s="396">
        <f>'Porosity and Density'!M136</f>
        <v>0.17604166666666668</v>
      </c>
      <c r="N206" s="396">
        <f>'Porosity and Density'!N136</f>
        <v>2197.9710416666671</v>
      </c>
      <c r="O206" s="396">
        <f>'Porosity and Density'!O136</f>
        <v>2667.5754740834391</v>
      </c>
      <c r="P206" s="396">
        <f>'Porosity and Density'!P136</f>
        <v>2373.6958333333337</v>
      </c>
      <c r="Q206" s="396">
        <f>'Porosity and Density'!Q136</f>
        <v>7.9948638237480565E-2</v>
      </c>
      <c r="R206" s="419">
        <f>Q206*100</f>
        <v>7.9948638237480569</v>
      </c>
      <c r="S206" s="397">
        <f>'Porosity and Density'!R136</f>
        <v>0.17604166666666668</v>
      </c>
    </row>
    <row r="207" spans="1:19" ht="15.75" thickBot="1" x14ac:dyDescent="0.3">
      <c r="A207" s="531"/>
      <c r="B207" s="531"/>
      <c r="C207" s="531"/>
      <c r="D207" s="115" t="s">
        <v>137</v>
      </c>
      <c r="E207" s="398">
        <f>'Porosity and Density'!E137</f>
        <v>2.8957999999999999</v>
      </c>
      <c r="F207" s="399">
        <f>'Porosity and Density'!F137</f>
        <v>3.1269999999999998</v>
      </c>
      <c r="G207" s="399">
        <f>'Porosity and Density'!G137</f>
        <v>1.8140000000000001</v>
      </c>
      <c r="H207" s="399">
        <f>'Porosity and Density'!H137</f>
        <v>2.8958E-3</v>
      </c>
      <c r="I207" s="399">
        <f>'Porosity and Density'!I137</f>
        <v>3.127E-3</v>
      </c>
      <c r="J207" s="399">
        <f>'Porosity and Density'!J137</f>
        <v>1.8140000000000001E-3</v>
      </c>
      <c r="K207" s="399">
        <f>'Porosity and Density'!K137</f>
        <v>1.3153676617912241E-6</v>
      </c>
      <c r="L207" s="399">
        <f>'Porosity and Density'!L137</f>
        <v>2.3161691043878979E-7</v>
      </c>
      <c r="M207" s="399">
        <f>'Porosity and Density'!M137</f>
        <v>0.17608530083777607</v>
      </c>
      <c r="N207" s="399">
        <f>'Porosity and Density'!N137</f>
        <v>2201.5137547600916</v>
      </c>
      <c r="O207" s="399">
        <f>'Porosity and Density'!O137</f>
        <v>2672.0166019596968</v>
      </c>
      <c r="P207" s="399">
        <f>'Porosity and Density'!P137</f>
        <v>2377.2821020563597</v>
      </c>
      <c r="Q207" s="399">
        <f>'Porosity and Density'!Q137</f>
        <v>7.9839767939774833E-2</v>
      </c>
      <c r="R207" s="419">
        <f>Q207*100</f>
        <v>7.9839767939774831</v>
      </c>
      <c r="S207" s="400">
        <f>'Porosity and Density'!R137</f>
        <v>0.17608530083777607</v>
      </c>
    </row>
    <row r="208" spans="1:19" x14ac:dyDescent="0.25">
      <c r="A208" s="336"/>
      <c r="B208" s="302"/>
      <c r="C208" s="381"/>
      <c r="D208" s="390" t="s">
        <v>161</v>
      </c>
      <c r="E208" s="393">
        <f>AVERAGE(E205:E207)</f>
        <v>2.9285333333333337</v>
      </c>
      <c r="F208" s="393">
        <f t="shared" ref="F208" si="480">AVERAGE(F205:F207)</f>
        <v>3.164333333333333</v>
      </c>
      <c r="G208" s="393">
        <f t="shared" ref="G208" si="481">AVERAGE(G205:G207)</f>
        <v>1.8340000000000003</v>
      </c>
      <c r="H208" s="393">
        <f t="shared" ref="H208" si="482">AVERAGE(H205:H207)</f>
        <v>2.9285333333333337E-3</v>
      </c>
      <c r="I208" s="393">
        <f t="shared" ref="I208" si="483">AVERAGE(I205:I207)</f>
        <v>3.1643333333333332E-3</v>
      </c>
      <c r="J208" s="393">
        <f t="shared" ref="J208" si="484">AVERAGE(J205:J207)</f>
        <v>1.8339999999999999E-3</v>
      </c>
      <c r="K208" s="393">
        <f t="shared" ref="K208" si="485">AVERAGE(K205:K207)</f>
        <v>1.3327322513858277E-6</v>
      </c>
      <c r="L208" s="393">
        <f t="shared" ref="L208" si="486">AVERAGE(L205:L207)</f>
        <v>2.3622520536966539E-7</v>
      </c>
      <c r="M208" s="393">
        <f t="shared" ref="M208" si="487">AVERAGE(M205:M207)</f>
        <v>0.17724572080233048</v>
      </c>
      <c r="N208" s="393">
        <f t="shared" ref="N208" si="488">AVERAGE(N205:N207)</f>
        <v>2197.4107942112187</v>
      </c>
      <c r="O208" s="393">
        <f t="shared" ref="O208" si="489">AVERAGE(O205:O207)</f>
        <v>2670.8013060494663</v>
      </c>
      <c r="P208" s="393">
        <f t="shared" ref="P208" si="490">AVERAGE(P205:P207)</f>
        <v>2374.3374727161049</v>
      </c>
      <c r="Q208" s="393">
        <f t="shared" ref="Q208:R208" si="491">AVERAGE(Q205:Q207)</f>
        <v>8.0517329313612385E-2</v>
      </c>
      <c r="R208" s="393">
        <f t="shared" si="491"/>
        <v>8.0517329313612382</v>
      </c>
      <c r="S208" s="394">
        <f t="shared" ref="S208" si="492">AVERAGE(S205:S207)</f>
        <v>0.17724572080233048</v>
      </c>
    </row>
    <row r="209" spans="1:19" ht="15.75" thickBot="1" x14ac:dyDescent="0.3">
      <c r="A209" s="336"/>
      <c r="B209" s="302"/>
      <c r="C209" s="381"/>
      <c r="D209" s="391" t="s">
        <v>162</v>
      </c>
      <c r="E209" s="399">
        <f>STDEV(E205:E207)</f>
        <v>3.1841063633825689E-2</v>
      </c>
      <c r="F209" s="399">
        <f t="shared" ref="F209:S209" si="493">STDEV(F205:F207)</f>
        <v>3.4847285881878187E-2</v>
      </c>
      <c r="G209" s="399">
        <f t="shared" si="493"/>
        <v>1.907878402833893E-2</v>
      </c>
      <c r="H209" s="399">
        <f t="shared" si="493"/>
        <v>3.1841063633825648E-5</v>
      </c>
      <c r="I209" s="399">
        <f t="shared" si="493"/>
        <v>3.4847285881878019E-5</v>
      </c>
      <c r="J209" s="399">
        <f t="shared" si="493"/>
        <v>1.9078784028338945E-5</v>
      </c>
      <c r="K209" s="399">
        <f t="shared" si="493"/>
        <v>1.5850456536840707E-8</v>
      </c>
      <c r="L209" s="399">
        <f t="shared" si="493"/>
        <v>4.2644353143243313E-9</v>
      </c>
      <c r="M209" s="399">
        <f t="shared" si="493"/>
        <v>2.0478108587401738E-3</v>
      </c>
      <c r="N209" s="399">
        <f t="shared" si="493"/>
        <v>4.4098566512141693</v>
      </c>
      <c r="O209" s="399">
        <f t="shared" si="493"/>
        <v>2.8218071562499714</v>
      </c>
      <c r="P209" s="399">
        <f t="shared" si="493"/>
        <v>2.6820053871389273</v>
      </c>
      <c r="Q209" s="399">
        <f t="shared" si="493"/>
        <v>1.0806581615948809E-3</v>
      </c>
      <c r="R209" s="399">
        <f t="shared" si="493"/>
        <v>0.10806581615948763</v>
      </c>
      <c r="S209" s="400">
        <f t="shared" si="493"/>
        <v>2.0478108587401738E-3</v>
      </c>
    </row>
  </sheetData>
  <mergeCells count="73">
    <mergeCell ref="U11:AB11"/>
    <mergeCell ref="A1:Q1"/>
    <mergeCell ref="U2:AB2"/>
    <mergeCell ref="U3:AB3"/>
    <mergeCell ref="M4:Q4"/>
    <mergeCell ref="U4:AB4"/>
    <mergeCell ref="M5:Q5"/>
    <mergeCell ref="U5:AB5"/>
    <mergeCell ref="U6:AB6"/>
    <mergeCell ref="U7:AB7"/>
    <mergeCell ref="U8:AB8"/>
    <mergeCell ref="U9:AB9"/>
    <mergeCell ref="U10:AB10"/>
    <mergeCell ref="A14:A21"/>
    <mergeCell ref="B14:B16"/>
    <mergeCell ref="C14:C41"/>
    <mergeCell ref="B19:B21"/>
    <mergeCell ref="A24:A31"/>
    <mergeCell ref="B24:B26"/>
    <mergeCell ref="B29:B31"/>
    <mergeCell ref="A34:A41"/>
    <mergeCell ref="B34:B36"/>
    <mergeCell ref="B39:B41"/>
    <mergeCell ref="A48:A55"/>
    <mergeCell ref="B48:B50"/>
    <mergeCell ref="C48:C75"/>
    <mergeCell ref="B53:B55"/>
    <mergeCell ref="A58:A65"/>
    <mergeCell ref="B58:B60"/>
    <mergeCell ref="B63:B65"/>
    <mergeCell ref="A68:A75"/>
    <mergeCell ref="B68:B70"/>
    <mergeCell ref="B73:B75"/>
    <mergeCell ref="A80:A87"/>
    <mergeCell ref="B80:B82"/>
    <mergeCell ref="C80:C107"/>
    <mergeCell ref="B85:B87"/>
    <mergeCell ref="A90:A97"/>
    <mergeCell ref="B90:B92"/>
    <mergeCell ref="B95:B97"/>
    <mergeCell ref="A100:A107"/>
    <mergeCell ref="B100:B102"/>
    <mergeCell ref="B105:B107"/>
    <mergeCell ref="A114:A121"/>
    <mergeCell ref="B114:B116"/>
    <mergeCell ref="C114:C141"/>
    <mergeCell ref="B119:B121"/>
    <mergeCell ref="A124:A131"/>
    <mergeCell ref="B124:B126"/>
    <mergeCell ref="B129:B131"/>
    <mergeCell ref="A134:A141"/>
    <mergeCell ref="B134:B136"/>
    <mergeCell ref="B139:B141"/>
    <mergeCell ref="A146:A153"/>
    <mergeCell ref="B146:B148"/>
    <mergeCell ref="C146:C173"/>
    <mergeCell ref="B151:B153"/>
    <mergeCell ref="A156:A163"/>
    <mergeCell ref="B156:B158"/>
    <mergeCell ref="B161:B163"/>
    <mergeCell ref="A166:A173"/>
    <mergeCell ref="B166:B168"/>
    <mergeCell ref="B171:B173"/>
    <mergeCell ref="A180:A187"/>
    <mergeCell ref="B180:B182"/>
    <mergeCell ref="C180:C207"/>
    <mergeCell ref="B185:B187"/>
    <mergeCell ref="A190:A197"/>
    <mergeCell ref="B190:B192"/>
    <mergeCell ref="B195:B197"/>
    <mergeCell ref="A200:A207"/>
    <mergeCell ref="B200:B202"/>
    <mergeCell ref="B205:B2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Mixing</vt:lpstr>
      <vt:lpstr>Water and Burning</vt:lpstr>
      <vt:lpstr>W&amp;B Figures</vt:lpstr>
      <vt:lpstr>W&amp;B Figures 2</vt:lpstr>
      <vt:lpstr>High and Diameter</vt:lpstr>
      <vt:lpstr>H&amp;D Figures</vt:lpstr>
      <vt:lpstr>H&amp;D Figures 2</vt:lpstr>
      <vt:lpstr>Porosity and Density</vt:lpstr>
      <vt:lpstr>P&amp;D 2</vt:lpstr>
    </vt:vector>
  </TitlesOfParts>
  <Manager/>
  <Company>TECHNICAL UNIVERSITY OF DENMARK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Frederikke Brandt Feldthus</dc:creator>
  <cp:keywords/>
  <dc:description/>
  <cp:lastModifiedBy>Frederikke Brandt Feldthus</cp:lastModifiedBy>
  <cp:revision/>
  <dcterms:created xsi:type="dcterms:W3CDTF">2023-04-04T08:54:27Z</dcterms:created>
  <dcterms:modified xsi:type="dcterms:W3CDTF">2025-09-18T10:05:15Z</dcterms:modified>
  <cp:category/>
  <cp:contentStatus/>
</cp:coreProperties>
</file>